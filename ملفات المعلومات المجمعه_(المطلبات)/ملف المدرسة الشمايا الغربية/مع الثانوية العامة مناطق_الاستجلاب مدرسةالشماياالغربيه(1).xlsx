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ملف بيانات المدرسة\"/>
    </mc:Choice>
  </mc:AlternateContent>
  <xr:revisionPtr revIDLastSave="0" documentId="13_ncr:1_{FC52B96B-6BFC-46EC-A2CB-515D3C51BFB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ثانوي" sheetId="1" r:id="rId1"/>
    <sheet name="اساسي" sheetId="2" r:id="rId2"/>
  </sheets>
  <definedNames>
    <definedName name="_xlnm.Print_Area" localSheetId="1">اساسي!$A$1:$BZ$40</definedName>
    <definedName name="_xlnm.Print_Area" localSheetId="0">ثانوي!$A$1:$AP$38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U33" i="2" l="1"/>
  <c r="AM23" i="1"/>
  <c r="AK23" i="1"/>
  <c r="Q23" i="1"/>
  <c r="N31" i="1"/>
  <c r="Q31" i="1"/>
  <c r="AO31" i="1"/>
  <c r="Y31" i="1"/>
  <c r="W30" i="1"/>
  <c r="U31" i="1"/>
  <c r="W31" i="1"/>
  <c r="AA31" i="1"/>
  <c r="AC31" i="1"/>
  <c r="AE31" i="1"/>
  <c r="AG31" i="1"/>
  <c r="AI31" i="1"/>
  <c r="AK31" i="1"/>
  <c r="AM31" i="1"/>
  <c r="S31" i="1"/>
  <c r="U23" i="1"/>
  <c r="S23" i="1"/>
  <c r="W23" i="1"/>
  <c r="Y23" i="1"/>
  <c r="AA23" i="1"/>
  <c r="AC23" i="1"/>
  <c r="AE23" i="1"/>
  <c r="AG23" i="1"/>
  <c r="AI23" i="1"/>
  <c r="AO23" i="1"/>
  <c r="N23" i="1"/>
  <c r="AU34" i="2"/>
  <c r="AS34" i="2"/>
  <c r="Y34" i="2"/>
  <c r="AC34" i="2" s="1"/>
  <c r="AA34" i="2"/>
  <c r="AE34" i="2"/>
  <c r="AI34" i="2" s="1"/>
  <c r="AG34" i="2"/>
  <c r="AK34" i="2"/>
  <c r="AO34" i="2" s="1"/>
  <c r="AM34" i="2"/>
  <c r="AQ34" i="2"/>
  <c r="AW34" i="2"/>
  <c r="AY34" i="2"/>
  <c r="BA34" i="2"/>
  <c r="BC34" i="2"/>
  <c r="BG34" i="2" s="1"/>
  <c r="BE34" i="2"/>
  <c r="BI34" i="2"/>
  <c r="BM34" i="2" s="1"/>
  <c r="BK34" i="2"/>
  <c r="BO34" i="2"/>
  <c r="BQ34" i="2"/>
  <c r="BS34" i="2"/>
  <c r="BU34" i="2"/>
  <c r="BY34" i="2" s="1"/>
  <c r="BW34" i="2"/>
  <c r="U34" i="2"/>
  <c r="S34" i="2"/>
  <c r="S33" i="2"/>
  <c r="W34" i="2"/>
  <c r="U33" i="2"/>
  <c r="W33" i="2"/>
  <c r="Y33" i="2"/>
  <c r="AA33" i="2"/>
  <c r="AC33" i="2"/>
  <c r="AE33" i="2"/>
  <c r="AG33" i="2"/>
  <c r="AI33" i="2"/>
  <c r="AK33" i="2"/>
  <c r="AM33" i="2"/>
  <c r="AO33" i="2"/>
  <c r="AQ33" i="2"/>
  <c r="AS33" i="2"/>
  <c r="AU33" i="2"/>
  <c r="AW33" i="2"/>
  <c r="AY33" i="2"/>
  <c r="BA33" i="2"/>
  <c r="BC33" i="2"/>
  <c r="BE33" i="2"/>
  <c r="BG33" i="2"/>
  <c r="BI33" i="2"/>
  <c r="BK33" i="2"/>
  <c r="BM33" i="2"/>
  <c r="BO33" i="2"/>
  <c r="BQ33" i="2"/>
  <c r="BS33" i="2"/>
  <c r="BW33" i="2"/>
  <c r="BY33" i="2"/>
  <c r="W25" i="2"/>
  <c r="AI25" i="2"/>
  <c r="AO25" i="2"/>
  <c r="U25" i="2"/>
  <c r="Y25" i="2"/>
  <c r="AA25" i="2"/>
  <c r="AC25" i="2"/>
  <c r="AE25" i="2"/>
  <c r="AG25" i="2"/>
  <c r="AK25" i="2"/>
  <c r="AM25" i="2"/>
  <c r="AQ25" i="2"/>
  <c r="AS25" i="2"/>
  <c r="AU25" i="2"/>
  <c r="AW25" i="2"/>
  <c r="AY25" i="2"/>
  <c r="BA25" i="2"/>
  <c r="BC25" i="2"/>
  <c r="BE25" i="2"/>
  <c r="BG25" i="2"/>
  <c r="BI25" i="2"/>
  <c r="BK25" i="2"/>
  <c r="BM25" i="2"/>
  <c r="BO25" i="2"/>
  <c r="BQ25" i="2"/>
  <c r="BS25" i="2"/>
  <c r="BU25" i="2"/>
  <c r="BW25" i="2"/>
  <c r="BY25" i="2"/>
  <c r="S25" i="2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4" i="1"/>
  <c r="AI25" i="1"/>
  <c r="AI26" i="1"/>
  <c r="AI27" i="1"/>
  <c r="AI28" i="1"/>
  <c r="AI29" i="1"/>
  <c r="AI30" i="1"/>
  <c r="AI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4" i="1"/>
  <c r="AC25" i="1"/>
  <c r="AC26" i="1"/>
  <c r="AC27" i="1"/>
  <c r="AC28" i="1"/>
  <c r="AC29" i="1"/>
  <c r="AC30" i="1"/>
  <c r="AC9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4" i="1"/>
  <c r="W25" i="1"/>
  <c r="W26" i="1"/>
  <c r="W27" i="1"/>
  <c r="W28" i="1"/>
  <c r="W29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4" i="1"/>
  <c r="AO25" i="1"/>
  <c r="AO26" i="1"/>
  <c r="AO27" i="1"/>
  <c r="AO28" i="1"/>
  <c r="AO29" i="1"/>
  <c r="AO30" i="1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6" i="2"/>
  <c r="BW27" i="2"/>
  <c r="BW28" i="2"/>
  <c r="BW29" i="2"/>
  <c r="BW30" i="2"/>
  <c r="BW31" i="2"/>
  <c r="BW32" i="2"/>
  <c r="BW9" i="2"/>
  <c r="BU10" i="2"/>
  <c r="BU11" i="2"/>
  <c r="BU12" i="2"/>
  <c r="BU13" i="2"/>
  <c r="BU14" i="2"/>
  <c r="BU15" i="2"/>
  <c r="BU16" i="2"/>
  <c r="BY16" i="2" s="1"/>
  <c r="BU17" i="2"/>
  <c r="BU18" i="2"/>
  <c r="BU19" i="2"/>
  <c r="BU20" i="2"/>
  <c r="BU21" i="2"/>
  <c r="BU22" i="2"/>
  <c r="BU23" i="2"/>
  <c r="BY23" i="2" s="1"/>
  <c r="BU24" i="2"/>
  <c r="BY24" i="2" s="1"/>
  <c r="BU26" i="2"/>
  <c r="BY26" i="2" s="1"/>
  <c r="BU27" i="2"/>
  <c r="BU28" i="2"/>
  <c r="BU29" i="2"/>
  <c r="BU30" i="2"/>
  <c r="BU31" i="2"/>
  <c r="BU32" i="2"/>
  <c r="BY32" i="2" s="1"/>
  <c r="BU9" i="2"/>
  <c r="BY9" i="2" s="1"/>
  <c r="BY17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6" i="2"/>
  <c r="BS27" i="2"/>
  <c r="BS28" i="2"/>
  <c r="BS29" i="2"/>
  <c r="BS30" i="2"/>
  <c r="BS31" i="2"/>
  <c r="BS32" i="2"/>
  <c r="BS9" i="2"/>
  <c r="BM10" i="2"/>
  <c r="BM11" i="2"/>
  <c r="BM12" i="2"/>
  <c r="BM13" i="2"/>
  <c r="BM14" i="2"/>
  <c r="BM15" i="2"/>
  <c r="BM16" i="2"/>
  <c r="BM17" i="2"/>
  <c r="BM18" i="2"/>
  <c r="BM19" i="2"/>
  <c r="BM20" i="2"/>
  <c r="BM21" i="2"/>
  <c r="BM22" i="2"/>
  <c r="BM23" i="2"/>
  <c r="BM24" i="2"/>
  <c r="BM26" i="2"/>
  <c r="BM27" i="2"/>
  <c r="BM28" i="2"/>
  <c r="BM29" i="2"/>
  <c r="BM30" i="2"/>
  <c r="BM31" i="2"/>
  <c r="BM32" i="2"/>
  <c r="BM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6" i="2"/>
  <c r="BG27" i="2"/>
  <c r="BG28" i="2"/>
  <c r="BG29" i="2"/>
  <c r="BG30" i="2"/>
  <c r="BG31" i="2"/>
  <c r="BG32" i="2"/>
  <c r="BG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6" i="2"/>
  <c r="BA27" i="2"/>
  <c r="BA28" i="2"/>
  <c r="BA29" i="2"/>
  <c r="BA30" i="2"/>
  <c r="BA31" i="2"/>
  <c r="BA32" i="2"/>
  <c r="BA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6" i="2"/>
  <c r="AU27" i="2"/>
  <c r="AU28" i="2"/>
  <c r="AU29" i="2"/>
  <c r="AU30" i="2"/>
  <c r="AU31" i="2"/>
  <c r="AU32" i="2"/>
  <c r="AU9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6" i="2"/>
  <c r="AO27" i="2"/>
  <c r="AO28" i="2"/>
  <c r="AO29" i="2"/>
  <c r="AO30" i="2"/>
  <c r="AO31" i="2"/>
  <c r="AO32" i="2"/>
  <c r="AO10" i="2"/>
  <c r="AO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6" i="2"/>
  <c r="AI27" i="2"/>
  <c r="AI28" i="2"/>
  <c r="AI29" i="2"/>
  <c r="AI30" i="2"/>
  <c r="AI31" i="2"/>
  <c r="AI32" i="2"/>
  <c r="AI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6" i="2"/>
  <c r="AC27" i="2"/>
  <c r="AC28" i="2"/>
  <c r="AC29" i="2"/>
  <c r="AC30" i="2"/>
  <c r="AC31" i="2"/>
  <c r="AC32" i="2"/>
  <c r="AC9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6" i="2"/>
  <c r="W27" i="2"/>
  <c r="W28" i="2"/>
  <c r="W29" i="2"/>
  <c r="W30" i="2"/>
  <c r="W31" i="2"/>
  <c r="W32" i="2"/>
  <c r="W10" i="2"/>
  <c r="W9" i="2"/>
  <c r="BY22" i="2" l="1"/>
  <c r="BY15" i="2"/>
  <c r="BY10" i="2"/>
  <c r="BY30" i="2"/>
  <c r="BY21" i="2"/>
  <c r="BY13" i="2"/>
  <c r="BY27" i="2"/>
  <c r="BY18" i="2"/>
  <c r="BY31" i="2"/>
  <c r="BY14" i="2"/>
  <c r="BY29" i="2"/>
  <c r="BY20" i="2"/>
  <c r="BY12" i="2"/>
  <c r="BY28" i="2"/>
  <c r="BY19" i="2"/>
  <c r="BY11" i="2"/>
</calcChain>
</file>

<file path=xl/sharedStrings.xml><?xml version="1.0" encoding="utf-8"?>
<sst xmlns="http://schemas.openxmlformats.org/spreadsheetml/2006/main" count="262" uniqueCount="103">
  <si>
    <t>لجدول رقم (1) يحدد المناطق التي يتدفق منها الطلاب (الاستجلاب) إلى المدرسة للعام الدراسي  2024-2025.</t>
  </si>
  <si>
    <t>الرمز الوطني الموحد للمدرسة</t>
  </si>
  <si>
    <t>I__I__I__I__I__I__I__I__I__I__I</t>
  </si>
  <si>
    <t xml:space="preserve">اسم المدرسة </t>
  </si>
  <si>
    <t>م</t>
  </si>
  <si>
    <t>العزلة</t>
  </si>
  <si>
    <t xml:space="preserve">المدينة/ القرية </t>
  </si>
  <si>
    <t xml:space="preserve">الحي </t>
  </si>
  <si>
    <t>الحارة/ محلة</t>
  </si>
  <si>
    <t>شارع</t>
  </si>
  <si>
    <t>متوسط المسافة بالمتر</t>
  </si>
  <si>
    <t xml:space="preserve">الزمن </t>
  </si>
  <si>
    <t xml:space="preserve">الثانوية العامة </t>
  </si>
  <si>
    <t>اول ثانوي ذكور</t>
  </si>
  <si>
    <t>اول ثانوي اناث</t>
  </si>
  <si>
    <t>اجمالي اول ثانوي</t>
  </si>
  <si>
    <t>ثاني ثانوي ذكور</t>
  </si>
  <si>
    <t>ثاني ثانوي اناث</t>
  </si>
  <si>
    <t>الإجمالي ثاني ثانوي</t>
  </si>
  <si>
    <t>ثالث ثانوي ذكور</t>
  </si>
  <si>
    <t>ثالث ثانوي اناث</t>
  </si>
  <si>
    <t>الاجمالي ثالث ثانوي</t>
  </si>
  <si>
    <t>اجمالي ذ</t>
  </si>
  <si>
    <t>اجمالي أ</t>
  </si>
  <si>
    <t>اجمالي</t>
  </si>
  <si>
    <t>اسم مدير/ة المدرسة و الختم 
 الاسم :.....................................................................................................</t>
  </si>
  <si>
    <t>المديرية</t>
  </si>
  <si>
    <t>اولاً: مناطق الاستجلاب: المحافظة :.......تعز................................ المديرية :.....الشمايتين...................................</t>
  </si>
  <si>
    <t>الصف</t>
  </si>
  <si>
    <t>ذ1</t>
  </si>
  <si>
    <t>أ 1</t>
  </si>
  <si>
    <t>الإجمالي 1</t>
  </si>
  <si>
    <t>ذ2</t>
  </si>
  <si>
    <t>أ 2</t>
  </si>
  <si>
    <t>الإجمالي 2</t>
  </si>
  <si>
    <t>ذ3</t>
  </si>
  <si>
    <t>أ 3</t>
  </si>
  <si>
    <t>الإجمالي 3</t>
  </si>
  <si>
    <t>ذ4</t>
  </si>
  <si>
    <t>أ 4</t>
  </si>
  <si>
    <t>الإجمالي 4</t>
  </si>
  <si>
    <t>ذ5</t>
  </si>
  <si>
    <t>أ 5</t>
  </si>
  <si>
    <t>الإجمالي 5</t>
  </si>
  <si>
    <t>ذ6</t>
  </si>
  <si>
    <t>أ 6</t>
  </si>
  <si>
    <t>الإجمالي 6</t>
  </si>
  <si>
    <t>ذ7</t>
  </si>
  <si>
    <t>أ 7</t>
  </si>
  <si>
    <t>الإجمالي 7</t>
  </si>
  <si>
    <t>ذ8</t>
  </si>
  <si>
    <t>أ 8</t>
  </si>
  <si>
    <t>الإجمالي 8</t>
  </si>
  <si>
    <t>ذ9</t>
  </si>
  <si>
    <t>أ 9</t>
  </si>
  <si>
    <t>الإجمالي 9</t>
  </si>
  <si>
    <t xml:space="preserve">الشمايا الغربيه </t>
  </si>
  <si>
    <t xml:space="preserve">نفضان </t>
  </si>
  <si>
    <t xml:space="preserve">30 دقيقة </t>
  </si>
  <si>
    <t>العزاعز</t>
  </si>
  <si>
    <t xml:space="preserve">حجفات </t>
  </si>
  <si>
    <t>الحافه</t>
  </si>
  <si>
    <t xml:space="preserve"> نفضان </t>
  </si>
  <si>
    <t xml:space="preserve">قحفة نفضان </t>
  </si>
  <si>
    <t xml:space="preserve">30دقيقة </t>
  </si>
  <si>
    <t xml:space="preserve">شباعه </t>
  </si>
  <si>
    <t>المقارمه</t>
  </si>
  <si>
    <t>حره</t>
  </si>
  <si>
    <t xml:space="preserve">قحفة  شباعه </t>
  </si>
  <si>
    <t xml:space="preserve">قحفة شباعه </t>
  </si>
  <si>
    <t>الجند</t>
  </si>
  <si>
    <t>دارالجاب</t>
  </si>
  <si>
    <t>دار الجاب</t>
  </si>
  <si>
    <t xml:space="preserve">الجند </t>
  </si>
  <si>
    <t>الجران</t>
  </si>
  <si>
    <t>الكبه</t>
  </si>
  <si>
    <t xml:space="preserve">الكبه </t>
  </si>
  <si>
    <t>رطبه</t>
  </si>
  <si>
    <t xml:space="preserve">رطبه </t>
  </si>
  <si>
    <t>السدنه</t>
  </si>
  <si>
    <t xml:space="preserve">السدنه </t>
  </si>
  <si>
    <t xml:space="preserve">الشرف </t>
  </si>
  <si>
    <t>الجبانه</t>
  </si>
  <si>
    <t xml:space="preserve">الجبانه </t>
  </si>
  <si>
    <t>ذيلبه</t>
  </si>
  <si>
    <t xml:space="preserve">مضيع </t>
  </si>
  <si>
    <t>المقابر</t>
  </si>
  <si>
    <t>الحبين</t>
  </si>
  <si>
    <t>القبقاب</t>
  </si>
  <si>
    <t xml:space="preserve">الحبين </t>
  </si>
  <si>
    <t xml:space="preserve">كدرة الحبين </t>
  </si>
  <si>
    <t xml:space="preserve">عقبة الحبين </t>
  </si>
  <si>
    <t>قحفة السوق</t>
  </si>
  <si>
    <t>المعرام</t>
  </si>
  <si>
    <t xml:space="preserve">60دقيقة </t>
  </si>
  <si>
    <t>الجرين</t>
  </si>
  <si>
    <t>الإجمالي العام</t>
  </si>
  <si>
    <t xml:space="preserve">الإجمـــــــــــــــــــــــــــالي </t>
  </si>
  <si>
    <t xml:space="preserve">الإجمــــــــــــــالي </t>
  </si>
  <si>
    <t xml:space="preserve">الإجمــــــــــــــــــــــــــــــــــالي </t>
  </si>
  <si>
    <t>الشمايا الغربية</t>
  </si>
  <si>
    <t>الشمايتين</t>
  </si>
  <si>
    <t>اولاً: مناطق الاستجلاب: المحافظة :............تعز........................... المديرية :..........الشمايتين..............................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</si>
</sst>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Arial"/>
      <charset val="1"/>
    </font>
    <font>
      <sz val="14"/>
      <color rgb="FF000000"/>
      <name val="Arial"/>
      <charset val="1"/>
    </font>
    <font>
      <b/>
      <sz val="26"/>
      <color rgb="FF000000"/>
      <name val="Calibri"/>
      <charset val="1"/>
    </font>
    <font>
      <b/>
      <sz val="24"/>
      <color rgb="FF000000"/>
      <name val="Calibri"/>
      <charset val="1"/>
    </font>
    <font>
      <b/>
      <sz val="30"/>
      <color rgb="FF000000"/>
      <name val="Arial"/>
      <charset val="1"/>
    </font>
    <font>
      <b/>
      <sz val="16"/>
      <color rgb="FF000000"/>
      <name val="Calibri"/>
      <charset val="1"/>
    </font>
    <font>
      <b/>
      <u/>
      <sz val="24"/>
      <color rgb="FF000000"/>
      <name val="Calibri"/>
      <charset val="1"/>
    </font>
    <font>
      <b/>
      <sz val="20"/>
      <color rgb="FF000000"/>
      <name val="Calibri"/>
      <charset val="1"/>
    </font>
    <font>
      <sz val="48"/>
      <color rgb="FF000000"/>
      <name val="Arial"/>
      <charset val="1"/>
    </font>
    <font>
      <sz val="24"/>
      <color rgb="FF000000"/>
      <name val="Arial"/>
      <charset val="1"/>
    </font>
    <font>
      <b/>
      <sz val="22"/>
      <color rgb="FF000000"/>
      <name val="Arial"/>
      <family val="2"/>
    </font>
    <font>
      <b/>
      <sz val="24"/>
      <color rgb="FF000000"/>
      <name val="Arial"/>
      <family val="2"/>
    </font>
    <font>
      <b/>
      <sz val="26"/>
      <color rgb="FF000000"/>
      <name val="Arial"/>
      <family val="2"/>
    </font>
    <font>
      <b/>
      <sz val="28"/>
      <color rgb="FF000000"/>
      <name val="Arial"/>
      <family val="2"/>
    </font>
    <font>
      <b/>
      <sz val="22"/>
      <color rgb="FF000000"/>
      <name val="Arial"/>
      <family val="2"/>
      <charset val="178"/>
    </font>
    <font>
      <b/>
      <sz val="28"/>
      <color rgb="FF000000"/>
      <name val="Calibri"/>
      <family val="2"/>
    </font>
    <font>
      <b/>
      <sz val="26"/>
      <color rgb="FF000000"/>
      <name val="Calibri"/>
      <family val="2"/>
      <charset val="178"/>
    </font>
    <font>
      <b/>
      <u/>
      <sz val="2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3C7E7"/>
        <bgColor rgb="FF000000"/>
      </patternFill>
    </fill>
    <fill>
      <patternFill patternType="solid">
        <fgColor rgb="FFFBE5D5"/>
        <bgColor rgb="FF000000"/>
      </patternFill>
    </fill>
    <fill>
      <patternFill patternType="solid">
        <fgColor rgb="FFFFF4D5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000000"/>
      </patternFill>
    </fill>
  </fills>
  <borders count="6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5" fillId="5" borderId="28" xfId="0" applyFont="1" applyFill="1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/>
    </xf>
    <xf numFmtId="0" fontId="15" fillId="5" borderId="37" xfId="0" applyFont="1" applyFill="1" applyBorder="1" applyAlignment="1">
      <alignment horizontal="center" vertical="center"/>
    </xf>
    <xf numFmtId="0" fontId="12" fillId="6" borderId="27" xfId="0" applyFont="1" applyFill="1" applyBorder="1" applyAlignment="1">
      <alignment horizontal="center" vertical="center"/>
    </xf>
    <xf numFmtId="0" fontId="12" fillId="6" borderId="28" xfId="0" applyFont="1" applyFill="1" applyBorder="1" applyAlignment="1">
      <alignment horizontal="center" vertical="center"/>
    </xf>
    <xf numFmtId="0" fontId="12" fillId="6" borderId="29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3" fillId="5" borderId="37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13" fillId="6" borderId="27" xfId="0" applyFont="1" applyFill="1" applyBorder="1" applyAlignment="1">
      <alignment horizontal="center" vertical="center"/>
    </xf>
    <xf numFmtId="0" fontId="13" fillId="6" borderId="28" xfId="0" applyFont="1" applyFill="1" applyBorder="1" applyAlignment="1">
      <alignment horizontal="center" vertical="center"/>
    </xf>
    <xf numFmtId="0" fontId="13" fillId="6" borderId="29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right"/>
    </xf>
    <xf numFmtId="0" fontId="6" fillId="4" borderId="0" xfId="0" applyFont="1" applyFill="1" applyAlignment="1">
      <alignment horizontal="right"/>
    </xf>
    <xf numFmtId="0" fontId="3" fillId="2" borderId="59" xfId="0" applyFont="1" applyFill="1" applyBorder="1" applyAlignment="1">
      <alignment horizontal="center" vertical="center"/>
    </xf>
    <xf numFmtId="0" fontId="3" fillId="2" borderId="60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wrapText="1"/>
    </xf>
    <xf numFmtId="0" fontId="3" fillId="2" borderId="46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3" borderId="25" xfId="0" applyFont="1" applyFill="1" applyBorder="1" applyAlignment="1">
      <alignment horizontal="center" vertical="center"/>
    </xf>
    <xf numFmtId="0" fontId="15" fillId="3" borderId="26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/>
    </xf>
    <xf numFmtId="0" fontId="16" fillId="5" borderId="27" xfId="0" applyFont="1" applyFill="1" applyBorder="1" applyAlignment="1">
      <alignment horizontal="center" vertical="center"/>
    </xf>
    <xf numFmtId="0" fontId="16" fillId="5" borderId="29" xfId="0" applyFont="1" applyFill="1" applyBorder="1" applyAlignment="1">
      <alignment horizontal="center" vertical="center"/>
    </xf>
    <xf numFmtId="0" fontId="10" fillId="6" borderId="27" xfId="0" applyFont="1" applyFill="1" applyBorder="1" applyAlignment="1">
      <alignment horizontal="center" vertical="center"/>
    </xf>
    <xf numFmtId="0" fontId="10" fillId="6" borderId="28" xfId="0" applyFont="1" applyFill="1" applyBorder="1" applyAlignment="1">
      <alignment horizontal="center" vertical="center"/>
    </xf>
    <xf numFmtId="0" fontId="10" fillId="6" borderId="29" xfId="0" applyFont="1" applyFill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15" fillId="6" borderId="38" xfId="0" applyFont="1" applyFill="1" applyBorder="1" applyAlignment="1">
      <alignment horizontal="center" vertical="center"/>
    </xf>
    <xf numFmtId="0" fontId="15" fillId="6" borderId="3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11" fillId="6" borderId="27" xfId="0" applyFont="1" applyFill="1" applyBorder="1" applyAlignment="1">
      <alignment horizontal="center" vertical="center"/>
    </xf>
    <xf numFmtId="0" fontId="11" fillId="6" borderId="28" xfId="0" applyFont="1" applyFill="1" applyBorder="1" applyAlignment="1">
      <alignment horizontal="center" vertical="center"/>
    </xf>
    <xf numFmtId="0" fontId="11" fillId="6" borderId="29" xfId="0" applyFont="1" applyFill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6" borderId="29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3" borderId="44" xfId="0" applyFont="1" applyFill="1" applyBorder="1" applyAlignment="1">
      <alignment horizontal="center" vertical="center"/>
    </xf>
    <xf numFmtId="0" fontId="5" fillId="3" borderId="43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 wrapText="1"/>
    </xf>
    <xf numFmtId="0" fontId="3" fillId="2" borderId="52" xfId="0" applyFont="1" applyFill="1" applyBorder="1" applyAlignment="1">
      <alignment horizontal="center" vertical="center" wrapText="1"/>
    </xf>
    <xf numFmtId="0" fontId="3" fillId="2" borderId="53" xfId="0" applyFont="1" applyFill="1" applyBorder="1" applyAlignment="1">
      <alignment horizontal="center" vertical="center" wrapText="1"/>
    </xf>
    <xf numFmtId="0" fontId="3" fillId="2" borderId="54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7" fillId="2" borderId="48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3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 wrapText="1"/>
    </xf>
    <xf numFmtId="0" fontId="3" fillId="2" borderId="56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P37"/>
  <sheetViews>
    <sheetView rightToLeft="1" view="pageBreakPreview" topLeftCell="A25" zoomScale="50" zoomScaleNormal="50" zoomScaleSheetLayoutView="65" workbookViewId="0">
      <selection activeCell="W24" sqref="W24:X24"/>
    </sheetView>
  </sheetViews>
  <sheetFormatPr defaultRowHeight="17.399999999999999" x14ac:dyDescent="0.3"/>
  <cols>
    <col min="1" max="1" width="2.69921875" customWidth="1"/>
    <col min="2" max="2" width="8.69921875" hidden="1" customWidth="1"/>
    <col min="19" max="36" width="6.19921875" style="1" customWidth="1"/>
    <col min="37" max="42" width="6.69921875" customWidth="1"/>
  </cols>
  <sheetData>
    <row r="1" spans="3:42" ht="17.399999999999999" customHeight="1" x14ac:dyDescent="0.25">
      <c r="C1" s="36" t="s">
        <v>0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</row>
    <row r="2" spans="3:42" ht="17.399999999999999" customHeight="1" x14ac:dyDescent="0.25"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</row>
    <row r="3" spans="3:42" ht="80.400000000000006" customHeight="1" x14ac:dyDescent="0.25"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</row>
    <row r="4" spans="3:42" ht="7.2" customHeight="1" thickBot="1" x14ac:dyDescent="0.35"/>
    <row r="5" spans="3:42" ht="55.2" customHeight="1" thickBot="1" x14ac:dyDescent="0.3">
      <c r="C5" s="2">
        <v>1</v>
      </c>
      <c r="D5" s="37" t="s">
        <v>1</v>
      </c>
      <c r="E5" s="38"/>
      <c r="F5" s="38"/>
      <c r="G5" s="38"/>
      <c r="H5" s="38"/>
      <c r="I5" s="38"/>
      <c r="J5" s="38"/>
      <c r="K5" s="39"/>
      <c r="L5" s="40" t="s">
        <v>2</v>
      </c>
      <c r="M5" s="41"/>
      <c r="N5" s="41"/>
      <c r="O5" s="41"/>
      <c r="P5" s="41"/>
      <c r="Q5" s="41"/>
      <c r="R5" s="41"/>
      <c r="S5" s="3">
        <v>2</v>
      </c>
      <c r="T5" s="42" t="s">
        <v>3</v>
      </c>
      <c r="U5" s="43"/>
      <c r="V5" s="43"/>
      <c r="W5" s="43"/>
      <c r="X5" s="43"/>
      <c r="Y5" s="43"/>
      <c r="Z5" s="43"/>
      <c r="AA5" s="43"/>
      <c r="AB5" s="43"/>
      <c r="AC5" s="43"/>
      <c r="AD5" s="44"/>
      <c r="AE5" s="70" t="s">
        <v>100</v>
      </c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</row>
    <row r="6" spans="3:42" ht="60" customHeight="1" thickBot="1" x14ac:dyDescent="0.65">
      <c r="C6" s="45" t="s">
        <v>102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</row>
    <row r="7" spans="3:42" ht="31.2" x14ac:dyDescent="0.25">
      <c r="C7" s="47" t="s">
        <v>4</v>
      </c>
      <c r="D7" s="49" t="s">
        <v>5</v>
      </c>
      <c r="E7" s="50"/>
      <c r="F7" s="53" t="s">
        <v>6</v>
      </c>
      <c r="G7" s="54"/>
      <c r="H7" s="49" t="s">
        <v>7</v>
      </c>
      <c r="I7" s="50"/>
      <c r="J7" s="53" t="s">
        <v>8</v>
      </c>
      <c r="K7" s="54"/>
      <c r="L7" s="49" t="s">
        <v>9</v>
      </c>
      <c r="M7" s="57"/>
      <c r="N7" s="60" t="s">
        <v>10</v>
      </c>
      <c r="O7" s="60"/>
      <c r="P7" s="61"/>
      <c r="Q7" s="64" t="s">
        <v>11</v>
      </c>
      <c r="R7" s="65"/>
      <c r="S7" s="67" t="s">
        <v>12</v>
      </c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</row>
    <row r="8" spans="3:42" ht="42" customHeight="1" x14ac:dyDescent="0.25">
      <c r="C8" s="48"/>
      <c r="D8" s="51"/>
      <c r="E8" s="52"/>
      <c r="F8" s="55"/>
      <c r="G8" s="56"/>
      <c r="H8" s="51"/>
      <c r="I8" s="52"/>
      <c r="J8" s="55"/>
      <c r="K8" s="56"/>
      <c r="L8" s="58"/>
      <c r="M8" s="59"/>
      <c r="N8" s="62"/>
      <c r="O8" s="62"/>
      <c r="P8" s="63"/>
      <c r="Q8" s="51"/>
      <c r="R8" s="66"/>
      <c r="S8" s="77" t="s">
        <v>13</v>
      </c>
      <c r="T8" s="78"/>
      <c r="U8" s="77" t="s">
        <v>14</v>
      </c>
      <c r="V8" s="78"/>
      <c r="W8" s="79" t="s">
        <v>15</v>
      </c>
      <c r="X8" s="80"/>
      <c r="Y8" s="77" t="s">
        <v>16</v>
      </c>
      <c r="Z8" s="78"/>
      <c r="AA8" s="77" t="s">
        <v>17</v>
      </c>
      <c r="AB8" s="78"/>
      <c r="AC8" s="79" t="s">
        <v>18</v>
      </c>
      <c r="AD8" s="80"/>
      <c r="AE8" s="77" t="s">
        <v>19</v>
      </c>
      <c r="AF8" s="78"/>
      <c r="AG8" s="77" t="s">
        <v>20</v>
      </c>
      <c r="AH8" s="78"/>
      <c r="AI8" s="79" t="s">
        <v>21</v>
      </c>
      <c r="AJ8" s="80"/>
      <c r="AK8" s="73" t="s">
        <v>22</v>
      </c>
      <c r="AL8" s="74"/>
      <c r="AM8" s="73" t="s">
        <v>23</v>
      </c>
      <c r="AN8" s="74"/>
      <c r="AO8" s="75" t="s">
        <v>24</v>
      </c>
      <c r="AP8" s="76"/>
    </row>
    <row r="9" spans="3:42" ht="75" customHeight="1" x14ac:dyDescent="0.25">
      <c r="C9" s="12">
        <v>1</v>
      </c>
      <c r="D9" s="32" t="s">
        <v>56</v>
      </c>
      <c r="E9" s="35"/>
      <c r="F9" s="32" t="s">
        <v>57</v>
      </c>
      <c r="G9" s="35"/>
      <c r="H9" s="32" t="s">
        <v>57</v>
      </c>
      <c r="I9" s="35"/>
      <c r="J9" s="32" t="s">
        <v>57</v>
      </c>
      <c r="K9" s="35"/>
      <c r="L9" s="32"/>
      <c r="M9" s="34"/>
      <c r="N9" s="35">
        <v>3000</v>
      </c>
      <c r="O9" s="35"/>
      <c r="P9" s="33"/>
      <c r="Q9" s="32" t="s">
        <v>58</v>
      </c>
      <c r="R9" s="33"/>
      <c r="S9" s="28"/>
      <c r="T9" s="29"/>
      <c r="U9" s="28">
        <v>1</v>
      </c>
      <c r="V9" s="29"/>
      <c r="W9" s="30">
        <f t="shared" ref="W9:W29" si="0">S9+U9</f>
        <v>1</v>
      </c>
      <c r="X9" s="31"/>
      <c r="Y9" s="28">
        <v>1</v>
      </c>
      <c r="Z9" s="29"/>
      <c r="AA9" s="28">
        <v>1</v>
      </c>
      <c r="AB9" s="29"/>
      <c r="AC9" s="30">
        <f>Y9+AA9</f>
        <v>2</v>
      </c>
      <c r="AD9" s="31"/>
      <c r="AE9" s="28">
        <v>1</v>
      </c>
      <c r="AF9" s="29"/>
      <c r="AG9" s="28"/>
      <c r="AH9" s="29"/>
      <c r="AI9" s="30">
        <f>AE9+AG9</f>
        <v>1</v>
      </c>
      <c r="AJ9" s="31"/>
      <c r="AK9" s="28">
        <v>2</v>
      </c>
      <c r="AL9" s="29"/>
      <c r="AM9" s="28">
        <v>2</v>
      </c>
      <c r="AN9" s="29"/>
      <c r="AO9" s="30">
        <f t="shared" ref="AO9:AO30" si="1">AK9+AM9</f>
        <v>4</v>
      </c>
      <c r="AP9" s="31"/>
    </row>
    <row r="10" spans="3:42" ht="75" customHeight="1" x14ac:dyDescent="0.25">
      <c r="C10" s="12">
        <v>2</v>
      </c>
      <c r="D10" s="32" t="s">
        <v>56</v>
      </c>
      <c r="E10" s="35"/>
      <c r="F10" s="32" t="s">
        <v>62</v>
      </c>
      <c r="G10" s="35"/>
      <c r="H10" s="32" t="s">
        <v>63</v>
      </c>
      <c r="I10" s="35"/>
      <c r="J10" s="32" t="s">
        <v>63</v>
      </c>
      <c r="K10" s="35"/>
      <c r="L10" s="32"/>
      <c r="M10" s="34"/>
      <c r="N10" s="35">
        <v>3100</v>
      </c>
      <c r="O10" s="35"/>
      <c r="P10" s="33"/>
      <c r="Q10" s="32" t="s">
        <v>64</v>
      </c>
      <c r="R10" s="33"/>
      <c r="S10" s="28"/>
      <c r="T10" s="29"/>
      <c r="U10" s="28">
        <v>4</v>
      </c>
      <c r="V10" s="29"/>
      <c r="W10" s="30">
        <f t="shared" si="0"/>
        <v>4</v>
      </c>
      <c r="X10" s="31"/>
      <c r="Y10" s="28"/>
      <c r="Z10" s="29"/>
      <c r="AA10" s="28"/>
      <c r="AB10" s="29"/>
      <c r="AC10" s="30">
        <f t="shared" ref="AC10:AC30" si="2">Y10+AA10</f>
        <v>0</v>
      </c>
      <c r="AD10" s="31"/>
      <c r="AE10" s="81">
        <v>1</v>
      </c>
      <c r="AF10" s="29"/>
      <c r="AG10" s="28">
        <v>3</v>
      </c>
      <c r="AH10" s="29"/>
      <c r="AI10" s="30">
        <f t="shared" ref="AI10:AI30" si="3">AE10+AG10</f>
        <v>4</v>
      </c>
      <c r="AJ10" s="31"/>
      <c r="AK10" s="81">
        <v>1</v>
      </c>
      <c r="AL10" s="29"/>
      <c r="AM10" s="28">
        <v>7</v>
      </c>
      <c r="AN10" s="29"/>
      <c r="AO10" s="30">
        <f t="shared" si="1"/>
        <v>8</v>
      </c>
      <c r="AP10" s="31"/>
    </row>
    <row r="11" spans="3:42" ht="75" customHeight="1" x14ac:dyDescent="0.25">
      <c r="C11" s="12">
        <v>3</v>
      </c>
      <c r="D11" s="32" t="s">
        <v>56</v>
      </c>
      <c r="E11" s="35"/>
      <c r="F11" s="32" t="s">
        <v>65</v>
      </c>
      <c r="G11" s="35"/>
      <c r="H11" s="32" t="s">
        <v>65</v>
      </c>
      <c r="I11" s="35"/>
      <c r="J11" s="32" t="s">
        <v>65</v>
      </c>
      <c r="K11" s="35"/>
      <c r="L11" s="32"/>
      <c r="M11" s="34"/>
      <c r="N11" s="35">
        <v>2700</v>
      </c>
      <c r="O11" s="35"/>
      <c r="P11" s="33"/>
      <c r="Q11" s="32">
        <v>25</v>
      </c>
      <c r="R11" s="33"/>
      <c r="S11" s="28">
        <v>4</v>
      </c>
      <c r="T11" s="29"/>
      <c r="U11" s="28">
        <v>3</v>
      </c>
      <c r="V11" s="29"/>
      <c r="W11" s="30">
        <f t="shared" si="0"/>
        <v>7</v>
      </c>
      <c r="X11" s="31"/>
      <c r="Y11" s="28">
        <v>1</v>
      </c>
      <c r="Z11" s="29"/>
      <c r="AA11" s="28">
        <v>3</v>
      </c>
      <c r="AB11" s="29"/>
      <c r="AC11" s="30">
        <f t="shared" si="2"/>
        <v>4</v>
      </c>
      <c r="AD11" s="31"/>
      <c r="AE11" s="81">
        <v>1</v>
      </c>
      <c r="AF11" s="29"/>
      <c r="AG11" s="28">
        <v>4</v>
      </c>
      <c r="AH11" s="29"/>
      <c r="AI11" s="30">
        <f t="shared" si="3"/>
        <v>5</v>
      </c>
      <c r="AJ11" s="31"/>
      <c r="AK11" s="81">
        <v>6</v>
      </c>
      <c r="AL11" s="29"/>
      <c r="AM11" s="28">
        <v>10</v>
      </c>
      <c r="AN11" s="29"/>
      <c r="AO11" s="30">
        <f t="shared" si="1"/>
        <v>16</v>
      </c>
      <c r="AP11" s="31"/>
    </row>
    <row r="12" spans="3:42" ht="75" customHeight="1" x14ac:dyDescent="0.25">
      <c r="C12" s="12">
        <v>4</v>
      </c>
      <c r="D12" s="32" t="s">
        <v>56</v>
      </c>
      <c r="E12" s="35"/>
      <c r="F12" s="32" t="s">
        <v>65</v>
      </c>
      <c r="G12" s="35"/>
      <c r="H12" s="32" t="s">
        <v>68</v>
      </c>
      <c r="I12" s="35"/>
      <c r="J12" s="32" t="s">
        <v>69</v>
      </c>
      <c r="K12" s="35"/>
      <c r="L12" s="32"/>
      <c r="M12" s="34"/>
      <c r="N12" s="35">
        <v>2700</v>
      </c>
      <c r="O12" s="35"/>
      <c r="P12" s="33"/>
      <c r="Q12" s="32">
        <v>25</v>
      </c>
      <c r="R12" s="33"/>
      <c r="S12" s="28"/>
      <c r="T12" s="29"/>
      <c r="U12" s="28"/>
      <c r="V12" s="29"/>
      <c r="W12" s="30">
        <f t="shared" si="0"/>
        <v>0</v>
      </c>
      <c r="X12" s="31"/>
      <c r="Y12" s="28">
        <v>1</v>
      </c>
      <c r="Z12" s="29"/>
      <c r="AA12" s="28">
        <v>2</v>
      </c>
      <c r="AB12" s="29"/>
      <c r="AC12" s="30">
        <f t="shared" si="2"/>
        <v>3</v>
      </c>
      <c r="AD12" s="31"/>
      <c r="AE12" s="81"/>
      <c r="AF12" s="29"/>
      <c r="AG12" s="28"/>
      <c r="AH12" s="29"/>
      <c r="AI12" s="30">
        <f t="shared" si="3"/>
        <v>0</v>
      </c>
      <c r="AJ12" s="31"/>
      <c r="AK12" s="81">
        <v>1</v>
      </c>
      <c r="AL12" s="29"/>
      <c r="AM12" s="28">
        <v>2</v>
      </c>
      <c r="AN12" s="29"/>
      <c r="AO12" s="30">
        <f t="shared" si="1"/>
        <v>3</v>
      </c>
      <c r="AP12" s="31"/>
    </row>
    <row r="13" spans="3:42" ht="75" customHeight="1" x14ac:dyDescent="0.25">
      <c r="C13" s="12">
        <v>5</v>
      </c>
      <c r="D13" s="32" t="s">
        <v>56</v>
      </c>
      <c r="E13" s="35"/>
      <c r="F13" s="32" t="s">
        <v>70</v>
      </c>
      <c r="G13" s="35"/>
      <c r="H13" s="32" t="s">
        <v>71</v>
      </c>
      <c r="I13" s="35"/>
      <c r="J13" s="32" t="s">
        <v>72</v>
      </c>
      <c r="K13" s="35"/>
      <c r="L13" s="32"/>
      <c r="M13" s="34"/>
      <c r="N13" s="35">
        <v>1000</v>
      </c>
      <c r="O13" s="35"/>
      <c r="P13" s="33"/>
      <c r="Q13" s="32">
        <v>10</v>
      </c>
      <c r="R13" s="33"/>
      <c r="S13" s="28"/>
      <c r="T13" s="29"/>
      <c r="U13" s="28"/>
      <c r="V13" s="29"/>
      <c r="W13" s="30">
        <f t="shared" si="0"/>
        <v>0</v>
      </c>
      <c r="X13" s="31"/>
      <c r="Y13" s="28"/>
      <c r="Z13" s="29"/>
      <c r="AA13" s="28"/>
      <c r="AB13" s="29"/>
      <c r="AC13" s="30">
        <f t="shared" si="2"/>
        <v>0</v>
      </c>
      <c r="AD13" s="31"/>
      <c r="AE13" s="81"/>
      <c r="AF13" s="29"/>
      <c r="AG13" s="28"/>
      <c r="AH13" s="29"/>
      <c r="AI13" s="30">
        <f t="shared" si="3"/>
        <v>0</v>
      </c>
      <c r="AJ13" s="31"/>
      <c r="AK13" s="81"/>
      <c r="AL13" s="29"/>
      <c r="AM13" s="28"/>
      <c r="AN13" s="29"/>
      <c r="AO13" s="30">
        <f t="shared" si="1"/>
        <v>0</v>
      </c>
      <c r="AP13" s="31"/>
    </row>
    <row r="14" spans="3:42" ht="75" customHeight="1" x14ac:dyDescent="0.25">
      <c r="C14" s="12">
        <v>6</v>
      </c>
      <c r="D14" s="32" t="s">
        <v>56</v>
      </c>
      <c r="E14" s="35"/>
      <c r="F14" s="32" t="s">
        <v>73</v>
      </c>
      <c r="G14" s="35"/>
      <c r="H14" s="32" t="s">
        <v>70</v>
      </c>
      <c r="I14" s="35"/>
      <c r="J14" s="32" t="s">
        <v>70</v>
      </c>
      <c r="K14" s="35"/>
      <c r="L14" s="32"/>
      <c r="M14" s="34"/>
      <c r="N14" s="35">
        <v>800</v>
      </c>
      <c r="O14" s="35"/>
      <c r="P14" s="33"/>
      <c r="Q14" s="32">
        <v>10</v>
      </c>
      <c r="R14" s="33"/>
      <c r="S14" s="28"/>
      <c r="T14" s="29"/>
      <c r="U14" s="28"/>
      <c r="V14" s="29"/>
      <c r="W14" s="30">
        <f t="shared" si="0"/>
        <v>0</v>
      </c>
      <c r="X14" s="31"/>
      <c r="Y14" s="28"/>
      <c r="Z14" s="29"/>
      <c r="AA14" s="28"/>
      <c r="AB14" s="29"/>
      <c r="AC14" s="30">
        <f t="shared" si="2"/>
        <v>0</v>
      </c>
      <c r="AD14" s="31"/>
      <c r="AE14" s="81"/>
      <c r="AF14" s="29"/>
      <c r="AG14" s="28">
        <v>1</v>
      </c>
      <c r="AH14" s="29"/>
      <c r="AI14" s="30">
        <f t="shared" si="3"/>
        <v>1</v>
      </c>
      <c r="AJ14" s="31"/>
      <c r="AK14" s="81"/>
      <c r="AL14" s="29"/>
      <c r="AM14" s="28">
        <v>1</v>
      </c>
      <c r="AN14" s="29"/>
      <c r="AO14" s="30">
        <f t="shared" si="1"/>
        <v>1</v>
      </c>
      <c r="AP14" s="31"/>
    </row>
    <row r="15" spans="3:42" ht="75" customHeight="1" x14ac:dyDescent="0.25">
      <c r="C15" s="12">
        <v>7</v>
      </c>
      <c r="D15" s="32" t="s">
        <v>56</v>
      </c>
      <c r="E15" s="35"/>
      <c r="F15" s="32" t="s">
        <v>73</v>
      </c>
      <c r="G15" s="35"/>
      <c r="H15" s="32" t="s">
        <v>74</v>
      </c>
      <c r="I15" s="35"/>
      <c r="J15" s="32" t="s">
        <v>74</v>
      </c>
      <c r="K15" s="35"/>
      <c r="L15" s="32"/>
      <c r="M15" s="34"/>
      <c r="N15" s="35">
        <v>500</v>
      </c>
      <c r="O15" s="35"/>
      <c r="P15" s="33"/>
      <c r="Q15" s="32">
        <v>5</v>
      </c>
      <c r="R15" s="33"/>
      <c r="S15" s="28">
        <v>1</v>
      </c>
      <c r="T15" s="29"/>
      <c r="U15" s="28"/>
      <c r="V15" s="29"/>
      <c r="W15" s="30">
        <f t="shared" si="0"/>
        <v>1</v>
      </c>
      <c r="X15" s="31"/>
      <c r="Y15" s="28"/>
      <c r="Z15" s="29"/>
      <c r="AA15" s="28"/>
      <c r="AB15" s="29"/>
      <c r="AC15" s="30">
        <f t="shared" si="2"/>
        <v>0</v>
      </c>
      <c r="AD15" s="31"/>
      <c r="AE15" s="81">
        <v>1</v>
      </c>
      <c r="AF15" s="29"/>
      <c r="AG15" s="28"/>
      <c r="AH15" s="29"/>
      <c r="AI15" s="30">
        <f t="shared" si="3"/>
        <v>1</v>
      </c>
      <c r="AJ15" s="31"/>
      <c r="AK15" s="81">
        <v>2</v>
      </c>
      <c r="AL15" s="29"/>
      <c r="AM15" s="28"/>
      <c r="AN15" s="29"/>
      <c r="AO15" s="30">
        <f t="shared" si="1"/>
        <v>2</v>
      </c>
      <c r="AP15" s="31"/>
    </row>
    <row r="16" spans="3:42" ht="75" customHeight="1" x14ac:dyDescent="0.25">
      <c r="C16" s="12">
        <v>8</v>
      </c>
      <c r="D16" s="32" t="s">
        <v>56</v>
      </c>
      <c r="E16" s="35"/>
      <c r="F16" s="32" t="s">
        <v>73</v>
      </c>
      <c r="G16" s="35"/>
      <c r="H16" s="32" t="s">
        <v>75</v>
      </c>
      <c r="I16" s="35"/>
      <c r="J16" s="32" t="s">
        <v>76</v>
      </c>
      <c r="K16" s="35"/>
      <c r="L16" s="32"/>
      <c r="M16" s="34"/>
      <c r="N16" s="35">
        <v>1200</v>
      </c>
      <c r="O16" s="35"/>
      <c r="P16" s="33"/>
      <c r="Q16" s="32">
        <v>12</v>
      </c>
      <c r="R16" s="33"/>
      <c r="S16" s="28"/>
      <c r="T16" s="29"/>
      <c r="U16" s="28"/>
      <c r="V16" s="29"/>
      <c r="W16" s="30">
        <f t="shared" si="0"/>
        <v>0</v>
      </c>
      <c r="X16" s="31"/>
      <c r="Y16" s="28">
        <v>1</v>
      </c>
      <c r="Z16" s="29"/>
      <c r="AA16" s="28">
        <v>2</v>
      </c>
      <c r="AB16" s="29"/>
      <c r="AC16" s="30">
        <f t="shared" si="2"/>
        <v>3</v>
      </c>
      <c r="AD16" s="31"/>
      <c r="AE16" s="81">
        <v>1</v>
      </c>
      <c r="AF16" s="29"/>
      <c r="AG16" s="28"/>
      <c r="AH16" s="29"/>
      <c r="AI16" s="30">
        <f t="shared" si="3"/>
        <v>1</v>
      </c>
      <c r="AJ16" s="31"/>
      <c r="AK16" s="81">
        <v>2</v>
      </c>
      <c r="AL16" s="29"/>
      <c r="AM16" s="28">
        <v>2</v>
      </c>
      <c r="AN16" s="29"/>
      <c r="AO16" s="30">
        <f t="shared" si="1"/>
        <v>4</v>
      </c>
      <c r="AP16" s="31"/>
    </row>
    <row r="17" spans="3:42" ht="75" customHeight="1" x14ac:dyDescent="0.25">
      <c r="C17" s="12">
        <v>9</v>
      </c>
      <c r="D17" s="32" t="s">
        <v>56</v>
      </c>
      <c r="E17" s="35"/>
      <c r="F17" s="32" t="s">
        <v>73</v>
      </c>
      <c r="G17" s="35"/>
      <c r="H17" s="32" t="s">
        <v>77</v>
      </c>
      <c r="I17" s="35"/>
      <c r="J17" s="32" t="s">
        <v>78</v>
      </c>
      <c r="K17" s="35"/>
      <c r="L17" s="32"/>
      <c r="M17" s="34"/>
      <c r="N17" s="35">
        <v>800</v>
      </c>
      <c r="O17" s="35"/>
      <c r="P17" s="33"/>
      <c r="Q17" s="32">
        <v>10</v>
      </c>
      <c r="R17" s="33"/>
      <c r="S17" s="28"/>
      <c r="T17" s="29"/>
      <c r="U17" s="28">
        <v>1</v>
      </c>
      <c r="V17" s="29"/>
      <c r="W17" s="30">
        <f t="shared" si="0"/>
        <v>1</v>
      </c>
      <c r="X17" s="31"/>
      <c r="Y17" s="28">
        <v>2</v>
      </c>
      <c r="Z17" s="29"/>
      <c r="AA17" s="28">
        <v>2</v>
      </c>
      <c r="AB17" s="29"/>
      <c r="AC17" s="30">
        <f t="shared" si="2"/>
        <v>4</v>
      </c>
      <c r="AD17" s="31"/>
      <c r="AE17" s="81">
        <v>1</v>
      </c>
      <c r="AF17" s="29"/>
      <c r="AG17" s="28"/>
      <c r="AH17" s="29"/>
      <c r="AI17" s="30">
        <f t="shared" si="3"/>
        <v>1</v>
      </c>
      <c r="AJ17" s="31"/>
      <c r="AK17" s="81">
        <v>3</v>
      </c>
      <c r="AL17" s="29"/>
      <c r="AM17" s="28">
        <v>3</v>
      </c>
      <c r="AN17" s="29"/>
      <c r="AO17" s="30">
        <f t="shared" si="1"/>
        <v>6</v>
      </c>
      <c r="AP17" s="31"/>
    </row>
    <row r="18" spans="3:42" ht="75" customHeight="1" x14ac:dyDescent="0.25">
      <c r="C18" s="12">
        <v>10</v>
      </c>
      <c r="D18" s="32" t="s">
        <v>56</v>
      </c>
      <c r="E18" s="35"/>
      <c r="F18" s="32" t="s">
        <v>73</v>
      </c>
      <c r="G18" s="35"/>
      <c r="H18" s="32" t="s">
        <v>79</v>
      </c>
      <c r="I18" s="35"/>
      <c r="J18" s="32" t="s">
        <v>80</v>
      </c>
      <c r="K18" s="35"/>
      <c r="L18" s="32"/>
      <c r="M18" s="34"/>
      <c r="N18" s="35">
        <v>400</v>
      </c>
      <c r="O18" s="35"/>
      <c r="P18" s="33"/>
      <c r="Q18" s="32">
        <v>4</v>
      </c>
      <c r="R18" s="33"/>
      <c r="S18" s="28"/>
      <c r="T18" s="29"/>
      <c r="U18" s="28"/>
      <c r="V18" s="29"/>
      <c r="W18" s="30">
        <f t="shared" si="0"/>
        <v>0</v>
      </c>
      <c r="X18" s="31"/>
      <c r="Y18" s="28"/>
      <c r="Z18" s="29"/>
      <c r="AA18" s="28"/>
      <c r="AB18" s="29"/>
      <c r="AC18" s="30">
        <f t="shared" si="2"/>
        <v>0</v>
      </c>
      <c r="AD18" s="31"/>
      <c r="AE18" s="81"/>
      <c r="AF18" s="29"/>
      <c r="AG18" s="28"/>
      <c r="AH18" s="29"/>
      <c r="AI18" s="30">
        <f t="shared" si="3"/>
        <v>0</v>
      </c>
      <c r="AJ18" s="31"/>
      <c r="AK18" s="81"/>
      <c r="AL18" s="29"/>
      <c r="AM18" s="28"/>
      <c r="AN18" s="29"/>
      <c r="AO18" s="30">
        <f t="shared" si="1"/>
        <v>0</v>
      </c>
      <c r="AP18" s="31"/>
    </row>
    <row r="19" spans="3:42" ht="75" customHeight="1" x14ac:dyDescent="0.25">
      <c r="C19" s="12">
        <v>11</v>
      </c>
      <c r="D19" s="32" t="s">
        <v>56</v>
      </c>
      <c r="E19" s="35"/>
      <c r="F19" s="32" t="s">
        <v>73</v>
      </c>
      <c r="G19" s="35"/>
      <c r="H19" s="32" t="s">
        <v>81</v>
      </c>
      <c r="I19" s="35"/>
      <c r="J19" s="32" t="s">
        <v>81</v>
      </c>
      <c r="K19" s="35"/>
      <c r="L19" s="32"/>
      <c r="M19" s="34"/>
      <c r="N19" s="35">
        <v>600</v>
      </c>
      <c r="O19" s="35"/>
      <c r="P19" s="33"/>
      <c r="Q19" s="32">
        <v>6</v>
      </c>
      <c r="R19" s="33"/>
      <c r="S19" s="28"/>
      <c r="T19" s="29"/>
      <c r="U19" s="28">
        <v>2</v>
      </c>
      <c r="V19" s="29"/>
      <c r="W19" s="30">
        <f t="shared" si="0"/>
        <v>2</v>
      </c>
      <c r="X19" s="31"/>
      <c r="Y19" s="28">
        <v>1</v>
      </c>
      <c r="Z19" s="29"/>
      <c r="AA19" s="28"/>
      <c r="AB19" s="29"/>
      <c r="AC19" s="30">
        <f t="shared" si="2"/>
        <v>1</v>
      </c>
      <c r="AD19" s="31"/>
      <c r="AE19" s="81"/>
      <c r="AF19" s="29"/>
      <c r="AG19" s="28"/>
      <c r="AH19" s="29"/>
      <c r="AI19" s="30">
        <f t="shared" si="3"/>
        <v>0</v>
      </c>
      <c r="AJ19" s="31"/>
      <c r="AK19" s="81">
        <v>1</v>
      </c>
      <c r="AL19" s="29"/>
      <c r="AM19" s="28">
        <v>2</v>
      </c>
      <c r="AN19" s="29"/>
      <c r="AO19" s="30">
        <f t="shared" si="1"/>
        <v>3</v>
      </c>
      <c r="AP19" s="31"/>
    </row>
    <row r="20" spans="3:42" ht="75" customHeight="1" x14ac:dyDescent="0.25">
      <c r="C20" s="12">
        <v>12</v>
      </c>
      <c r="D20" s="32" t="s">
        <v>56</v>
      </c>
      <c r="E20" s="35"/>
      <c r="F20" s="32" t="s">
        <v>73</v>
      </c>
      <c r="G20" s="35"/>
      <c r="H20" s="32" t="s">
        <v>82</v>
      </c>
      <c r="I20" s="35"/>
      <c r="J20" s="32" t="s">
        <v>83</v>
      </c>
      <c r="K20" s="35"/>
      <c r="L20" s="32"/>
      <c r="M20" s="34"/>
      <c r="N20" s="35">
        <v>900</v>
      </c>
      <c r="O20" s="35"/>
      <c r="P20" s="33"/>
      <c r="Q20" s="32">
        <v>10</v>
      </c>
      <c r="R20" s="33"/>
      <c r="S20" s="28">
        <v>1</v>
      </c>
      <c r="T20" s="29"/>
      <c r="U20" s="28">
        <v>4</v>
      </c>
      <c r="V20" s="29"/>
      <c r="W20" s="30">
        <f t="shared" si="0"/>
        <v>5</v>
      </c>
      <c r="X20" s="31"/>
      <c r="Y20" s="28"/>
      <c r="Z20" s="29"/>
      <c r="AA20" s="28">
        <v>2</v>
      </c>
      <c r="AB20" s="29"/>
      <c r="AC20" s="30">
        <f t="shared" si="2"/>
        <v>2</v>
      </c>
      <c r="AD20" s="31"/>
      <c r="AE20" s="81">
        <v>1</v>
      </c>
      <c r="AF20" s="29"/>
      <c r="AG20" s="28">
        <v>1</v>
      </c>
      <c r="AH20" s="29"/>
      <c r="AI20" s="30">
        <f t="shared" si="3"/>
        <v>2</v>
      </c>
      <c r="AJ20" s="31"/>
      <c r="AK20" s="81">
        <v>2</v>
      </c>
      <c r="AL20" s="29"/>
      <c r="AM20" s="28">
        <v>7</v>
      </c>
      <c r="AN20" s="29"/>
      <c r="AO20" s="30">
        <f t="shared" si="1"/>
        <v>9</v>
      </c>
      <c r="AP20" s="31"/>
    </row>
    <row r="21" spans="3:42" ht="75" customHeight="1" x14ac:dyDescent="0.25">
      <c r="C21" s="12">
        <v>13</v>
      </c>
      <c r="D21" s="32" t="s">
        <v>56</v>
      </c>
      <c r="E21" s="35"/>
      <c r="F21" s="32" t="s">
        <v>84</v>
      </c>
      <c r="G21" s="35"/>
      <c r="H21" s="32" t="s">
        <v>84</v>
      </c>
      <c r="I21" s="35"/>
      <c r="J21" s="82" t="s">
        <v>84</v>
      </c>
      <c r="K21" s="82"/>
      <c r="L21" s="32"/>
      <c r="M21" s="34"/>
      <c r="N21" s="35">
        <v>1000</v>
      </c>
      <c r="O21" s="35"/>
      <c r="P21" s="33"/>
      <c r="Q21" s="32">
        <v>10</v>
      </c>
      <c r="R21" s="33"/>
      <c r="S21" s="28">
        <v>1</v>
      </c>
      <c r="T21" s="29"/>
      <c r="U21" s="28"/>
      <c r="V21" s="29"/>
      <c r="W21" s="30">
        <f t="shared" si="0"/>
        <v>1</v>
      </c>
      <c r="X21" s="31"/>
      <c r="Y21" s="28">
        <v>2</v>
      </c>
      <c r="Z21" s="29"/>
      <c r="AA21" s="28"/>
      <c r="AB21" s="29"/>
      <c r="AC21" s="30">
        <f t="shared" si="2"/>
        <v>2</v>
      </c>
      <c r="AD21" s="31"/>
      <c r="AE21" s="81"/>
      <c r="AF21" s="29"/>
      <c r="AG21" s="28">
        <v>1</v>
      </c>
      <c r="AH21" s="29"/>
      <c r="AI21" s="30">
        <f t="shared" si="3"/>
        <v>1</v>
      </c>
      <c r="AJ21" s="31"/>
      <c r="AK21" s="81">
        <v>3</v>
      </c>
      <c r="AL21" s="29"/>
      <c r="AM21" s="28">
        <v>1</v>
      </c>
      <c r="AN21" s="29"/>
      <c r="AO21" s="30">
        <f t="shared" si="1"/>
        <v>4</v>
      </c>
      <c r="AP21" s="31"/>
    </row>
    <row r="22" spans="3:42" ht="75" customHeight="1" thickBot="1" x14ac:dyDescent="0.3">
      <c r="C22" s="14">
        <v>14</v>
      </c>
      <c r="D22" s="83" t="s">
        <v>56</v>
      </c>
      <c r="E22" s="84"/>
      <c r="F22" s="83" t="s">
        <v>84</v>
      </c>
      <c r="G22" s="84"/>
      <c r="H22" s="83" t="s">
        <v>85</v>
      </c>
      <c r="I22" s="84"/>
      <c r="J22" s="83" t="s">
        <v>85</v>
      </c>
      <c r="K22" s="84"/>
      <c r="L22" s="83"/>
      <c r="M22" s="85"/>
      <c r="N22" s="84">
        <v>1800</v>
      </c>
      <c r="O22" s="84"/>
      <c r="P22" s="86"/>
      <c r="Q22" s="83">
        <v>17</v>
      </c>
      <c r="R22" s="86"/>
      <c r="S22" s="87"/>
      <c r="T22" s="88"/>
      <c r="U22" s="89"/>
      <c r="V22" s="88"/>
      <c r="W22" s="90">
        <f t="shared" si="0"/>
        <v>0</v>
      </c>
      <c r="X22" s="91"/>
      <c r="Y22" s="87"/>
      <c r="Z22" s="88"/>
      <c r="AA22" s="89"/>
      <c r="AB22" s="88"/>
      <c r="AC22" s="90">
        <f t="shared" si="2"/>
        <v>0</v>
      </c>
      <c r="AD22" s="91"/>
      <c r="AE22" s="87"/>
      <c r="AF22" s="88"/>
      <c r="AG22" s="89"/>
      <c r="AH22" s="88"/>
      <c r="AI22" s="90">
        <f t="shared" si="3"/>
        <v>0</v>
      </c>
      <c r="AJ22" s="91"/>
      <c r="AK22" s="87"/>
      <c r="AL22" s="88"/>
      <c r="AM22" s="89"/>
      <c r="AN22" s="88"/>
      <c r="AO22" s="90">
        <f t="shared" si="1"/>
        <v>0</v>
      </c>
      <c r="AP22" s="91"/>
    </row>
    <row r="23" spans="3:42" s="6" customFormat="1" ht="75" customHeight="1" thickBot="1" x14ac:dyDescent="0.3">
      <c r="C23" s="25" t="s">
        <v>97</v>
      </c>
      <c r="D23" s="26"/>
      <c r="E23" s="26"/>
      <c r="F23" s="26"/>
      <c r="G23" s="26"/>
      <c r="H23" s="26"/>
      <c r="I23" s="26"/>
      <c r="J23" s="26"/>
      <c r="K23" s="26"/>
      <c r="L23" s="26"/>
      <c r="M23" s="27"/>
      <c r="N23" s="24">
        <f>SUM(N9:P22)</f>
        <v>20500</v>
      </c>
      <c r="O23" s="24"/>
      <c r="P23" s="23"/>
      <c r="Q23" s="22">
        <f>SUM(Q9:R22)</f>
        <v>144</v>
      </c>
      <c r="R23" s="23"/>
      <c r="S23" s="16">
        <f>SUM(S9:T22)</f>
        <v>7</v>
      </c>
      <c r="T23" s="18"/>
      <c r="U23" s="16">
        <f>SUM(U9:V22)</f>
        <v>15</v>
      </c>
      <c r="V23" s="18"/>
      <c r="W23" s="16">
        <f t="shared" ref="W23" si="4">SUM(W9:X22)</f>
        <v>22</v>
      </c>
      <c r="X23" s="18"/>
      <c r="Y23" s="16">
        <f t="shared" ref="Y23" si="5">SUM(Y9:Z22)</f>
        <v>9</v>
      </c>
      <c r="Z23" s="18"/>
      <c r="AA23" s="16">
        <f t="shared" ref="AA23" si="6">SUM(AA9:AB22)</f>
        <v>12</v>
      </c>
      <c r="AB23" s="18"/>
      <c r="AC23" s="16">
        <f t="shared" ref="AC23" si="7">SUM(AC9:AD22)</f>
        <v>21</v>
      </c>
      <c r="AD23" s="18"/>
      <c r="AE23" s="16">
        <f t="shared" ref="AE23" si="8">SUM(AE9:AF22)</f>
        <v>7</v>
      </c>
      <c r="AF23" s="18"/>
      <c r="AG23" s="16">
        <f t="shared" ref="AG23" si="9">SUM(AG9:AH22)</f>
        <v>10</v>
      </c>
      <c r="AH23" s="18"/>
      <c r="AI23" s="16">
        <f t="shared" ref="AI23" si="10">SUM(AI9:AJ22)</f>
        <v>17</v>
      </c>
      <c r="AJ23" s="18"/>
      <c r="AK23" s="16">
        <f>SUM(AK9:AL22)</f>
        <v>23</v>
      </c>
      <c r="AL23" s="18"/>
      <c r="AM23" s="16">
        <f>SUM(AM9:AN22)</f>
        <v>37</v>
      </c>
      <c r="AN23" s="18"/>
      <c r="AO23" s="16">
        <f t="shared" ref="AO23" si="11">SUM(AO9:AP22)</f>
        <v>60</v>
      </c>
      <c r="AP23" s="17"/>
    </row>
    <row r="24" spans="3:42" ht="75" customHeight="1" x14ac:dyDescent="0.25">
      <c r="C24" s="13">
        <v>15</v>
      </c>
      <c r="D24" s="92" t="s">
        <v>56</v>
      </c>
      <c r="E24" s="93"/>
      <c r="F24" s="92" t="s">
        <v>86</v>
      </c>
      <c r="G24" s="93"/>
      <c r="H24" s="92" t="s">
        <v>86</v>
      </c>
      <c r="I24" s="93"/>
      <c r="J24" s="92" t="s">
        <v>86</v>
      </c>
      <c r="K24" s="93"/>
      <c r="L24" s="92"/>
      <c r="M24" s="94"/>
      <c r="N24" s="93">
        <v>1500</v>
      </c>
      <c r="O24" s="93"/>
      <c r="P24" s="95"/>
      <c r="Q24" s="92">
        <v>15</v>
      </c>
      <c r="R24" s="95"/>
      <c r="S24" s="98"/>
      <c r="T24" s="99"/>
      <c r="U24" s="100"/>
      <c r="V24" s="99"/>
      <c r="W24" s="96">
        <f t="shared" si="0"/>
        <v>0</v>
      </c>
      <c r="X24" s="97"/>
      <c r="Y24" s="98"/>
      <c r="Z24" s="99"/>
      <c r="AA24" s="100"/>
      <c r="AB24" s="99"/>
      <c r="AC24" s="96">
        <f t="shared" si="2"/>
        <v>0</v>
      </c>
      <c r="AD24" s="97"/>
      <c r="AE24" s="98">
        <v>1</v>
      </c>
      <c r="AF24" s="99"/>
      <c r="AG24" s="100">
        <v>1</v>
      </c>
      <c r="AH24" s="99"/>
      <c r="AI24" s="96">
        <f t="shared" si="3"/>
        <v>2</v>
      </c>
      <c r="AJ24" s="97"/>
      <c r="AK24" s="98">
        <v>1</v>
      </c>
      <c r="AL24" s="99"/>
      <c r="AM24" s="100">
        <v>1</v>
      </c>
      <c r="AN24" s="99"/>
      <c r="AO24" s="96">
        <f t="shared" si="1"/>
        <v>2</v>
      </c>
      <c r="AP24" s="97"/>
    </row>
    <row r="25" spans="3:42" ht="75" customHeight="1" x14ac:dyDescent="0.25">
      <c r="C25" s="12">
        <v>16</v>
      </c>
      <c r="D25" s="32" t="s">
        <v>56</v>
      </c>
      <c r="E25" s="35"/>
      <c r="F25" s="32" t="s">
        <v>87</v>
      </c>
      <c r="G25" s="35"/>
      <c r="H25" s="32" t="s">
        <v>87</v>
      </c>
      <c r="I25" s="35"/>
      <c r="J25" s="32" t="s">
        <v>89</v>
      </c>
      <c r="K25" s="35"/>
      <c r="L25" s="32"/>
      <c r="M25" s="34"/>
      <c r="N25" s="35">
        <v>700</v>
      </c>
      <c r="O25" s="35"/>
      <c r="P25" s="33"/>
      <c r="Q25" s="32">
        <v>8</v>
      </c>
      <c r="R25" s="33"/>
      <c r="S25" s="81">
        <v>1</v>
      </c>
      <c r="T25" s="29"/>
      <c r="U25" s="28">
        <v>2</v>
      </c>
      <c r="V25" s="29"/>
      <c r="W25" s="30">
        <f t="shared" si="0"/>
        <v>3</v>
      </c>
      <c r="X25" s="31"/>
      <c r="Y25" s="81">
        <v>2</v>
      </c>
      <c r="Z25" s="29"/>
      <c r="AA25" s="28">
        <v>5</v>
      </c>
      <c r="AB25" s="29"/>
      <c r="AC25" s="30">
        <f t="shared" si="2"/>
        <v>7</v>
      </c>
      <c r="AD25" s="31"/>
      <c r="AE25" s="81">
        <v>2</v>
      </c>
      <c r="AF25" s="29"/>
      <c r="AG25" s="28"/>
      <c r="AH25" s="29"/>
      <c r="AI25" s="30">
        <f t="shared" si="3"/>
        <v>2</v>
      </c>
      <c r="AJ25" s="31"/>
      <c r="AK25" s="81">
        <v>5</v>
      </c>
      <c r="AL25" s="29"/>
      <c r="AM25" s="28">
        <v>7</v>
      </c>
      <c r="AN25" s="29"/>
      <c r="AO25" s="30">
        <f t="shared" si="1"/>
        <v>12</v>
      </c>
      <c r="AP25" s="31"/>
    </row>
    <row r="26" spans="3:42" ht="75" customHeight="1" x14ac:dyDescent="0.25">
      <c r="C26" s="12">
        <v>17</v>
      </c>
      <c r="D26" s="32" t="s">
        <v>56</v>
      </c>
      <c r="E26" s="35"/>
      <c r="F26" s="32" t="s">
        <v>87</v>
      </c>
      <c r="G26" s="35"/>
      <c r="H26" s="32" t="s">
        <v>88</v>
      </c>
      <c r="I26" s="35"/>
      <c r="J26" s="32" t="s">
        <v>88</v>
      </c>
      <c r="K26" s="35"/>
      <c r="L26" s="32"/>
      <c r="M26" s="34"/>
      <c r="N26" s="35">
        <v>1000</v>
      </c>
      <c r="O26" s="35"/>
      <c r="P26" s="33"/>
      <c r="Q26" s="32">
        <v>10</v>
      </c>
      <c r="R26" s="33"/>
      <c r="S26" s="81">
        <v>1</v>
      </c>
      <c r="T26" s="29"/>
      <c r="U26" s="28">
        <v>1</v>
      </c>
      <c r="V26" s="29"/>
      <c r="W26" s="30">
        <f t="shared" si="0"/>
        <v>2</v>
      </c>
      <c r="X26" s="31"/>
      <c r="Y26" s="81"/>
      <c r="Z26" s="29"/>
      <c r="AA26" s="28"/>
      <c r="AB26" s="29"/>
      <c r="AC26" s="30">
        <f t="shared" si="2"/>
        <v>0</v>
      </c>
      <c r="AD26" s="31"/>
      <c r="AE26" s="81">
        <v>2</v>
      </c>
      <c r="AF26" s="29"/>
      <c r="AG26" s="28">
        <v>2</v>
      </c>
      <c r="AH26" s="29"/>
      <c r="AI26" s="30">
        <f t="shared" si="3"/>
        <v>4</v>
      </c>
      <c r="AJ26" s="31"/>
      <c r="AK26" s="81">
        <v>3</v>
      </c>
      <c r="AL26" s="29"/>
      <c r="AM26" s="28">
        <v>3</v>
      </c>
      <c r="AN26" s="29"/>
      <c r="AO26" s="30">
        <f t="shared" si="1"/>
        <v>6</v>
      </c>
      <c r="AP26" s="31"/>
    </row>
    <row r="27" spans="3:42" ht="75" customHeight="1" x14ac:dyDescent="0.25">
      <c r="C27" s="12">
        <v>18</v>
      </c>
      <c r="D27" s="32" t="s">
        <v>56</v>
      </c>
      <c r="E27" s="33"/>
      <c r="F27" s="32" t="s">
        <v>89</v>
      </c>
      <c r="G27" s="33"/>
      <c r="H27" s="32" t="s">
        <v>90</v>
      </c>
      <c r="I27" s="33"/>
      <c r="J27" s="32" t="s">
        <v>90</v>
      </c>
      <c r="K27" s="33"/>
      <c r="L27" s="32"/>
      <c r="M27" s="34"/>
      <c r="N27" s="35">
        <v>400</v>
      </c>
      <c r="O27" s="35"/>
      <c r="P27" s="33"/>
      <c r="Q27" s="32">
        <v>5</v>
      </c>
      <c r="R27" s="33"/>
      <c r="S27" s="28">
        <v>2</v>
      </c>
      <c r="T27" s="29"/>
      <c r="U27" s="28">
        <v>2</v>
      </c>
      <c r="V27" s="29"/>
      <c r="W27" s="30">
        <f t="shared" si="0"/>
        <v>4</v>
      </c>
      <c r="X27" s="31"/>
      <c r="Y27" s="28">
        <v>1</v>
      </c>
      <c r="Z27" s="29"/>
      <c r="AA27" s="28"/>
      <c r="AB27" s="29"/>
      <c r="AC27" s="30">
        <f t="shared" si="2"/>
        <v>1</v>
      </c>
      <c r="AD27" s="31"/>
      <c r="AE27" s="28">
        <v>2</v>
      </c>
      <c r="AF27" s="29"/>
      <c r="AG27" s="28">
        <v>2</v>
      </c>
      <c r="AH27" s="29"/>
      <c r="AI27" s="30">
        <f t="shared" si="3"/>
        <v>4</v>
      </c>
      <c r="AJ27" s="31"/>
      <c r="AK27" s="28">
        <v>5</v>
      </c>
      <c r="AL27" s="29"/>
      <c r="AM27" s="28">
        <v>4</v>
      </c>
      <c r="AN27" s="29"/>
      <c r="AO27" s="30">
        <f t="shared" si="1"/>
        <v>9</v>
      </c>
      <c r="AP27" s="31"/>
    </row>
    <row r="28" spans="3:42" ht="75" customHeight="1" x14ac:dyDescent="0.25">
      <c r="C28" s="12">
        <v>19</v>
      </c>
      <c r="D28" s="32" t="s">
        <v>56</v>
      </c>
      <c r="E28" s="33"/>
      <c r="F28" s="32" t="s">
        <v>89</v>
      </c>
      <c r="G28" s="33"/>
      <c r="H28" s="32" t="s">
        <v>91</v>
      </c>
      <c r="I28" s="33"/>
      <c r="J28" s="32" t="s">
        <v>91</v>
      </c>
      <c r="K28" s="33"/>
      <c r="L28" s="32"/>
      <c r="M28" s="34"/>
      <c r="N28" s="35">
        <v>1500</v>
      </c>
      <c r="O28" s="35"/>
      <c r="P28" s="33"/>
      <c r="Q28" s="32">
        <v>15</v>
      </c>
      <c r="R28" s="33"/>
      <c r="S28" s="28"/>
      <c r="T28" s="29"/>
      <c r="U28" s="28"/>
      <c r="V28" s="29"/>
      <c r="W28" s="30">
        <f t="shared" si="0"/>
        <v>0</v>
      </c>
      <c r="X28" s="31"/>
      <c r="Y28" s="28"/>
      <c r="Z28" s="29"/>
      <c r="AA28" s="28">
        <v>1</v>
      </c>
      <c r="AB28" s="29"/>
      <c r="AC28" s="30">
        <f t="shared" si="2"/>
        <v>1</v>
      </c>
      <c r="AD28" s="31"/>
      <c r="AE28" s="28"/>
      <c r="AF28" s="29"/>
      <c r="AG28" s="28"/>
      <c r="AH28" s="29"/>
      <c r="AI28" s="30">
        <f t="shared" si="3"/>
        <v>0</v>
      </c>
      <c r="AJ28" s="31"/>
      <c r="AK28" s="28"/>
      <c r="AL28" s="29"/>
      <c r="AM28" s="28">
        <v>1</v>
      </c>
      <c r="AN28" s="29"/>
      <c r="AO28" s="30">
        <f t="shared" si="1"/>
        <v>1</v>
      </c>
      <c r="AP28" s="31"/>
    </row>
    <row r="29" spans="3:42" ht="75" customHeight="1" x14ac:dyDescent="0.25">
      <c r="C29" s="12">
        <v>20</v>
      </c>
      <c r="D29" s="32" t="s">
        <v>56</v>
      </c>
      <c r="E29" s="33"/>
      <c r="F29" s="32" t="s">
        <v>92</v>
      </c>
      <c r="G29" s="33"/>
      <c r="H29" s="32" t="s">
        <v>92</v>
      </c>
      <c r="I29" s="33"/>
      <c r="J29" s="32" t="s">
        <v>92</v>
      </c>
      <c r="K29" s="33"/>
      <c r="L29" s="32"/>
      <c r="M29" s="34"/>
      <c r="N29" s="35">
        <v>800</v>
      </c>
      <c r="O29" s="35"/>
      <c r="P29" s="33"/>
      <c r="Q29" s="32">
        <v>8</v>
      </c>
      <c r="R29" s="33"/>
      <c r="S29" s="28"/>
      <c r="T29" s="29"/>
      <c r="U29" s="28">
        <v>1</v>
      </c>
      <c r="V29" s="29"/>
      <c r="W29" s="30">
        <f t="shared" si="0"/>
        <v>1</v>
      </c>
      <c r="X29" s="31"/>
      <c r="Y29" s="28"/>
      <c r="Z29" s="29"/>
      <c r="AA29" s="28"/>
      <c r="AB29" s="29"/>
      <c r="AC29" s="30">
        <f t="shared" si="2"/>
        <v>0</v>
      </c>
      <c r="AD29" s="31"/>
      <c r="AE29" s="28"/>
      <c r="AF29" s="29"/>
      <c r="AG29" s="28"/>
      <c r="AH29" s="29"/>
      <c r="AI29" s="30">
        <f t="shared" si="3"/>
        <v>0</v>
      </c>
      <c r="AJ29" s="31"/>
      <c r="AK29" s="28"/>
      <c r="AL29" s="29"/>
      <c r="AM29" s="28">
        <v>1</v>
      </c>
      <c r="AN29" s="29"/>
      <c r="AO29" s="30">
        <f t="shared" si="1"/>
        <v>1</v>
      </c>
      <c r="AP29" s="31"/>
    </row>
    <row r="30" spans="3:42" ht="75" customHeight="1" thickBot="1" x14ac:dyDescent="0.3">
      <c r="C30" s="14">
        <v>21</v>
      </c>
      <c r="D30" s="83" t="s">
        <v>56</v>
      </c>
      <c r="E30" s="86"/>
      <c r="F30" s="83" t="s">
        <v>92</v>
      </c>
      <c r="G30" s="86"/>
      <c r="H30" s="83" t="s">
        <v>93</v>
      </c>
      <c r="I30" s="86"/>
      <c r="J30" s="83" t="s">
        <v>93</v>
      </c>
      <c r="K30" s="86"/>
      <c r="L30" s="83"/>
      <c r="M30" s="85"/>
      <c r="N30" s="84">
        <v>1500</v>
      </c>
      <c r="O30" s="84"/>
      <c r="P30" s="86"/>
      <c r="Q30" s="83">
        <v>20</v>
      </c>
      <c r="R30" s="86"/>
      <c r="S30" s="89"/>
      <c r="T30" s="88"/>
      <c r="U30" s="89"/>
      <c r="V30" s="88"/>
      <c r="W30" s="90">
        <f>S30+U30</f>
        <v>0</v>
      </c>
      <c r="X30" s="91"/>
      <c r="Y30" s="89"/>
      <c r="Z30" s="88"/>
      <c r="AA30" s="89"/>
      <c r="AB30" s="88"/>
      <c r="AC30" s="90">
        <f t="shared" si="2"/>
        <v>0</v>
      </c>
      <c r="AD30" s="91"/>
      <c r="AE30" s="89"/>
      <c r="AF30" s="88"/>
      <c r="AG30" s="89"/>
      <c r="AH30" s="88"/>
      <c r="AI30" s="90">
        <f t="shared" si="3"/>
        <v>0</v>
      </c>
      <c r="AJ30" s="91"/>
      <c r="AK30" s="89"/>
      <c r="AL30" s="88"/>
      <c r="AM30" s="89"/>
      <c r="AN30" s="88"/>
      <c r="AO30" s="90">
        <f t="shared" si="1"/>
        <v>0</v>
      </c>
      <c r="AP30" s="91"/>
    </row>
    <row r="31" spans="3:42" ht="75" customHeight="1" thickBot="1" x14ac:dyDescent="0.3">
      <c r="C31" s="19" t="s">
        <v>97</v>
      </c>
      <c r="D31" s="20"/>
      <c r="E31" s="20"/>
      <c r="F31" s="20"/>
      <c r="G31" s="20"/>
      <c r="H31" s="20"/>
      <c r="I31" s="20"/>
      <c r="J31" s="20"/>
      <c r="K31" s="20"/>
      <c r="L31" s="20"/>
      <c r="M31" s="21"/>
      <c r="N31" s="24">
        <f>SUM(N24:P30)</f>
        <v>7400</v>
      </c>
      <c r="O31" s="24"/>
      <c r="P31" s="23"/>
      <c r="Q31" s="22">
        <f>SUM(Q24:R30)</f>
        <v>81</v>
      </c>
      <c r="R31" s="23"/>
      <c r="S31" s="16">
        <f>SUM(S24:T30)</f>
        <v>4</v>
      </c>
      <c r="T31" s="18"/>
      <c r="U31" s="16">
        <f t="shared" ref="U31" si="12">SUM(U24:V30)</f>
        <v>6</v>
      </c>
      <c r="V31" s="18"/>
      <c r="W31" s="102">
        <f t="shared" ref="W31" si="13">SUM(W24:X30)</f>
        <v>10</v>
      </c>
      <c r="X31" s="18"/>
      <c r="Y31" s="16">
        <f>SUM(Y24:Z30)</f>
        <v>3</v>
      </c>
      <c r="Z31" s="18"/>
      <c r="AA31" s="16">
        <f t="shared" ref="AA31" si="14">SUM(AA24:AB30)</f>
        <v>6</v>
      </c>
      <c r="AB31" s="18"/>
      <c r="AC31" s="102">
        <f t="shared" ref="AC31" si="15">SUM(AC24:AD30)</f>
        <v>9</v>
      </c>
      <c r="AD31" s="18"/>
      <c r="AE31" s="16">
        <f t="shared" ref="AE31" si="16">SUM(AE24:AF30)</f>
        <v>7</v>
      </c>
      <c r="AF31" s="18"/>
      <c r="AG31" s="16">
        <f t="shared" ref="AG31" si="17">SUM(AG24:AH30)</f>
        <v>5</v>
      </c>
      <c r="AH31" s="18"/>
      <c r="AI31" s="16">
        <f t="shared" ref="AI31" si="18">SUM(AI24:AJ30)</f>
        <v>12</v>
      </c>
      <c r="AJ31" s="18"/>
      <c r="AK31" s="16">
        <f t="shared" ref="AK31" si="19">SUM(AK24:AL30)</f>
        <v>14</v>
      </c>
      <c r="AL31" s="18"/>
      <c r="AM31" s="16">
        <f t="shared" ref="AM31" si="20">SUM(AM24:AN30)</f>
        <v>17</v>
      </c>
      <c r="AN31" s="18"/>
      <c r="AO31" s="16">
        <f>SUM(AO24:AP30)</f>
        <v>31</v>
      </c>
      <c r="AP31" s="17"/>
    </row>
    <row r="32" spans="3:42" x14ac:dyDescent="0.3">
      <c r="C32" s="101" t="s">
        <v>25</v>
      </c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</row>
    <row r="33" spans="3:27" x14ac:dyDescent="0.3"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</row>
    <row r="34" spans="3:27" x14ac:dyDescent="0.3"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</row>
    <row r="35" spans="3:27" x14ac:dyDescent="0.3"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</row>
    <row r="36" spans="3:27" x14ac:dyDescent="0.3"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</row>
    <row r="37" spans="3:27" x14ac:dyDescent="0.3"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</row>
  </sheetData>
  <mergeCells count="457">
    <mergeCell ref="W30:X30"/>
    <mergeCell ref="Y30:Z30"/>
    <mergeCell ref="AA30:AB30"/>
    <mergeCell ref="AC30:AD30"/>
    <mergeCell ref="AE30:AF30"/>
    <mergeCell ref="AG30:AH30"/>
    <mergeCell ref="S28:T28"/>
    <mergeCell ref="U28:V28"/>
    <mergeCell ref="W28:X28"/>
    <mergeCell ref="Y28:Z28"/>
    <mergeCell ref="AA28:AB28"/>
    <mergeCell ref="AE28:AF28"/>
    <mergeCell ref="AG28:AH28"/>
    <mergeCell ref="AA29:AB29"/>
    <mergeCell ref="AC29:AD29"/>
    <mergeCell ref="AE29:AF29"/>
    <mergeCell ref="AG29:AH29"/>
    <mergeCell ref="D29:E29"/>
    <mergeCell ref="F29:G29"/>
    <mergeCell ref="AO31:AP31"/>
    <mergeCell ref="C32:AA37"/>
    <mergeCell ref="AK31:AL31"/>
    <mergeCell ref="AM31:AN31"/>
    <mergeCell ref="AC31:AD31"/>
    <mergeCell ref="AE31:AF31"/>
    <mergeCell ref="AG31:AH31"/>
    <mergeCell ref="AI31:AJ31"/>
    <mergeCell ref="AK30:AL30"/>
    <mergeCell ref="AM30:AN30"/>
    <mergeCell ref="AO30:AP30"/>
    <mergeCell ref="S31:T31"/>
    <mergeCell ref="U31:V31"/>
    <mergeCell ref="W31:X31"/>
    <mergeCell ref="Y31:Z31"/>
    <mergeCell ref="AA31:AB31"/>
    <mergeCell ref="D30:E30"/>
    <mergeCell ref="F30:G30"/>
    <mergeCell ref="H30:I30"/>
    <mergeCell ref="J30:K30"/>
    <mergeCell ref="L30:M30"/>
    <mergeCell ref="AI30:AJ30"/>
    <mergeCell ref="N30:P30"/>
    <mergeCell ref="Q30:R30"/>
    <mergeCell ref="S30:T30"/>
    <mergeCell ref="U30:V30"/>
    <mergeCell ref="AK27:AL27"/>
    <mergeCell ref="AM27:AN27"/>
    <mergeCell ref="AO27:AP27"/>
    <mergeCell ref="D28:E28"/>
    <mergeCell ref="F28:G28"/>
    <mergeCell ref="H28:I28"/>
    <mergeCell ref="J28:K28"/>
    <mergeCell ref="L28:M28"/>
    <mergeCell ref="N28:P28"/>
    <mergeCell ref="AI27:AJ27"/>
    <mergeCell ref="W27:X27"/>
    <mergeCell ref="Y27:Z27"/>
    <mergeCell ref="AA27:AB27"/>
    <mergeCell ref="AC27:AD27"/>
    <mergeCell ref="AE27:AF27"/>
    <mergeCell ref="AG27:AH27"/>
    <mergeCell ref="AO28:AP28"/>
    <mergeCell ref="AK28:AL28"/>
    <mergeCell ref="AM28:AN28"/>
    <mergeCell ref="AC28:AD28"/>
    <mergeCell ref="Q28:R28"/>
    <mergeCell ref="AC26:AD26"/>
    <mergeCell ref="AE26:AF26"/>
    <mergeCell ref="AG26:AH26"/>
    <mergeCell ref="AI26:AJ26"/>
    <mergeCell ref="Q26:R26"/>
    <mergeCell ref="S26:T26"/>
    <mergeCell ref="U26:V26"/>
    <mergeCell ref="W26:X26"/>
    <mergeCell ref="Y26:Z26"/>
    <mergeCell ref="AA26:AB26"/>
    <mergeCell ref="AI28:AJ28"/>
    <mergeCell ref="D27:E27"/>
    <mergeCell ref="F27:G27"/>
    <mergeCell ref="H27:I27"/>
    <mergeCell ref="J27:K27"/>
    <mergeCell ref="L27:M27"/>
    <mergeCell ref="N27:P27"/>
    <mergeCell ref="Q27:R27"/>
    <mergeCell ref="S27:T27"/>
    <mergeCell ref="U27:V27"/>
    <mergeCell ref="AM25:AN25"/>
    <mergeCell ref="AO25:AP25"/>
    <mergeCell ref="D26:E26"/>
    <mergeCell ref="F26:G26"/>
    <mergeCell ref="H26:I26"/>
    <mergeCell ref="J26:K26"/>
    <mergeCell ref="L26:M26"/>
    <mergeCell ref="N26:P26"/>
    <mergeCell ref="AI25:AJ25"/>
    <mergeCell ref="W25:X25"/>
    <mergeCell ref="Y25:Z25"/>
    <mergeCell ref="AA25:AB25"/>
    <mergeCell ref="AC25:AD25"/>
    <mergeCell ref="AE25:AF25"/>
    <mergeCell ref="AG25:AH25"/>
    <mergeCell ref="AO26:AP26"/>
    <mergeCell ref="AK26:AL26"/>
    <mergeCell ref="AM26:AN26"/>
    <mergeCell ref="AK22:AL22"/>
    <mergeCell ref="AM22:AN22"/>
    <mergeCell ref="AO22:AP22"/>
    <mergeCell ref="D24:E24"/>
    <mergeCell ref="F24:G24"/>
    <mergeCell ref="H24:I24"/>
    <mergeCell ref="J24:K24"/>
    <mergeCell ref="L24:M24"/>
    <mergeCell ref="N24:P24"/>
    <mergeCell ref="AI22:AJ22"/>
    <mergeCell ref="W22:X22"/>
    <mergeCell ref="Y22:Z22"/>
    <mergeCell ref="AA22:AB22"/>
    <mergeCell ref="AC22:AD22"/>
    <mergeCell ref="AE22:AF22"/>
    <mergeCell ref="AG22:AH22"/>
    <mergeCell ref="AO24:AP24"/>
    <mergeCell ref="AK24:AL24"/>
    <mergeCell ref="AM24:AN24"/>
    <mergeCell ref="AC24:AD24"/>
    <mergeCell ref="AE24:AF24"/>
    <mergeCell ref="AG24:AH24"/>
    <mergeCell ref="AI24:AJ24"/>
    <mergeCell ref="Q24:R24"/>
    <mergeCell ref="AC21:AD21"/>
    <mergeCell ref="AE21:AF21"/>
    <mergeCell ref="AG21:AH21"/>
    <mergeCell ref="AI21:AJ21"/>
    <mergeCell ref="Q21:R21"/>
    <mergeCell ref="S21:T21"/>
    <mergeCell ref="U21:V21"/>
    <mergeCell ref="W21:X21"/>
    <mergeCell ref="Y21:Z21"/>
    <mergeCell ref="AA21:AB21"/>
    <mergeCell ref="D22:E22"/>
    <mergeCell ref="F22:G22"/>
    <mergeCell ref="H22:I22"/>
    <mergeCell ref="J22:K22"/>
    <mergeCell ref="L22:M22"/>
    <mergeCell ref="N22:P22"/>
    <mergeCell ref="Q22:R22"/>
    <mergeCell ref="S22:T22"/>
    <mergeCell ref="U22:V22"/>
    <mergeCell ref="S19:T19"/>
    <mergeCell ref="U19:V19"/>
    <mergeCell ref="W19:X19"/>
    <mergeCell ref="Y19:Z19"/>
    <mergeCell ref="AA19:AB19"/>
    <mergeCell ref="AK20:AL20"/>
    <mergeCell ref="AM20:AN20"/>
    <mergeCell ref="AO20:AP20"/>
    <mergeCell ref="D21:E21"/>
    <mergeCell ref="F21:G21"/>
    <mergeCell ref="H21:I21"/>
    <mergeCell ref="J21:K21"/>
    <mergeCell ref="L21:M21"/>
    <mergeCell ref="N21:P21"/>
    <mergeCell ref="AI20:AJ20"/>
    <mergeCell ref="W20:X20"/>
    <mergeCell ref="Y20:Z20"/>
    <mergeCell ref="AA20:AB20"/>
    <mergeCell ref="AC20:AD20"/>
    <mergeCell ref="AE20:AF20"/>
    <mergeCell ref="AG20:AH20"/>
    <mergeCell ref="AO21:AP21"/>
    <mergeCell ref="AK21:AL21"/>
    <mergeCell ref="AM21:AN21"/>
    <mergeCell ref="D20:E20"/>
    <mergeCell ref="F20:G20"/>
    <mergeCell ref="H20:I20"/>
    <mergeCell ref="J20:K20"/>
    <mergeCell ref="L20:M20"/>
    <mergeCell ref="N20:P20"/>
    <mergeCell ref="Q20:R20"/>
    <mergeCell ref="S20:T20"/>
    <mergeCell ref="U20:V20"/>
    <mergeCell ref="AK18:AL18"/>
    <mergeCell ref="AM18:AN18"/>
    <mergeCell ref="AO18:AP18"/>
    <mergeCell ref="D19:E19"/>
    <mergeCell ref="F19:G19"/>
    <mergeCell ref="H19:I19"/>
    <mergeCell ref="J19:K19"/>
    <mergeCell ref="L19:M19"/>
    <mergeCell ref="N19:P19"/>
    <mergeCell ref="AI18:AJ18"/>
    <mergeCell ref="W18:X18"/>
    <mergeCell ref="Y18:Z18"/>
    <mergeCell ref="AA18:AB18"/>
    <mergeCell ref="AC18:AD18"/>
    <mergeCell ref="AE18:AF18"/>
    <mergeCell ref="AG18:AH18"/>
    <mergeCell ref="AO19:AP19"/>
    <mergeCell ref="AK19:AL19"/>
    <mergeCell ref="AM19:AN19"/>
    <mergeCell ref="AC19:AD19"/>
    <mergeCell ref="AE19:AF19"/>
    <mergeCell ref="AG19:AH19"/>
    <mergeCell ref="AI19:AJ19"/>
    <mergeCell ref="Q19:R19"/>
    <mergeCell ref="AC17:AD17"/>
    <mergeCell ref="AE17:AF17"/>
    <mergeCell ref="AG17:AH17"/>
    <mergeCell ref="AI17:AJ17"/>
    <mergeCell ref="Q17:R17"/>
    <mergeCell ref="S17:T17"/>
    <mergeCell ref="U17:V17"/>
    <mergeCell ref="W17:X17"/>
    <mergeCell ref="Y17:Z17"/>
    <mergeCell ref="AA17:AB17"/>
    <mergeCell ref="D18:E18"/>
    <mergeCell ref="F18:G18"/>
    <mergeCell ref="H18:I18"/>
    <mergeCell ref="J18:K18"/>
    <mergeCell ref="L18:M18"/>
    <mergeCell ref="N18:P18"/>
    <mergeCell ref="Q18:R18"/>
    <mergeCell ref="S18:T18"/>
    <mergeCell ref="U18:V18"/>
    <mergeCell ref="S15:T15"/>
    <mergeCell ref="U15:V15"/>
    <mergeCell ref="W15:X15"/>
    <mergeCell ref="Y15:Z15"/>
    <mergeCell ref="AA15:AB15"/>
    <mergeCell ref="AK16:AL16"/>
    <mergeCell ref="AM16:AN16"/>
    <mergeCell ref="AO16:AP16"/>
    <mergeCell ref="D17:E17"/>
    <mergeCell ref="F17:G17"/>
    <mergeCell ref="H17:I17"/>
    <mergeCell ref="J17:K17"/>
    <mergeCell ref="L17:M17"/>
    <mergeCell ref="N17:P17"/>
    <mergeCell ref="AI16:AJ16"/>
    <mergeCell ref="W16:X16"/>
    <mergeCell ref="Y16:Z16"/>
    <mergeCell ref="AA16:AB16"/>
    <mergeCell ref="AC16:AD16"/>
    <mergeCell ref="AE16:AF16"/>
    <mergeCell ref="AG16:AH16"/>
    <mergeCell ref="AO17:AP17"/>
    <mergeCell ref="AK17:AL17"/>
    <mergeCell ref="AM17:AN17"/>
    <mergeCell ref="D16:E16"/>
    <mergeCell ref="F16:G16"/>
    <mergeCell ref="H16:I16"/>
    <mergeCell ref="J16:K16"/>
    <mergeCell ref="L16:M16"/>
    <mergeCell ref="N16:P16"/>
    <mergeCell ref="Q16:R16"/>
    <mergeCell ref="S16:T16"/>
    <mergeCell ref="U16:V16"/>
    <mergeCell ref="AK14:AL14"/>
    <mergeCell ref="AM14:AN14"/>
    <mergeCell ref="AO14:AP14"/>
    <mergeCell ref="D15:E15"/>
    <mergeCell ref="F15:G15"/>
    <mergeCell ref="H15:I15"/>
    <mergeCell ref="J15:K15"/>
    <mergeCell ref="L15:M15"/>
    <mergeCell ref="N15:P15"/>
    <mergeCell ref="AI14:AJ14"/>
    <mergeCell ref="W14:X14"/>
    <mergeCell ref="Y14:Z14"/>
    <mergeCell ref="AA14:AB14"/>
    <mergeCell ref="AC14:AD14"/>
    <mergeCell ref="AE14:AF14"/>
    <mergeCell ref="AG14:AH14"/>
    <mergeCell ref="AO15:AP15"/>
    <mergeCell ref="AK15:AL15"/>
    <mergeCell ref="AM15:AN15"/>
    <mergeCell ref="AC15:AD15"/>
    <mergeCell ref="AE15:AF15"/>
    <mergeCell ref="AG15:AH15"/>
    <mergeCell ref="AI15:AJ15"/>
    <mergeCell ref="Q15:R15"/>
    <mergeCell ref="AK13:AL13"/>
    <mergeCell ref="AM13:AN13"/>
    <mergeCell ref="AE13:AF13"/>
    <mergeCell ref="AG13:AH13"/>
    <mergeCell ref="Q13:R13"/>
    <mergeCell ref="S13:T13"/>
    <mergeCell ref="U13:V13"/>
    <mergeCell ref="Y13:Z13"/>
    <mergeCell ref="AA13:AB13"/>
    <mergeCell ref="Y12:Z12"/>
    <mergeCell ref="AA12:AB12"/>
    <mergeCell ref="AC12:AD12"/>
    <mergeCell ref="AE12:AF12"/>
    <mergeCell ref="AG12:AH12"/>
    <mergeCell ref="D14:E14"/>
    <mergeCell ref="F14:G14"/>
    <mergeCell ref="H14:I14"/>
    <mergeCell ref="J14:K14"/>
    <mergeCell ref="L14:M14"/>
    <mergeCell ref="N14:P14"/>
    <mergeCell ref="Q14:R14"/>
    <mergeCell ref="S14:T14"/>
    <mergeCell ref="U14:V14"/>
    <mergeCell ref="AO13:AP13"/>
    <mergeCell ref="D12:E12"/>
    <mergeCell ref="F12:G12"/>
    <mergeCell ref="H12:I12"/>
    <mergeCell ref="J12:K12"/>
    <mergeCell ref="L12:M12"/>
    <mergeCell ref="N12:P12"/>
    <mergeCell ref="Q12:R12"/>
    <mergeCell ref="S12:T12"/>
    <mergeCell ref="U12:V12"/>
    <mergeCell ref="AC13:AD13"/>
    <mergeCell ref="AI13:AJ13"/>
    <mergeCell ref="W13:X13"/>
    <mergeCell ref="AK12:AL12"/>
    <mergeCell ref="AM12:AN12"/>
    <mergeCell ref="AO12:AP12"/>
    <mergeCell ref="D13:E13"/>
    <mergeCell ref="F13:G13"/>
    <mergeCell ref="H13:I13"/>
    <mergeCell ref="J13:K13"/>
    <mergeCell ref="L13:M13"/>
    <mergeCell ref="N13:P13"/>
    <mergeCell ref="AI12:AJ12"/>
    <mergeCell ref="W12:X12"/>
    <mergeCell ref="Y10:Z10"/>
    <mergeCell ref="AA10:AB10"/>
    <mergeCell ref="AK11:AL11"/>
    <mergeCell ref="AM11:AN11"/>
    <mergeCell ref="AO11:AP11"/>
    <mergeCell ref="AI11:AJ11"/>
    <mergeCell ref="W11:X11"/>
    <mergeCell ref="Y11:Z11"/>
    <mergeCell ref="AA11:AB11"/>
    <mergeCell ref="AC11:AD11"/>
    <mergeCell ref="AE11:AF11"/>
    <mergeCell ref="AG11:AH11"/>
    <mergeCell ref="D11:E11"/>
    <mergeCell ref="F11:G11"/>
    <mergeCell ref="H11:I11"/>
    <mergeCell ref="J11:K11"/>
    <mergeCell ref="L11:M11"/>
    <mergeCell ref="N11:P11"/>
    <mergeCell ref="Q11:R11"/>
    <mergeCell ref="S11:T11"/>
    <mergeCell ref="U11:V11"/>
    <mergeCell ref="S9:T9"/>
    <mergeCell ref="U9:V9"/>
    <mergeCell ref="W9:X9"/>
    <mergeCell ref="Y9:Z9"/>
    <mergeCell ref="AA9:AB9"/>
    <mergeCell ref="D9:E9"/>
    <mergeCell ref="F9:G9"/>
    <mergeCell ref="AO10:AP10"/>
    <mergeCell ref="D10:E10"/>
    <mergeCell ref="F10:G10"/>
    <mergeCell ref="H10:I10"/>
    <mergeCell ref="J10:K10"/>
    <mergeCell ref="L10:M10"/>
    <mergeCell ref="N10:P10"/>
    <mergeCell ref="AI10:AJ10"/>
    <mergeCell ref="W10:X10"/>
    <mergeCell ref="AC10:AD10"/>
    <mergeCell ref="AK10:AL10"/>
    <mergeCell ref="AM10:AN10"/>
    <mergeCell ref="AE10:AF10"/>
    <mergeCell ref="AG10:AH10"/>
    <mergeCell ref="Q10:R10"/>
    <mergeCell ref="S10:T10"/>
    <mergeCell ref="U10:V10"/>
    <mergeCell ref="H9:I9"/>
    <mergeCell ref="J9:K9"/>
    <mergeCell ref="L9:M9"/>
    <mergeCell ref="N9:P9"/>
    <mergeCell ref="AK8:AL8"/>
    <mergeCell ref="AM8:AN8"/>
    <mergeCell ref="AO8:AP8"/>
    <mergeCell ref="AE8:AF8"/>
    <mergeCell ref="AG8:AH8"/>
    <mergeCell ref="AI8:AJ8"/>
    <mergeCell ref="S8:T8"/>
    <mergeCell ref="U8:V8"/>
    <mergeCell ref="W8:X8"/>
    <mergeCell ref="Y8:Z8"/>
    <mergeCell ref="AA8:AB8"/>
    <mergeCell ref="AC8:AD8"/>
    <mergeCell ref="AO9:AP9"/>
    <mergeCell ref="AK9:AL9"/>
    <mergeCell ref="AM9:AN9"/>
    <mergeCell ref="AC9:AD9"/>
    <mergeCell ref="AE9:AF9"/>
    <mergeCell ref="AG9:AH9"/>
    <mergeCell ref="AI9:AJ9"/>
    <mergeCell ref="Q9:R9"/>
    <mergeCell ref="C1:AP3"/>
    <mergeCell ref="D5:K5"/>
    <mergeCell ref="L5:R5"/>
    <mergeCell ref="T5:AD5"/>
    <mergeCell ref="C6:AP6"/>
    <mergeCell ref="C7:C8"/>
    <mergeCell ref="D7:E8"/>
    <mergeCell ref="F7:G8"/>
    <mergeCell ref="H7:I8"/>
    <mergeCell ref="J7:K8"/>
    <mergeCell ref="L7:M8"/>
    <mergeCell ref="N7:P8"/>
    <mergeCell ref="Q7:R8"/>
    <mergeCell ref="S7:AP7"/>
    <mergeCell ref="AE5:AP5"/>
    <mergeCell ref="AM29:AN29"/>
    <mergeCell ref="AO29:AP29"/>
    <mergeCell ref="H29:I29"/>
    <mergeCell ref="J29:K29"/>
    <mergeCell ref="L29:M29"/>
    <mergeCell ref="N29:P29"/>
    <mergeCell ref="Q29:R29"/>
    <mergeCell ref="S29:T29"/>
    <mergeCell ref="U29:V29"/>
    <mergeCell ref="W29:X29"/>
    <mergeCell ref="Y29:Z29"/>
    <mergeCell ref="AI29:AJ29"/>
    <mergeCell ref="C31:M31"/>
    <mergeCell ref="Q31:R31"/>
    <mergeCell ref="N31:P31"/>
    <mergeCell ref="C23:M23"/>
    <mergeCell ref="N23:P23"/>
    <mergeCell ref="Q23:R23"/>
    <mergeCell ref="S23:T23"/>
    <mergeCell ref="U23:V23"/>
    <mergeCell ref="AK29:AL29"/>
    <mergeCell ref="D25:E25"/>
    <mergeCell ref="F25:G25"/>
    <mergeCell ref="H25:I25"/>
    <mergeCell ref="J25:K25"/>
    <mergeCell ref="L25:M25"/>
    <mergeCell ref="N25:P25"/>
    <mergeCell ref="Q25:R25"/>
    <mergeCell ref="S25:T25"/>
    <mergeCell ref="U25:V25"/>
    <mergeCell ref="S24:T24"/>
    <mergeCell ref="U24:V24"/>
    <mergeCell ref="W24:X24"/>
    <mergeCell ref="Y24:Z24"/>
    <mergeCell ref="AA24:AB24"/>
    <mergeCell ref="AK25:AL25"/>
    <mergeCell ref="AO23:AP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N23"/>
  </mergeCells>
  <pageMargins left="0.70866141732283472" right="0.70866141732283472" top="0.74803149606299213" bottom="0.74803149606299213" header="0.31496062992125984" footer="0.31496062992125984"/>
  <pageSetup paperSize="9" scale="36" orientation="landscape" r:id="rId1"/>
  <rowBreaks count="1" manualBreakCount="1">
    <brk id="22" max="4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Z40"/>
  <sheetViews>
    <sheetView rightToLeft="1" tabSelected="1" zoomScale="35" zoomScaleNormal="50" workbookViewId="0">
      <selection activeCell="C34" sqref="C34:R34"/>
    </sheetView>
  </sheetViews>
  <sheetFormatPr defaultColWidth="9" defaultRowHeight="17.399999999999999" x14ac:dyDescent="0.25"/>
  <cols>
    <col min="1" max="1" width="2.69921875" style="6" customWidth="1"/>
    <col min="2" max="2" width="8.69921875" style="6" hidden="1" customWidth="1"/>
    <col min="3" max="18" width="9" style="6"/>
    <col min="19" max="62" width="6.19921875" style="7" customWidth="1"/>
    <col min="63" max="72" width="6.19921875" style="6" customWidth="1"/>
    <col min="73" max="78" width="6.69921875" style="6" customWidth="1"/>
    <col min="79" max="16384" width="9" style="6"/>
  </cols>
  <sheetData>
    <row r="1" spans="3:78" ht="17.399999999999999" customHeight="1" x14ac:dyDescent="0.25">
      <c r="C1" s="136" t="s">
        <v>0</v>
      </c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6"/>
      <c r="BO1" s="136"/>
      <c r="BP1" s="136"/>
      <c r="BQ1" s="136"/>
      <c r="BR1" s="136"/>
      <c r="BS1" s="136"/>
      <c r="BT1" s="136"/>
      <c r="BU1" s="136"/>
      <c r="BV1" s="136"/>
      <c r="BW1" s="136"/>
      <c r="BX1" s="136"/>
      <c r="BY1" s="136"/>
      <c r="BZ1" s="136"/>
    </row>
    <row r="2" spans="3:78" ht="17.399999999999999" customHeight="1" x14ac:dyDescent="0.25"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6"/>
      <c r="BP2" s="136"/>
      <c r="BQ2" s="136"/>
      <c r="BR2" s="136"/>
      <c r="BS2" s="136"/>
      <c r="BT2" s="136"/>
      <c r="BU2" s="136"/>
      <c r="BV2" s="136"/>
      <c r="BW2" s="136"/>
      <c r="BX2" s="136"/>
      <c r="BY2" s="136"/>
      <c r="BZ2" s="136"/>
    </row>
    <row r="3" spans="3:78" ht="80.400000000000006" customHeight="1" x14ac:dyDescent="0.25"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</row>
    <row r="4" spans="3:78" ht="7.2" customHeight="1" x14ac:dyDescent="0.25"/>
    <row r="5" spans="3:78" ht="55.2" customHeight="1" x14ac:dyDescent="0.25">
      <c r="C5" s="2">
        <v>1</v>
      </c>
      <c r="D5" s="37" t="s">
        <v>1</v>
      </c>
      <c r="E5" s="38"/>
      <c r="F5" s="38"/>
      <c r="G5" s="38"/>
      <c r="H5" s="38"/>
      <c r="I5" s="38"/>
      <c r="J5" s="38"/>
      <c r="K5" s="39"/>
      <c r="L5" s="40" t="s">
        <v>2</v>
      </c>
      <c r="M5" s="41"/>
      <c r="N5" s="41"/>
      <c r="O5" s="41"/>
      <c r="P5" s="41"/>
      <c r="Q5" s="41"/>
      <c r="R5" s="41"/>
      <c r="S5" s="3">
        <v>2</v>
      </c>
      <c r="T5" s="42" t="s">
        <v>3</v>
      </c>
      <c r="U5" s="43"/>
      <c r="V5" s="43"/>
      <c r="W5" s="43"/>
      <c r="X5" s="43"/>
      <c r="Y5" s="43"/>
      <c r="Z5" s="43"/>
      <c r="AA5" s="43"/>
      <c r="AB5" s="43"/>
      <c r="AC5" s="43"/>
      <c r="AD5" s="44"/>
      <c r="AE5" s="137" t="s">
        <v>100</v>
      </c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9"/>
      <c r="BC5" s="4">
        <v>3</v>
      </c>
      <c r="BD5" s="42" t="s">
        <v>26</v>
      </c>
      <c r="BE5" s="43"/>
      <c r="BF5" s="43"/>
      <c r="BG5" s="43"/>
      <c r="BH5" s="43"/>
      <c r="BI5" s="43"/>
      <c r="BJ5" s="43"/>
      <c r="BK5" s="43"/>
      <c r="BL5" s="44"/>
      <c r="BM5" s="140" t="s">
        <v>101</v>
      </c>
      <c r="BN5" s="141"/>
      <c r="BO5" s="141"/>
      <c r="BP5" s="141"/>
      <c r="BQ5" s="141"/>
      <c r="BR5" s="141"/>
      <c r="BS5" s="141"/>
      <c r="BT5" s="141"/>
      <c r="BU5" s="141"/>
      <c r="BV5" s="141"/>
      <c r="BW5" s="141"/>
      <c r="BX5" s="141"/>
      <c r="BY5" s="141"/>
      <c r="BZ5" s="142"/>
    </row>
    <row r="6" spans="3:78" ht="60" customHeight="1" thickBot="1" x14ac:dyDescent="0.3">
      <c r="C6" s="143" t="s">
        <v>27</v>
      </c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144"/>
      <c r="AO6" s="144"/>
      <c r="AP6" s="144"/>
      <c r="AQ6" s="144"/>
      <c r="AR6" s="144"/>
      <c r="AS6" s="144"/>
      <c r="AT6" s="144"/>
      <c r="AU6" s="144"/>
      <c r="AV6" s="144"/>
      <c r="AW6" s="144"/>
      <c r="AX6" s="144"/>
      <c r="AY6" s="144"/>
      <c r="AZ6" s="144"/>
      <c r="BA6" s="144"/>
      <c r="BB6" s="144"/>
      <c r="BC6" s="144"/>
      <c r="BD6" s="144"/>
      <c r="BE6" s="144"/>
      <c r="BF6" s="144"/>
      <c r="BG6" s="144"/>
      <c r="BH6" s="144"/>
      <c r="BI6" s="144"/>
      <c r="BJ6" s="144"/>
      <c r="BK6" s="144"/>
      <c r="BL6" s="144"/>
      <c r="BM6" s="144"/>
      <c r="BN6" s="144"/>
      <c r="BO6" s="144"/>
      <c r="BP6" s="144"/>
      <c r="BQ6" s="144"/>
      <c r="BR6" s="144"/>
      <c r="BS6" s="144"/>
      <c r="BT6" s="144"/>
      <c r="BU6" s="144"/>
      <c r="BV6" s="144"/>
      <c r="BW6" s="144"/>
      <c r="BX6" s="144"/>
      <c r="BY6" s="144"/>
      <c r="BZ6" s="144"/>
    </row>
    <row r="7" spans="3:78" ht="31.2" x14ac:dyDescent="0.25">
      <c r="C7" s="145" t="s">
        <v>4</v>
      </c>
      <c r="D7" s="147" t="s">
        <v>5</v>
      </c>
      <c r="E7" s="65"/>
      <c r="F7" s="148" t="s">
        <v>6</v>
      </c>
      <c r="G7" s="54"/>
      <c r="H7" s="49" t="s">
        <v>7</v>
      </c>
      <c r="I7" s="50"/>
      <c r="J7" s="53" t="s">
        <v>8</v>
      </c>
      <c r="K7" s="54"/>
      <c r="L7" s="49" t="s">
        <v>9</v>
      </c>
      <c r="M7" s="50"/>
      <c r="N7" s="154" t="s">
        <v>10</v>
      </c>
      <c r="O7" s="155"/>
      <c r="P7" s="156"/>
      <c r="Q7" s="53" t="s">
        <v>11</v>
      </c>
      <c r="R7" s="57"/>
      <c r="S7" s="161" t="s">
        <v>28</v>
      </c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1"/>
      <c r="AO7" s="161"/>
      <c r="AP7" s="161"/>
      <c r="AQ7" s="161"/>
      <c r="AR7" s="161"/>
      <c r="AS7" s="161"/>
      <c r="AT7" s="161"/>
      <c r="AU7" s="161"/>
      <c r="AV7" s="161"/>
      <c r="AW7" s="161"/>
      <c r="AX7" s="161"/>
      <c r="AY7" s="161"/>
      <c r="AZ7" s="161"/>
      <c r="BA7" s="161"/>
      <c r="BB7" s="161"/>
      <c r="BC7" s="161"/>
      <c r="BD7" s="161"/>
      <c r="BE7" s="161"/>
      <c r="BF7" s="161"/>
      <c r="BG7" s="161"/>
      <c r="BH7" s="161"/>
      <c r="BI7" s="161"/>
      <c r="BJ7" s="161"/>
      <c r="BK7" s="161"/>
      <c r="BL7" s="161"/>
      <c r="BM7" s="161"/>
      <c r="BN7" s="161"/>
      <c r="BO7" s="161"/>
      <c r="BP7" s="161"/>
      <c r="BQ7" s="161"/>
      <c r="BR7" s="161"/>
      <c r="BS7" s="161"/>
      <c r="BT7" s="161"/>
      <c r="BU7" s="161"/>
      <c r="BV7" s="161"/>
      <c r="BW7" s="161"/>
      <c r="BX7" s="161"/>
      <c r="BY7" s="161"/>
      <c r="BZ7" s="162"/>
    </row>
    <row r="8" spans="3:78" ht="42" customHeight="1" thickBot="1" x14ac:dyDescent="0.3">
      <c r="C8" s="146"/>
      <c r="D8" s="51"/>
      <c r="E8" s="52"/>
      <c r="F8" s="149"/>
      <c r="G8" s="150"/>
      <c r="H8" s="151"/>
      <c r="I8" s="152"/>
      <c r="J8" s="153"/>
      <c r="K8" s="150"/>
      <c r="L8" s="151"/>
      <c r="M8" s="152"/>
      <c r="N8" s="157"/>
      <c r="O8" s="158"/>
      <c r="P8" s="159"/>
      <c r="Q8" s="151"/>
      <c r="R8" s="160"/>
      <c r="S8" s="130" t="s">
        <v>29</v>
      </c>
      <c r="T8" s="131"/>
      <c r="U8" s="135" t="s">
        <v>30</v>
      </c>
      <c r="V8" s="131"/>
      <c r="W8" s="132" t="s">
        <v>31</v>
      </c>
      <c r="X8" s="133"/>
      <c r="Y8" s="130" t="s">
        <v>32</v>
      </c>
      <c r="Z8" s="131"/>
      <c r="AA8" s="135" t="s">
        <v>33</v>
      </c>
      <c r="AB8" s="131"/>
      <c r="AC8" s="132" t="s">
        <v>34</v>
      </c>
      <c r="AD8" s="133"/>
      <c r="AE8" s="130" t="s">
        <v>35</v>
      </c>
      <c r="AF8" s="131"/>
      <c r="AG8" s="135" t="s">
        <v>36</v>
      </c>
      <c r="AH8" s="131"/>
      <c r="AI8" s="132" t="s">
        <v>37</v>
      </c>
      <c r="AJ8" s="133"/>
      <c r="AK8" s="130" t="s">
        <v>38</v>
      </c>
      <c r="AL8" s="131"/>
      <c r="AM8" s="135" t="s">
        <v>39</v>
      </c>
      <c r="AN8" s="131"/>
      <c r="AO8" s="132" t="s">
        <v>40</v>
      </c>
      <c r="AP8" s="133"/>
      <c r="AQ8" s="130" t="s">
        <v>41</v>
      </c>
      <c r="AR8" s="131"/>
      <c r="AS8" s="135" t="s">
        <v>42</v>
      </c>
      <c r="AT8" s="131"/>
      <c r="AU8" s="132" t="s">
        <v>43</v>
      </c>
      <c r="AV8" s="133"/>
      <c r="AW8" s="130" t="s">
        <v>44</v>
      </c>
      <c r="AX8" s="131"/>
      <c r="AY8" s="135" t="s">
        <v>45</v>
      </c>
      <c r="AZ8" s="131"/>
      <c r="BA8" s="132" t="s">
        <v>46</v>
      </c>
      <c r="BB8" s="133"/>
      <c r="BC8" s="130" t="s">
        <v>47</v>
      </c>
      <c r="BD8" s="131"/>
      <c r="BE8" s="135" t="s">
        <v>48</v>
      </c>
      <c r="BF8" s="131"/>
      <c r="BG8" s="132" t="s">
        <v>49</v>
      </c>
      <c r="BH8" s="133"/>
      <c r="BI8" s="130" t="s">
        <v>50</v>
      </c>
      <c r="BJ8" s="131"/>
      <c r="BK8" s="130" t="s">
        <v>51</v>
      </c>
      <c r="BL8" s="131"/>
      <c r="BM8" s="132" t="s">
        <v>52</v>
      </c>
      <c r="BN8" s="133"/>
      <c r="BO8" s="130" t="s">
        <v>53</v>
      </c>
      <c r="BP8" s="131"/>
      <c r="BQ8" s="130" t="s">
        <v>54</v>
      </c>
      <c r="BR8" s="131"/>
      <c r="BS8" s="132" t="s">
        <v>55</v>
      </c>
      <c r="BT8" s="133"/>
      <c r="BU8" s="130" t="s">
        <v>22</v>
      </c>
      <c r="BV8" s="131"/>
      <c r="BW8" s="130" t="s">
        <v>23</v>
      </c>
      <c r="BX8" s="131"/>
      <c r="BY8" s="132" t="s">
        <v>24</v>
      </c>
      <c r="BZ8" s="134"/>
    </row>
    <row r="9" spans="3:78" ht="75" customHeight="1" x14ac:dyDescent="0.25">
      <c r="C9" s="5">
        <v>1</v>
      </c>
      <c r="D9" s="32" t="s">
        <v>56</v>
      </c>
      <c r="E9" s="35"/>
      <c r="F9" s="129" t="s">
        <v>57</v>
      </c>
      <c r="G9" s="93"/>
      <c r="H9" s="92" t="s">
        <v>57</v>
      </c>
      <c r="I9" s="93"/>
      <c r="J9" s="92" t="s">
        <v>57</v>
      </c>
      <c r="K9" s="93"/>
      <c r="L9" s="92"/>
      <c r="M9" s="95"/>
      <c r="N9" s="93">
        <v>3000</v>
      </c>
      <c r="O9" s="93"/>
      <c r="P9" s="95"/>
      <c r="Q9" s="92" t="s">
        <v>58</v>
      </c>
      <c r="R9" s="94"/>
      <c r="S9" s="98">
        <v>2</v>
      </c>
      <c r="T9" s="99"/>
      <c r="U9" s="100">
        <v>1</v>
      </c>
      <c r="V9" s="99"/>
      <c r="W9" s="96">
        <f>S9+U9</f>
        <v>3</v>
      </c>
      <c r="X9" s="97"/>
      <c r="Y9" s="98"/>
      <c r="Z9" s="99"/>
      <c r="AA9" s="100"/>
      <c r="AB9" s="99"/>
      <c r="AC9" s="96">
        <f>Y9+AA9</f>
        <v>0</v>
      </c>
      <c r="AD9" s="97"/>
      <c r="AE9" s="100">
        <v>2</v>
      </c>
      <c r="AF9" s="99"/>
      <c r="AG9" s="100">
        <v>2</v>
      </c>
      <c r="AH9" s="99"/>
      <c r="AI9" s="96">
        <f>AE9+AG9</f>
        <v>4</v>
      </c>
      <c r="AJ9" s="97"/>
      <c r="AK9" s="100">
        <v>2</v>
      </c>
      <c r="AL9" s="99"/>
      <c r="AM9" s="100">
        <v>3</v>
      </c>
      <c r="AN9" s="99"/>
      <c r="AO9" s="96">
        <f>AK9+AM9</f>
        <v>5</v>
      </c>
      <c r="AP9" s="97"/>
      <c r="AQ9" s="100">
        <v>1</v>
      </c>
      <c r="AR9" s="99"/>
      <c r="AS9" s="100">
        <v>2</v>
      </c>
      <c r="AT9" s="99"/>
      <c r="AU9" s="96">
        <f>AQ9+AS9</f>
        <v>3</v>
      </c>
      <c r="AV9" s="97"/>
      <c r="AW9" s="100">
        <v>4</v>
      </c>
      <c r="AX9" s="99"/>
      <c r="AY9" s="100">
        <v>1</v>
      </c>
      <c r="AZ9" s="99"/>
      <c r="BA9" s="96">
        <f>AW9+AY9</f>
        <v>5</v>
      </c>
      <c r="BB9" s="97"/>
      <c r="BC9" s="100">
        <v>3</v>
      </c>
      <c r="BD9" s="99"/>
      <c r="BE9" s="100">
        <v>1</v>
      </c>
      <c r="BF9" s="99"/>
      <c r="BG9" s="96">
        <f>BC9+BE9</f>
        <v>4</v>
      </c>
      <c r="BH9" s="97"/>
      <c r="BI9" s="100"/>
      <c r="BJ9" s="99"/>
      <c r="BK9" s="100"/>
      <c r="BL9" s="99"/>
      <c r="BM9" s="96">
        <f>BI9+BK9</f>
        <v>0</v>
      </c>
      <c r="BN9" s="97"/>
      <c r="BO9" s="100">
        <v>2</v>
      </c>
      <c r="BP9" s="99"/>
      <c r="BQ9" s="100">
        <v>1</v>
      </c>
      <c r="BR9" s="99"/>
      <c r="BS9" s="96">
        <f>BO9+BQ9</f>
        <v>3</v>
      </c>
      <c r="BT9" s="97"/>
      <c r="BU9" s="100">
        <f>S9+Y9+AE9+AK9+AQ9+AW9+BC9+BI9+BO9</f>
        <v>16</v>
      </c>
      <c r="BV9" s="99"/>
      <c r="BW9" s="100">
        <f>BQ9+BK9+BE9+AY9+AS9+AM9+AG9+AA9+U9</f>
        <v>11</v>
      </c>
      <c r="BX9" s="99"/>
      <c r="BY9" s="96">
        <f>BU9+BW9</f>
        <v>27</v>
      </c>
      <c r="BZ9" s="97"/>
    </row>
    <row r="10" spans="3:78" ht="75" customHeight="1" x14ac:dyDescent="0.25">
      <c r="C10" s="5">
        <v>2</v>
      </c>
      <c r="D10" s="32" t="s">
        <v>59</v>
      </c>
      <c r="E10" s="35"/>
      <c r="F10" s="115" t="s">
        <v>60</v>
      </c>
      <c r="G10" s="35"/>
      <c r="H10" s="32" t="s">
        <v>61</v>
      </c>
      <c r="I10" s="35"/>
      <c r="J10" s="32" t="s">
        <v>61</v>
      </c>
      <c r="K10" s="35"/>
      <c r="L10" s="32"/>
      <c r="M10" s="33"/>
      <c r="N10" s="35">
        <v>4500</v>
      </c>
      <c r="O10" s="35"/>
      <c r="P10" s="33"/>
      <c r="Q10" s="32" t="s">
        <v>94</v>
      </c>
      <c r="R10" s="34"/>
      <c r="S10" s="81"/>
      <c r="T10" s="29"/>
      <c r="U10" s="28"/>
      <c r="V10" s="29"/>
      <c r="W10" s="30">
        <f>S10+U10</f>
        <v>0</v>
      </c>
      <c r="X10" s="31"/>
      <c r="Y10" s="81"/>
      <c r="Z10" s="29"/>
      <c r="AA10" s="28"/>
      <c r="AB10" s="29"/>
      <c r="AC10" s="30">
        <f t="shared" ref="AC10:AC32" si="0">Y10+AA10</f>
        <v>0</v>
      </c>
      <c r="AD10" s="31"/>
      <c r="AE10" s="81"/>
      <c r="AF10" s="29"/>
      <c r="AG10" s="28"/>
      <c r="AH10" s="29"/>
      <c r="AI10" s="30">
        <f t="shared" ref="AI10:AI32" si="1">AE10+AG10</f>
        <v>0</v>
      </c>
      <c r="AJ10" s="31"/>
      <c r="AK10" s="81"/>
      <c r="AL10" s="29"/>
      <c r="AM10" s="28"/>
      <c r="AN10" s="29"/>
      <c r="AO10" s="30">
        <f>AK10+AM10</f>
        <v>0</v>
      </c>
      <c r="AP10" s="31"/>
      <c r="AQ10" s="81"/>
      <c r="AR10" s="29"/>
      <c r="AS10" s="28"/>
      <c r="AT10" s="29"/>
      <c r="AU10" s="30">
        <f t="shared" ref="AU10:AU32" si="2">AQ10+AS10</f>
        <v>0</v>
      </c>
      <c r="AV10" s="31"/>
      <c r="AW10" s="81">
        <v>1</v>
      </c>
      <c r="AX10" s="29"/>
      <c r="AY10" s="28"/>
      <c r="AZ10" s="29"/>
      <c r="BA10" s="30">
        <f t="shared" ref="BA10:BA32" si="3">AW10+AY10</f>
        <v>1</v>
      </c>
      <c r="BB10" s="31"/>
      <c r="BC10" s="81"/>
      <c r="BD10" s="29"/>
      <c r="BE10" s="28"/>
      <c r="BF10" s="29"/>
      <c r="BG10" s="30">
        <f t="shared" ref="BG10:BG32" si="4">BC10+BE10</f>
        <v>0</v>
      </c>
      <c r="BH10" s="31"/>
      <c r="BI10" s="81"/>
      <c r="BJ10" s="29"/>
      <c r="BK10" s="28"/>
      <c r="BL10" s="29"/>
      <c r="BM10" s="30">
        <f t="shared" ref="BM10:BM32" si="5">BI10+BK10</f>
        <v>0</v>
      </c>
      <c r="BN10" s="31"/>
      <c r="BO10" s="81"/>
      <c r="BP10" s="29"/>
      <c r="BQ10" s="28"/>
      <c r="BR10" s="29"/>
      <c r="BS10" s="30">
        <f t="shared" ref="BS10:BS32" si="6">BO10+BQ10</f>
        <v>0</v>
      </c>
      <c r="BT10" s="31"/>
      <c r="BU10" s="28">
        <f t="shared" ref="BU10:BU32" si="7">S10+Y10+AE10+AK10+AQ10+AW10+BC10+BI10+BO10</f>
        <v>1</v>
      </c>
      <c r="BV10" s="29"/>
      <c r="BW10" s="28">
        <f t="shared" ref="BW10:BW32" si="8">BQ10+BK10+BE10+AY10+AS10+AM10+AG10+AA10+U10</f>
        <v>0</v>
      </c>
      <c r="BX10" s="29"/>
      <c r="BY10" s="30">
        <f t="shared" ref="BY10:BY32" si="9">BU10+BW10</f>
        <v>1</v>
      </c>
      <c r="BZ10" s="31"/>
    </row>
    <row r="11" spans="3:78" ht="75" customHeight="1" x14ac:dyDescent="0.25">
      <c r="C11" s="5">
        <v>3</v>
      </c>
      <c r="D11" s="32" t="s">
        <v>56</v>
      </c>
      <c r="E11" s="35"/>
      <c r="F11" s="115" t="s">
        <v>62</v>
      </c>
      <c r="G11" s="35"/>
      <c r="H11" s="32" t="s">
        <v>63</v>
      </c>
      <c r="I11" s="35"/>
      <c r="J11" s="32" t="s">
        <v>63</v>
      </c>
      <c r="K11" s="35"/>
      <c r="L11" s="32"/>
      <c r="M11" s="33"/>
      <c r="N11" s="35">
        <v>3100</v>
      </c>
      <c r="O11" s="35"/>
      <c r="P11" s="33"/>
      <c r="Q11" s="32" t="s">
        <v>64</v>
      </c>
      <c r="R11" s="34"/>
      <c r="S11" s="81">
        <v>1</v>
      </c>
      <c r="T11" s="29"/>
      <c r="U11" s="28">
        <v>1</v>
      </c>
      <c r="V11" s="29"/>
      <c r="W11" s="30">
        <f t="shared" ref="W11:W32" si="10">S11+U11</f>
        <v>2</v>
      </c>
      <c r="X11" s="31"/>
      <c r="Y11" s="81">
        <v>2</v>
      </c>
      <c r="Z11" s="29"/>
      <c r="AA11" s="28">
        <v>1</v>
      </c>
      <c r="AB11" s="29"/>
      <c r="AC11" s="30">
        <f t="shared" si="0"/>
        <v>3</v>
      </c>
      <c r="AD11" s="31"/>
      <c r="AE11" s="81">
        <v>3</v>
      </c>
      <c r="AF11" s="29"/>
      <c r="AG11" s="28">
        <v>4</v>
      </c>
      <c r="AH11" s="29"/>
      <c r="AI11" s="30">
        <f t="shared" si="1"/>
        <v>7</v>
      </c>
      <c r="AJ11" s="31"/>
      <c r="AK11" s="81">
        <v>4</v>
      </c>
      <c r="AL11" s="29"/>
      <c r="AM11" s="28">
        <v>1</v>
      </c>
      <c r="AN11" s="29"/>
      <c r="AO11" s="30">
        <f t="shared" ref="AO11:AO32" si="11">AK11+AM11</f>
        <v>5</v>
      </c>
      <c r="AP11" s="31"/>
      <c r="AQ11" s="81">
        <v>1</v>
      </c>
      <c r="AR11" s="29"/>
      <c r="AS11" s="28">
        <v>6</v>
      </c>
      <c r="AT11" s="29"/>
      <c r="AU11" s="30">
        <f t="shared" si="2"/>
        <v>7</v>
      </c>
      <c r="AV11" s="31"/>
      <c r="AW11" s="81">
        <v>3</v>
      </c>
      <c r="AX11" s="29"/>
      <c r="AY11" s="28">
        <v>1</v>
      </c>
      <c r="AZ11" s="29"/>
      <c r="BA11" s="30">
        <f t="shared" si="3"/>
        <v>4</v>
      </c>
      <c r="BB11" s="31"/>
      <c r="BC11" s="81"/>
      <c r="BD11" s="29"/>
      <c r="BE11" s="28"/>
      <c r="BF11" s="29"/>
      <c r="BG11" s="30">
        <f t="shared" si="4"/>
        <v>0</v>
      </c>
      <c r="BH11" s="31"/>
      <c r="BI11" s="81">
        <v>2</v>
      </c>
      <c r="BJ11" s="29"/>
      <c r="BK11" s="28">
        <v>1</v>
      </c>
      <c r="BL11" s="29"/>
      <c r="BM11" s="30">
        <f t="shared" si="5"/>
        <v>3</v>
      </c>
      <c r="BN11" s="31"/>
      <c r="BO11" s="81">
        <v>3</v>
      </c>
      <c r="BP11" s="29"/>
      <c r="BQ11" s="28">
        <v>2</v>
      </c>
      <c r="BR11" s="29"/>
      <c r="BS11" s="30">
        <f t="shared" si="6"/>
        <v>5</v>
      </c>
      <c r="BT11" s="31"/>
      <c r="BU11" s="28">
        <f t="shared" si="7"/>
        <v>19</v>
      </c>
      <c r="BV11" s="29"/>
      <c r="BW11" s="28">
        <f t="shared" si="8"/>
        <v>17</v>
      </c>
      <c r="BX11" s="29"/>
      <c r="BY11" s="30">
        <f t="shared" si="9"/>
        <v>36</v>
      </c>
      <c r="BZ11" s="31"/>
    </row>
    <row r="12" spans="3:78" ht="75" customHeight="1" x14ac:dyDescent="0.25">
      <c r="C12" s="5">
        <v>4</v>
      </c>
      <c r="D12" s="32" t="s">
        <v>56</v>
      </c>
      <c r="E12" s="35"/>
      <c r="F12" s="115" t="s">
        <v>65</v>
      </c>
      <c r="G12" s="35"/>
      <c r="H12" s="32" t="s">
        <v>65</v>
      </c>
      <c r="I12" s="35"/>
      <c r="J12" s="32" t="s">
        <v>65</v>
      </c>
      <c r="K12" s="35"/>
      <c r="L12" s="32"/>
      <c r="M12" s="33"/>
      <c r="N12" s="35">
        <v>2700</v>
      </c>
      <c r="O12" s="35"/>
      <c r="P12" s="33"/>
      <c r="Q12" s="32">
        <v>25</v>
      </c>
      <c r="R12" s="34"/>
      <c r="S12" s="81">
        <v>4</v>
      </c>
      <c r="T12" s="29"/>
      <c r="U12" s="28">
        <v>3</v>
      </c>
      <c r="V12" s="29"/>
      <c r="W12" s="30">
        <f t="shared" si="10"/>
        <v>7</v>
      </c>
      <c r="X12" s="31"/>
      <c r="Y12" s="81">
        <v>3</v>
      </c>
      <c r="Z12" s="29"/>
      <c r="AA12" s="28">
        <v>5</v>
      </c>
      <c r="AB12" s="29"/>
      <c r="AC12" s="30">
        <f t="shared" si="0"/>
        <v>8</v>
      </c>
      <c r="AD12" s="31"/>
      <c r="AE12" s="81">
        <v>1</v>
      </c>
      <c r="AF12" s="29"/>
      <c r="AG12" s="28">
        <v>2</v>
      </c>
      <c r="AH12" s="29"/>
      <c r="AI12" s="30">
        <f t="shared" si="1"/>
        <v>3</v>
      </c>
      <c r="AJ12" s="31"/>
      <c r="AK12" s="81">
        <v>1</v>
      </c>
      <c r="AL12" s="29"/>
      <c r="AM12" s="28">
        <v>3</v>
      </c>
      <c r="AN12" s="29"/>
      <c r="AO12" s="30">
        <f t="shared" si="11"/>
        <v>4</v>
      </c>
      <c r="AP12" s="31"/>
      <c r="AQ12" s="81">
        <v>4</v>
      </c>
      <c r="AR12" s="29"/>
      <c r="AS12" s="28">
        <v>1</v>
      </c>
      <c r="AT12" s="29"/>
      <c r="AU12" s="30">
        <f t="shared" si="2"/>
        <v>5</v>
      </c>
      <c r="AV12" s="31"/>
      <c r="AW12" s="81">
        <v>3</v>
      </c>
      <c r="AX12" s="29"/>
      <c r="AY12" s="28">
        <v>4</v>
      </c>
      <c r="AZ12" s="29"/>
      <c r="BA12" s="30">
        <f t="shared" si="3"/>
        <v>7</v>
      </c>
      <c r="BB12" s="31"/>
      <c r="BC12" s="81">
        <v>1</v>
      </c>
      <c r="BD12" s="29"/>
      <c r="BE12" s="28"/>
      <c r="BF12" s="29"/>
      <c r="BG12" s="30">
        <f t="shared" si="4"/>
        <v>1</v>
      </c>
      <c r="BH12" s="31"/>
      <c r="BI12" s="81">
        <v>3</v>
      </c>
      <c r="BJ12" s="29"/>
      <c r="BK12" s="28">
        <v>3</v>
      </c>
      <c r="BL12" s="29"/>
      <c r="BM12" s="30">
        <f t="shared" si="5"/>
        <v>6</v>
      </c>
      <c r="BN12" s="31"/>
      <c r="BO12" s="81"/>
      <c r="BP12" s="29"/>
      <c r="BQ12" s="28">
        <v>2</v>
      </c>
      <c r="BR12" s="29"/>
      <c r="BS12" s="30">
        <f t="shared" si="6"/>
        <v>2</v>
      </c>
      <c r="BT12" s="31"/>
      <c r="BU12" s="28">
        <f t="shared" si="7"/>
        <v>20</v>
      </c>
      <c r="BV12" s="29"/>
      <c r="BW12" s="28">
        <f t="shared" si="8"/>
        <v>23</v>
      </c>
      <c r="BX12" s="29"/>
      <c r="BY12" s="30">
        <f t="shared" si="9"/>
        <v>43</v>
      </c>
      <c r="BZ12" s="31"/>
    </row>
    <row r="13" spans="3:78" ht="75" customHeight="1" x14ac:dyDescent="0.25">
      <c r="C13" s="5">
        <v>5</v>
      </c>
      <c r="D13" s="32" t="s">
        <v>66</v>
      </c>
      <c r="E13" s="35"/>
      <c r="F13" s="115" t="s">
        <v>95</v>
      </c>
      <c r="G13" s="35"/>
      <c r="H13" s="32" t="s">
        <v>67</v>
      </c>
      <c r="I13" s="35"/>
      <c r="J13" s="32" t="s">
        <v>67</v>
      </c>
      <c r="K13" s="35"/>
      <c r="L13" s="32"/>
      <c r="M13" s="33"/>
      <c r="N13" s="35">
        <v>3500</v>
      </c>
      <c r="O13" s="35"/>
      <c r="P13" s="33"/>
      <c r="Q13" s="32">
        <v>40</v>
      </c>
      <c r="R13" s="34"/>
      <c r="S13" s="81">
        <v>1</v>
      </c>
      <c r="T13" s="29"/>
      <c r="U13" s="28"/>
      <c r="V13" s="29"/>
      <c r="W13" s="30">
        <f t="shared" si="10"/>
        <v>1</v>
      </c>
      <c r="X13" s="31"/>
      <c r="Y13" s="81"/>
      <c r="Z13" s="29"/>
      <c r="AA13" s="28"/>
      <c r="AB13" s="29"/>
      <c r="AC13" s="30">
        <f t="shared" si="0"/>
        <v>0</v>
      </c>
      <c r="AD13" s="31"/>
      <c r="AE13" s="81"/>
      <c r="AF13" s="29"/>
      <c r="AG13" s="28"/>
      <c r="AH13" s="29"/>
      <c r="AI13" s="30">
        <f t="shared" si="1"/>
        <v>0</v>
      </c>
      <c r="AJ13" s="31"/>
      <c r="AK13" s="81"/>
      <c r="AL13" s="29"/>
      <c r="AM13" s="28"/>
      <c r="AN13" s="29"/>
      <c r="AO13" s="30">
        <f t="shared" si="11"/>
        <v>0</v>
      </c>
      <c r="AP13" s="31"/>
      <c r="AQ13" s="81"/>
      <c r="AR13" s="29"/>
      <c r="AS13" s="28"/>
      <c r="AT13" s="29"/>
      <c r="AU13" s="30">
        <f t="shared" si="2"/>
        <v>0</v>
      </c>
      <c r="AV13" s="31"/>
      <c r="AW13" s="81"/>
      <c r="AX13" s="29"/>
      <c r="AY13" s="28"/>
      <c r="AZ13" s="29"/>
      <c r="BA13" s="30">
        <f t="shared" si="3"/>
        <v>0</v>
      </c>
      <c r="BB13" s="31"/>
      <c r="BC13" s="81"/>
      <c r="BD13" s="29"/>
      <c r="BE13" s="28"/>
      <c r="BF13" s="29"/>
      <c r="BG13" s="30">
        <f t="shared" si="4"/>
        <v>0</v>
      </c>
      <c r="BH13" s="31"/>
      <c r="BI13" s="81"/>
      <c r="BJ13" s="29"/>
      <c r="BK13" s="28"/>
      <c r="BL13" s="29"/>
      <c r="BM13" s="30">
        <f t="shared" si="5"/>
        <v>0</v>
      </c>
      <c r="BN13" s="31"/>
      <c r="BO13" s="81"/>
      <c r="BP13" s="29"/>
      <c r="BQ13" s="28"/>
      <c r="BR13" s="29"/>
      <c r="BS13" s="30">
        <f t="shared" si="6"/>
        <v>0</v>
      </c>
      <c r="BT13" s="31"/>
      <c r="BU13" s="28">
        <f t="shared" si="7"/>
        <v>1</v>
      </c>
      <c r="BV13" s="29"/>
      <c r="BW13" s="28">
        <f t="shared" si="8"/>
        <v>0</v>
      </c>
      <c r="BX13" s="29"/>
      <c r="BY13" s="30">
        <f t="shared" si="9"/>
        <v>1</v>
      </c>
      <c r="BZ13" s="31"/>
    </row>
    <row r="14" spans="3:78" ht="75" customHeight="1" x14ac:dyDescent="0.25">
      <c r="C14" s="5">
        <v>6</v>
      </c>
      <c r="D14" s="32" t="s">
        <v>56</v>
      </c>
      <c r="E14" s="35"/>
      <c r="F14" s="115" t="s">
        <v>65</v>
      </c>
      <c r="G14" s="35"/>
      <c r="H14" s="32" t="s">
        <v>68</v>
      </c>
      <c r="I14" s="35"/>
      <c r="J14" s="32" t="s">
        <v>69</v>
      </c>
      <c r="K14" s="35"/>
      <c r="L14" s="32"/>
      <c r="M14" s="33"/>
      <c r="N14" s="35">
        <v>2700</v>
      </c>
      <c r="O14" s="35"/>
      <c r="P14" s="33"/>
      <c r="Q14" s="32">
        <v>25</v>
      </c>
      <c r="R14" s="34"/>
      <c r="S14" s="81">
        <v>3</v>
      </c>
      <c r="T14" s="29"/>
      <c r="U14" s="28">
        <v>4</v>
      </c>
      <c r="V14" s="29"/>
      <c r="W14" s="30">
        <f t="shared" si="10"/>
        <v>7</v>
      </c>
      <c r="X14" s="31"/>
      <c r="Y14" s="81">
        <v>1</v>
      </c>
      <c r="Z14" s="29"/>
      <c r="AA14" s="28"/>
      <c r="AB14" s="29"/>
      <c r="AC14" s="30">
        <f t="shared" si="0"/>
        <v>1</v>
      </c>
      <c r="AD14" s="31"/>
      <c r="AE14" s="81"/>
      <c r="AF14" s="29"/>
      <c r="AG14" s="28">
        <v>3</v>
      </c>
      <c r="AH14" s="29"/>
      <c r="AI14" s="30">
        <f t="shared" si="1"/>
        <v>3</v>
      </c>
      <c r="AJ14" s="31"/>
      <c r="AK14" s="81">
        <v>4</v>
      </c>
      <c r="AL14" s="29"/>
      <c r="AM14" s="28">
        <v>3</v>
      </c>
      <c r="AN14" s="29"/>
      <c r="AO14" s="30">
        <f t="shared" si="11"/>
        <v>7</v>
      </c>
      <c r="AP14" s="31"/>
      <c r="AQ14" s="81"/>
      <c r="AR14" s="29"/>
      <c r="AS14" s="28">
        <v>1</v>
      </c>
      <c r="AT14" s="29"/>
      <c r="AU14" s="30">
        <f t="shared" si="2"/>
        <v>1</v>
      </c>
      <c r="AV14" s="31"/>
      <c r="AW14" s="81">
        <v>1</v>
      </c>
      <c r="AX14" s="29"/>
      <c r="AY14" s="28">
        <v>3</v>
      </c>
      <c r="AZ14" s="29"/>
      <c r="BA14" s="30">
        <f t="shared" si="3"/>
        <v>4</v>
      </c>
      <c r="BB14" s="31"/>
      <c r="BC14" s="81">
        <v>5</v>
      </c>
      <c r="BD14" s="29"/>
      <c r="BE14" s="28">
        <v>2</v>
      </c>
      <c r="BF14" s="29"/>
      <c r="BG14" s="30">
        <f t="shared" si="4"/>
        <v>7</v>
      </c>
      <c r="BH14" s="31"/>
      <c r="BI14" s="81"/>
      <c r="BJ14" s="29"/>
      <c r="BK14" s="28"/>
      <c r="BL14" s="29"/>
      <c r="BM14" s="30">
        <f t="shared" si="5"/>
        <v>0</v>
      </c>
      <c r="BN14" s="31"/>
      <c r="BO14" s="81">
        <v>1</v>
      </c>
      <c r="BP14" s="29"/>
      <c r="BQ14" s="28">
        <v>1</v>
      </c>
      <c r="BR14" s="29"/>
      <c r="BS14" s="30">
        <f t="shared" si="6"/>
        <v>2</v>
      </c>
      <c r="BT14" s="31"/>
      <c r="BU14" s="28">
        <f t="shared" si="7"/>
        <v>15</v>
      </c>
      <c r="BV14" s="29"/>
      <c r="BW14" s="28">
        <f t="shared" si="8"/>
        <v>17</v>
      </c>
      <c r="BX14" s="29"/>
      <c r="BY14" s="30">
        <f t="shared" si="9"/>
        <v>32</v>
      </c>
      <c r="BZ14" s="31"/>
    </row>
    <row r="15" spans="3:78" ht="75" customHeight="1" x14ac:dyDescent="0.25">
      <c r="C15" s="5">
        <v>7</v>
      </c>
      <c r="D15" s="32" t="s">
        <v>56</v>
      </c>
      <c r="E15" s="35"/>
      <c r="F15" s="115" t="s">
        <v>70</v>
      </c>
      <c r="G15" s="35"/>
      <c r="H15" s="32" t="s">
        <v>71</v>
      </c>
      <c r="I15" s="35"/>
      <c r="J15" s="32" t="s">
        <v>72</v>
      </c>
      <c r="K15" s="35"/>
      <c r="L15" s="32"/>
      <c r="M15" s="33"/>
      <c r="N15" s="35">
        <v>1000</v>
      </c>
      <c r="O15" s="35"/>
      <c r="P15" s="33"/>
      <c r="Q15" s="32">
        <v>10</v>
      </c>
      <c r="R15" s="34"/>
      <c r="S15" s="81">
        <v>1</v>
      </c>
      <c r="T15" s="29"/>
      <c r="U15" s="28">
        <v>1</v>
      </c>
      <c r="V15" s="29"/>
      <c r="W15" s="30">
        <f t="shared" si="10"/>
        <v>2</v>
      </c>
      <c r="X15" s="31"/>
      <c r="Y15" s="81"/>
      <c r="Z15" s="29"/>
      <c r="AA15" s="28"/>
      <c r="AB15" s="29"/>
      <c r="AC15" s="30">
        <f t="shared" si="0"/>
        <v>0</v>
      </c>
      <c r="AD15" s="31"/>
      <c r="AE15" s="81">
        <v>2</v>
      </c>
      <c r="AF15" s="29"/>
      <c r="AG15" s="28"/>
      <c r="AH15" s="29"/>
      <c r="AI15" s="30">
        <f t="shared" si="1"/>
        <v>2</v>
      </c>
      <c r="AJ15" s="31"/>
      <c r="AK15" s="81"/>
      <c r="AL15" s="29"/>
      <c r="AM15" s="28"/>
      <c r="AN15" s="29"/>
      <c r="AO15" s="30">
        <f t="shared" si="11"/>
        <v>0</v>
      </c>
      <c r="AP15" s="31"/>
      <c r="AQ15" s="81"/>
      <c r="AR15" s="29"/>
      <c r="AS15" s="28">
        <v>1</v>
      </c>
      <c r="AT15" s="29"/>
      <c r="AU15" s="30">
        <f t="shared" si="2"/>
        <v>1</v>
      </c>
      <c r="AV15" s="31"/>
      <c r="AW15" s="81"/>
      <c r="AX15" s="29"/>
      <c r="AY15" s="28"/>
      <c r="AZ15" s="29"/>
      <c r="BA15" s="30">
        <f t="shared" si="3"/>
        <v>0</v>
      </c>
      <c r="BB15" s="31"/>
      <c r="BC15" s="81"/>
      <c r="BD15" s="29"/>
      <c r="BE15" s="28"/>
      <c r="BF15" s="29"/>
      <c r="BG15" s="30">
        <f t="shared" si="4"/>
        <v>0</v>
      </c>
      <c r="BH15" s="31"/>
      <c r="BI15" s="81"/>
      <c r="BJ15" s="29"/>
      <c r="BK15" s="28"/>
      <c r="BL15" s="29"/>
      <c r="BM15" s="30">
        <f t="shared" si="5"/>
        <v>0</v>
      </c>
      <c r="BN15" s="31"/>
      <c r="BO15" s="81">
        <v>1</v>
      </c>
      <c r="BP15" s="29"/>
      <c r="BQ15" s="28"/>
      <c r="BR15" s="29"/>
      <c r="BS15" s="30">
        <f t="shared" si="6"/>
        <v>1</v>
      </c>
      <c r="BT15" s="31"/>
      <c r="BU15" s="28">
        <f t="shared" si="7"/>
        <v>4</v>
      </c>
      <c r="BV15" s="29"/>
      <c r="BW15" s="28">
        <f t="shared" si="8"/>
        <v>2</v>
      </c>
      <c r="BX15" s="29"/>
      <c r="BY15" s="30">
        <f t="shared" si="9"/>
        <v>6</v>
      </c>
      <c r="BZ15" s="31"/>
    </row>
    <row r="16" spans="3:78" ht="75" customHeight="1" x14ac:dyDescent="0.25">
      <c r="C16" s="5">
        <v>8</v>
      </c>
      <c r="D16" s="32" t="s">
        <v>56</v>
      </c>
      <c r="E16" s="35"/>
      <c r="F16" s="115" t="s">
        <v>73</v>
      </c>
      <c r="G16" s="35"/>
      <c r="H16" s="32" t="s">
        <v>70</v>
      </c>
      <c r="I16" s="35"/>
      <c r="J16" s="32" t="s">
        <v>70</v>
      </c>
      <c r="K16" s="35"/>
      <c r="L16" s="32"/>
      <c r="M16" s="33"/>
      <c r="N16" s="35">
        <v>800</v>
      </c>
      <c r="O16" s="35"/>
      <c r="P16" s="33"/>
      <c r="Q16" s="32">
        <v>10</v>
      </c>
      <c r="R16" s="34"/>
      <c r="S16" s="81">
        <v>2</v>
      </c>
      <c r="T16" s="29"/>
      <c r="U16" s="28"/>
      <c r="V16" s="29"/>
      <c r="W16" s="30">
        <f t="shared" si="10"/>
        <v>2</v>
      </c>
      <c r="X16" s="31"/>
      <c r="Y16" s="81"/>
      <c r="Z16" s="29"/>
      <c r="AA16" s="28">
        <v>2</v>
      </c>
      <c r="AB16" s="29"/>
      <c r="AC16" s="30">
        <f t="shared" si="0"/>
        <v>2</v>
      </c>
      <c r="AD16" s="31"/>
      <c r="AE16" s="81">
        <v>1</v>
      </c>
      <c r="AF16" s="29"/>
      <c r="AG16" s="28"/>
      <c r="AH16" s="29"/>
      <c r="AI16" s="30">
        <f t="shared" si="1"/>
        <v>1</v>
      </c>
      <c r="AJ16" s="31"/>
      <c r="AK16" s="81"/>
      <c r="AL16" s="29"/>
      <c r="AM16" s="28">
        <v>1</v>
      </c>
      <c r="AN16" s="29"/>
      <c r="AO16" s="30">
        <f t="shared" si="11"/>
        <v>1</v>
      </c>
      <c r="AP16" s="31"/>
      <c r="AQ16" s="81">
        <v>3</v>
      </c>
      <c r="AR16" s="29"/>
      <c r="AS16" s="28">
        <v>1</v>
      </c>
      <c r="AT16" s="29"/>
      <c r="AU16" s="30">
        <f t="shared" si="2"/>
        <v>4</v>
      </c>
      <c r="AV16" s="31"/>
      <c r="AW16" s="81"/>
      <c r="AX16" s="29"/>
      <c r="AY16" s="28"/>
      <c r="AZ16" s="29"/>
      <c r="BA16" s="30">
        <f t="shared" si="3"/>
        <v>0</v>
      </c>
      <c r="BB16" s="31"/>
      <c r="BC16" s="81"/>
      <c r="BD16" s="29"/>
      <c r="BE16" s="28"/>
      <c r="BF16" s="29"/>
      <c r="BG16" s="30">
        <f t="shared" si="4"/>
        <v>0</v>
      </c>
      <c r="BH16" s="31"/>
      <c r="BI16" s="81"/>
      <c r="BJ16" s="29"/>
      <c r="BK16" s="28">
        <v>1</v>
      </c>
      <c r="BL16" s="29"/>
      <c r="BM16" s="30">
        <f t="shared" si="5"/>
        <v>1</v>
      </c>
      <c r="BN16" s="31"/>
      <c r="BO16" s="81"/>
      <c r="BP16" s="29"/>
      <c r="BQ16" s="28"/>
      <c r="BR16" s="29"/>
      <c r="BS16" s="30">
        <f t="shared" si="6"/>
        <v>0</v>
      </c>
      <c r="BT16" s="31"/>
      <c r="BU16" s="28">
        <f t="shared" si="7"/>
        <v>6</v>
      </c>
      <c r="BV16" s="29"/>
      <c r="BW16" s="28">
        <f t="shared" si="8"/>
        <v>5</v>
      </c>
      <c r="BX16" s="29"/>
      <c r="BY16" s="30">
        <f t="shared" si="9"/>
        <v>11</v>
      </c>
      <c r="BZ16" s="31"/>
    </row>
    <row r="17" spans="3:78" ht="75" customHeight="1" x14ac:dyDescent="0.25">
      <c r="C17" s="5">
        <v>9</v>
      </c>
      <c r="D17" s="32" t="s">
        <v>56</v>
      </c>
      <c r="E17" s="35"/>
      <c r="F17" s="115" t="s">
        <v>73</v>
      </c>
      <c r="G17" s="35"/>
      <c r="H17" s="32" t="s">
        <v>74</v>
      </c>
      <c r="I17" s="35"/>
      <c r="J17" s="32" t="s">
        <v>74</v>
      </c>
      <c r="K17" s="35"/>
      <c r="L17" s="32"/>
      <c r="M17" s="33"/>
      <c r="N17" s="35">
        <v>500</v>
      </c>
      <c r="O17" s="35"/>
      <c r="P17" s="33"/>
      <c r="Q17" s="32">
        <v>5</v>
      </c>
      <c r="R17" s="34"/>
      <c r="S17" s="81">
        <v>2</v>
      </c>
      <c r="T17" s="29"/>
      <c r="U17" s="28"/>
      <c r="V17" s="29"/>
      <c r="W17" s="30">
        <f t="shared" si="10"/>
        <v>2</v>
      </c>
      <c r="X17" s="31"/>
      <c r="Y17" s="81">
        <v>1</v>
      </c>
      <c r="Z17" s="29"/>
      <c r="AA17" s="28">
        <v>1</v>
      </c>
      <c r="AB17" s="29"/>
      <c r="AC17" s="30">
        <f t="shared" si="0"/>
        <v>2</v>
      </c>
      <c r="AD17" s="31"/>
      <c r="AE17" s="81">
        <v>2</v>
      </c>
      <c r="AF17" s="29"/>
      <c r="AG17" s="28">
        <v>1</v>
      </c>
      <c r="AH17" s="29"/>
      <c r="AI17" s="30">
        <f t="shared" si="1"/>
        <v>3</v>
      </c>
      <c r="AJ17" s="31"/>
      <c r="AK17" s="81"/>
      <c r="AL17" s="29"/>
      <c r="AM17" s="28">
        <v>2</v>
      </c>
      <c r="AN17" s="29"/>
      <c r="AO17" s="30">
        <f t="shared" si="11"/>
        <v>2</v>
      </c>
      <c r="AP17" s="31"/>
      <c r="AQ17" s="81"/>
      <c r="AR17" s="29"/>
      <c r="AS17" s="28"/>
      <c r="AT17" s="29"/>
      <c r="AU17" s="30">
        <f t="shared" si="2"/>
        <v>0</v>
      </c>
      <c r="AV17" s="31"/>
      <c r="AW17" s="81">
        <v>2</v>
      </c>
      <c r="AX17" s="29"/>
      <c r="AY17" s="28"/>
      <c r="AZ17" s="29"/>
      <c r="BA17" s="30">
        <f t="shared" si="3"/>
        <v>2</v>
      </c>
      <c r="BB17" s="31"/>
      <c r="BC17" s="81">
        <v>1</v>
      </c>
      <c r="BD17" s="29"/>
      <c r="BE17" s="28">
        <v>1</v>
      </c>
      <c r="BF17" s="29"/>
      <c r="BG17" s="30">
        <f t="shared" si="4"/>
        <v>2</v>
      </c>
      <c r="BH17" s="31"/>
      <c r="BI17" s="81"/>
      <c r="BJ17" s="29"/>
      <c r="BK17" s="28"/>
      <c r="BL17" s="29"/>
      <c r="BM17" s="30">
        <f t="shared" si="5"/>
        <v>0</v>
      </c>
      <c r="BN17" s="31"/>
      <c r="BO17" s="81">
        <v>1</v>
      </c>
      <c r="BP17" s="29"/>
      <c r="BQ17" s="28">
        <v>2</v>
      </c>
      <c r="BR17" s="29"/>
      <c r="BS17" s="30">
        <f t="shared" si="6"/>
        <v>3</v>
      </c>
      <c r="BT17" s="31"/>
      <c r="BU17" s="28">
        <f t="shared" si="7"/>
        <v>9</v>
      </c>
      <c r="BV17" s="29"/>
      <c r="BW17" s="28">
        <f t="shared" si="8"/>
        <v>7</v>
      </c>
      <c r="BX17" s="29"/>
      <c r="BY17" s="30">
        <f t="shared" si="9"/>
        <v>16</v>
      </c>
      <c r="BZ17" s="31"/>
    </row>
    <row r="18" spans="3:78" ht="75" customHeight="1" x14ac:dyDescent="0.25">
      <c r="C18" s="5">
        <v>10</v>
      </c>
      <c r="D18" s="32" t="s">
        <v>56</v>
      </c>
      <c r="E18" s="35"/>
      <c r="F18" s="115" t="s">
        <v>73</v>
      </c>
      <c r="G18" s="35"/>
      <c r="H18" s="32" t="s">
        <v>75</v>
      </c>
      <c r="I18" s="35"/>
      <c r="J18" s="32" t="s">
        <v>76</v>
      </c>
      <c r="K18" s="35"/>
      <c r="L18" s="32"/>
      <c r="M18" s="33"/>
      <c r="N18" s="35">
        <v>1200</v>
      </c>
      <c r="O18" s="35"/>
      <c r="P18" s="33"/>
      <c r="Q18" s="32">
        <v>12</v>
      </c>
      <c r="R18" s="34"/>
      <c r="S18" s="81"/>
      <c r="T18" s="29"/>
      <c r="U18" s="28"/>
      <c r="V18" s="29"/>
      <c r="W18" s="30">
        <f t="shared" si="10"/>
        <v>0</v>
      </c>
      <c r="X18" s="31"/>
      <c r="Y18" s="81">
        <v>1</v>
      </c>
      <c r="Z18" s="29"/>
      <c r="AA18" s="28">
        <v>1</v>
      </c>
      <c r="AB18" s="29"/>
      <c r="AC18" s="30">
        <f t="shared" si="0"/>
        <v>2</v>
      </c>
      <c r="AD18" s="31"/>
      <c r="AE18" s="81">
        <v>1</v>
      </c>
      <c r="AF18" s="29"/>
      <c r="AG18" s="28"/>
      <c r="AH18" s="29"/>
      <c r="AI18" s="30">
        <f t="shared" si="1"/>
        <v>1</v>
      </c>
      <c r="AJ18" s="31"/>
      <c r="AK18" s="81"/>
      <c r="AL18" s="29"/>
      <c r="AM18" s="28"/>
      <c r="AN18" s="29"/>
      <c r="AO18" s="30">
        <f t="shared" si="11"/>
        <v>0</v>
      </c>
      <c r="AP18" s="31"/>
      <c r="AQ18" s="81">
        <v>2</v>
      </c>
      <c r="AR18" s="29"/>
      <c r="AS18" s="28">
        <v>1</v>
      </c>
      <c r="AT18" s="29"/>
      <c r="AU18" s="30">
        <f t="shared" si="2"/>
        <v>3</v>
      </c>
      <c r="AV18" s="31"/>
      <c r="AW18" s="81"/>
      <c r="AX18" s="29"/>
      <c r="AY18" s="28"/>
      <c r="AZ18" s="29"/>
      <c r="BA18" s="30">
        <f t="shared" si="3"/>
        <v>0</v>
      </c>
      <c r="BB18" s="31"/>
      <c r="BC18" s="81"/>
      <c r="BD18" s="29"/>
      <c r="BE18" s="28"/>
      <c r="BF18" s="29"/>
      <c r="BG18" s="30">
        <f t="shared" si="4"/>
        <v>0</v>
      </c>
      <c r="BH18" s="31"/>
      <c r="BI18" s="81">
        <v>2</v>
      </c>
      <c r="BJ18" s="29"/>
      <c r="BK18" s="28"/>
      <c r="BL18" s="29"/>
      <c r="BM18" s="30">
        <f t="shared" si="5"/>
        <v>2</v>
      </c>
      <c r="BN18" s="31"/>
      <c r="BO18" s="81">
        <v>2</v>
      </c>
      <c r="BP18" s="29"/>
      <c r="BQ18" s="28"/>
      <c r="BR18" s="29"/>
      <c r="BS18" s="30">
        <f t="shared" si="6"/>
        <v>2</v>
      </c>
      <c r="BT18" s="31"/>
      <c r="BU18" s="28">
        <f t="shared" si="7"/>
        <v>8</v>
      </c>
      <c r="BV18" s="29"/>
      <c r="BW18" s="28">
        <f t="shared" si="8"/>
        <v>2</v>
      </c>
      <c r="BX18" s="29"/>
      <c r="BY18" s="30">
        <f t="shared" si="9"/>
        <v>10</v>
      </c>
      <c r="BZ18" s="31"/>
    </row>
    <row r="19" spans="3:78" ht="75" customHeight="1" x14ac:dyDescent="0.25">
      <c r="C19" s="5">
        <v>11</v>
      </c>
      <c r="D19" s="32" t="s">
        <v>56</v>
      </c>
      <c r="E19" s="35"/>
      <c r="F19" s="115" t="s">
        <v>73</v>
      </c>
      <c r="G19" s="35"/>
      <c r="H19" s="32" t="s">
        <v>77</v>
      </c>
      <c r="I19" s="35"/>
      <c r="J19" s="32" t="s">
        <v>78</v>
      </c>
      <c r="K19" s="35"/>
      <c r="L19" s="32"/>
      <c r="M19" s="33"/>
      <c r="N19" s="35">
        <v>800</v>
      </c>
      <c r="O19" s="35"/>
      <c r="P19" s="33"/>
      <c r="Q19" s="32">
        <v>10</v>
      </c>
      <c r="R19" s="34"/>
      <c r="S19" s="81">
        <v>2</v>
      </c>
      <c r="T19" s="29"/>
      <c r="U19" s="28">
        <v>1</v>
      </c>
      <c r="V19" s="29"/>
      <c r="W19" s="30">
        <f t="shared" si="10"/>
        <v>3</v>
      </c>
      <c r="X19" s="31"/>
      <c r="Y19" s="81"/>
      <c r="Z19" s="29"/>
      <c r="AA19" s="28">
        <v>2</v>
      </c>
      <c r="AB19" s="29"/>
      <c r="AC19" s="30">
        <f t="shared" si="0"/>
        <v>2</v>
      </c>
      <c r="AD19" s="31"/>
      <c r="AE19" s="81"/>
      <c r="AF19" s="29"/>
      <c r="AG19" s="28">
        <v>1</v>
      </c>
      <c r="AH19" s="29"/>
      <c r="AI19" s="30">
        <f t="shared" si="1"/>
        <v>1</v>
      </c>
      <c r="AJ19" s="31"/>
      <c r="AK19" s="81">
        <v>1</v>
      </c>
      <c r="AL19" s="29"/>
      <c r="AM19" s="28">
        <v>1</v>
      </c>
      <c r="AN19" s="29"/>
      <c r="AO19" s="30">
        <f t="shared" si="11"/>
        <v>2</v>
      </c>
      <c r="AP19" s="31"/>
      <c r="AQ19" s="81">
        <v>1</v>
      </c>
      <c r="AR19" s="29"/>
      <c r="AS19" s="28">
        <v>1</v>
      </c>
      <c r="AT19" s="29"/>
      <c r="AU19" s="30">
        <f t="shared" si="2"/>
        <v>2</v>
      </c>
      <c r="AV19" s="31"/>
      <c r="AW19" s="81">
        <v>2</v>
      </c>
      <c r="AX19" s="29"/>
      <c r="AY19" s="28">
        <v>1</v>
      </c>
      <c r="AZ19" s="29"/>
      <c r="BA19" s="30">
        <f t="shared" si="3"/>
        <v>3</v>
      </c>
      <c r="BB19" s="31"/>
      <c r="BC19" s="81">
        <v>1</v>
      </c>
      <c r="BD19" s="29"/>
      <c r="BE19" s="28">
        <v>2</v>
      </c>
      <c r="BF19" s="29"/>
      <c r="BG19" s="30">
        <f t="shared" si="4"/>
        <v>3</v>
      </c>
      <c r="BH19" s="31"/>
      <c r="BI19" s="81">
        <v>1</v>
      </c>
      <c r="BJ19" s="29"/>
      <c r="BK19" s="28"/>
      <c r="BL19" s="29"/>
      <c r="BM19" s="30">
        <f t="shared" si="5"/>
        <v>1</v>
      </c>
      <c r="BN19" s="31"/>
      <c r="BO19" s="81">
        <v>2</v>
      </c>
      <c r="BP19" s="29"/>
      <c r="BQ19" s="28">
        <v>1</v>
      </c>
      <c r="BR19" s="29"/>
      <c r="BS19" s="30">
        <f t="shared" si="6"/>
        <v>3</v>
      </c>
      <c r="BT19" s="31"/>
      <c r="BU19" s="28">
        <f t="shared" si="7"/>
        <v>10</v>
      </c>
      <c r="BV19" s="29"/>
      <c r="BW19" s="28">
        <f t="shared" si="8"/>
        <v>10</v>
      </c>
      <c r="BX19" s="29"/>
      <c r="BY19" s="30">
        <f t="shared" si="9"/>
        <v>20</v>
      </c>
      <c r="BZ19" s="31"/>
    </row>
    <row r="20" spans="3:78" ht="75" customHeight="1" x14ac:dyDescent="0.25">
      <c r="C20" s="5">
        <v>12</v>
      </c>
      <c r="D20" s="32" t="s">
        <v>56</v>
      </c>
      <c r="E20" s="35"/>
      <c r="F20" s="115" t="s">
        <v>73</v>
      </c>
      <c r="G20" s="35"/>
      <c r="H20" s="32" t="s">
        <v>79</v>
      </c>
      <c r="I20" s="35"/>
      <c r="J20" s="32" t="s">
        <v>80</v>
      </c>
      <c r="K20" s="35"/>
      <c r="L20" s="32"/>
      <c r="M20" s="33"/>
      <c r="N20" s="35">
        <v>400</v>
      </c>
      <c r="O20" s="35"/>
      <c r="P20" s="33"/>
      <c r="Q20" s="32">
        <v>4</v>
      </c>
      <c r="R20" s="34"/>
      <c r="S20" s="81"/>
      <c r="T20" s="29"/>
      <c r="U20" s="28"/>
      <c r="V20" s="29"/>
      <c r="W20" s="30">
        <f t="shared" si="10"/>
        <v>0</v>
      </c>
      <c r="X20" s="31"/>
      <c r="Y20" s="81"/>
      <c r="Z20" s="29"/>
      <c r="AA20" s="28"/>
      <c r="AB20" s="29"/>
      <c r="AC20" s="30">
        <f t="shared" si="0"/>
        <v>0</v>
      </c>
      <c r="AD20" s="31"/>
      <c r="AE20" s="81"/>
      <c r="AF20" s="29"/>
      <c r="AG20" s="28"/>
      <c r="AH20" s="29"/>
      <c r="AI20" s="30">
        <f t="shared" si="1"/>
        <v>0</v>
      </c>
      <c r="AJ20" s="31"/>
      <c r="AK20" s="81"/>
      <c r="AL20" s="29"/>
      <c r="AM20" s="28"/>
      <c r="AN20" s="29"/>
      <c r="AO20" s="30">
        <f t="shared" si="11"/>
        <v>0</v>
      </c>
      <c r="AP20" s="31"/>
      <c r="AQ20" s="81"/>
      <c r="AR20" s="29"/>
      <c r="AS20" s="28">
        <v>1</v>
      </c>
      <c r="AT20" s="29"/>
      <c r="AU20" s="30">
        <f t="shared" si="2"/>
        <v>1</v>
      </c>
      <c r="AV20" s="31"/>
      <c r="AW20" s="81"/>
      <c r="AX20" s="29"/>
      <c r="AY20" s="28"/>
      <c r="AZ20" s="29"/>
      <c r="BA20" s="30">
        <f t="shared" si="3"/>
        <v>0</v>
      </c>
      <c r="BB20" s="31"/>
      <c r="BC20" s="81"/>
      <c r="BD20" s="29"/>
      <c r="BE20" s="28"/>
      <c r="BF20" s="29"/>
      <c r="BG20" s="30">
        <f t="shared" si="4"/>
        <v>0</v>
      </c>
      <c r="BH20" s="31"/>
      <c r="BI20" s="81">
        <v>1</v>
      </c>
      <c r="BJ20" s="29"/>
      <c r="BK20" s="28"/>
      <c r="BL20" s="29"/>
      <c r="BM20" s="30">
        <f t="shared" si="5"/>
        <v>1</v>
      </c>
      <c r="BN20" s="31"/>
      <c r="BO20" s="81"/>
      <c r="BP20" s="29"/>
      <c r="BQ20" s="28"/>
      <c r="BR20" s="29"/>
      <c r="BS20" s="30">
        <f t="shared" si="6"/>
        <v>0</v>
      </c>
      <c r="BT20" s="31"/>
      <c r="BU20" s="28">
        <f t="shared" si="7"/>
        <v>1</v>
      </c>
      <c r="BV20" s="29"/>
      <c r="BW20" s="28">
        <f t="shared" si="8"/>
        <v>1</v>
      </c>
      <c r="BX20" s="29"/>
      <c r="BY20" s="30">
        <f t="shared" si="9"/>
        <v>2</v>
      </c>
      <c r="BZ20" s="31"/>
    </row>
    <row r="21" spans="3:78" ht="75" customHeight="1" x14ac:dyDescent="0.25">
      <c r="C21" s="5">
        <v>13</v>
      </c>
      <c r="D21" s="32" t="s">
        <v>56</v>
      </c>
      <c r="E21" s="35"/>
      <c r="F21" s="115" t="s">
        <v>73</v>
      </c>
      <c r="G21" s="35"/>
      <c r="H21" s="32" t="s">
        <v>81</v>
      </c>
      <c r="I21" s="35"/>
      <c r="J21" s="32" t="s">
        <v>81</v>
      </c>
      <c r="K21" s="35"/>
      <c r="L21" s="32"/>
      <c r="M21" s="33"/>
      <c r="N21" s="35">
        <v>600</v>
      </c>
      <c r="O21" s="35"/>
      <c r="P21" s="33"/>
      <c r="Q21" s="32">
        <v>6</v>
      </c>
      <c r="R21" s="34"/>
      <c r="S21" s="81"/>
      <c r="T21" s="29"/>
      <c r="U21" s="28">
        <v>1</v>
      </c>
      <c r="V21" s="29"/>
      <c r="W21" s="30">
        <f t="shared" si="10"/>
        <v>1</v>
      </c>
      <c r="X21" s="31"/>
      <c r="Y21" s="81">
        <v>1</v>
      </c>
      <c r="Z21" s="29"/>
      <c r="AA21" s="28"/>
      <c r="AB21" s="29"/>
      <c r="AC21" s="30">
        <f t="shared" si="0"/>
        <v>1</v>
      </c>
      <c r="AD21" s="31"/>
      <c r="AE21" s="81">
        <v>1</v>
      </c>
      <c r="AF21" s="29"/>
      <c r="AG21" s="28"/>
      <c r="AH21" s="29"/>
      <c r="AI21" s="30">
        <f t="shared" si="1"/>
        <v>1</v>
      </c>
      <c r="AJ21" s="31"/>
      <c r="AK21" s="81"/>
      <c r="AL21" s="29"/>
      <c r="AM21" s="28">
        <v>2</v>
      </c>
      <c r="AN21" s="29"/>
      <c r="AO21" s="30">
        <f t="shared" si="11"/>
        <v>2</v>
      </c>
      <c r="AP21" s="31"/>
      <c r="AQ21" s="81">
        <v>1</v>
      </c>
      <c r="AR21" s="29"/>
      <c r="AS21" s="28"/>
      <c r="AT21" s="29"/>
      <c r="AU21" s="30">
        <f t="shared" si="2"/>
        <v>1</v>
      </c>
      <c r="AV21" s="31"/>
      <c r="AW21" s="81">
        <v>2</v>
      </c>
      <c r="AX21" s="29"/>
      <c r="AY21" s="28"/>
      <c r="AZ21" s="29"/>
      <c r="BA21" s="30">
        <f t="shared" si="3"/>
        <v>2</v>
      </c>
      <c r="BB21" s="31"/>
      <c r="BC21" s="81"/>
      <c r="BD21" s="29"/>
      <c r="BE21" s="28">
        <v>2</v>
      </c>
      <c r="BF21" s="29"/>
      <c r="BG21" s="30">
        <f t="shared" si="4"/>
        <v>2</v>
      </c>
      <c r="BH21" s="31"/>
      <c r="BI21" s="81"/>
      <c r="BJ21" s="29"/>
      <c r="BK21" s="28"/>
      <c r="BL21" s="29"/>
      <c r="BM21" s="30">
        <f t="shared" si="5"/>
        <v>0</v>
      </c>
      <c r="BN21" s="31"/>
      <c r="BO21" s="81">
        <v>3</v>
      </c>
      <c r="BP21" s="29"/>
      <c r="BQ21" s="28">
        <v>2</v>
      </c>
      <c r="BR21" s="29"/>
      <c r="BS21" s="30">
        <f t="shared" si="6"/>
        <v>5</v>
      </c>
      <c r="BT21" s="31"/>
      <c r="BU21" s="28">
        <f t="shared" si="7"/>
        <v>8</v>
      </c>
      <c r="BV21" s="29"/>
      <c r="BW21" s="28">
        <f t="shared" si="8"/>
        <v>7</v>
      </c>
      <c r="BX21" s="29"/>
      <c r="BY21" s="30">
        <f t="shared" si="9"/>
        <v>15</v>
      </c>
      <c r="BZ21" s="31"/>
    </row>
    <row r="22" spans="3:78" ht="75" customHeight="1" x14ac:dyDescent="0.25">
      <c r="C22" s="5">
        <v>14</v>
      </c>
      <c r="D22" s="32" t="s">
        <v>56</v>
      </c>
      <c r="E22" s="35"/>
      <c r="F22" s="115" t="s">
        <v>73</v>
      </c>
      <c r="G22" s="35"/>
      <c r="H22" s="32" t="s">
        <v>82</v>
      </c>
      <c r="I22" s="35"/>
      <c r="J22" s="32" t="s">
        <v>83</v>
      </c>
      <c r="K22" s="35"/>
      <c r="L22" s="32"/>
      <c r="M22" s="33"/>
      <c r="N22" s="35">
        <v>900</v>
      </c>
      <c r="O22" s="35"/>
      <c r="P22" s="33"/>
      <c r="Q22" s="32">
        <v>10</v>
      </c>
      <c r="R22" s="34"/>
      <c r="S22" s="81">
        <v>1</v>
      </c>
      <c r="T22" s="29"/>
      <c r="U22" s="28">
        <v>4</v>
      </c>
      <c r="V22" s="29"/>
      <c r="W22" s="30">
        <f t="shared" si="10"/>
        <v>5</v>
      </c>
      <c r="X22" s="31"/>
      <c r="Y22" s="81">
        <v>4</v>
      </c>
      <c r="Z22" s="29"/>
      <c r="AA22" s="28">
        <v>2</v>
      </c>
      <c r="AB22" s="29"/>
      <c r="AC22" s="30">
        <f t="shared" si="0"/>
        <v>6</v>
      </c>
      <c r="AD22" s="31"/>
      <c r="AE22" s="81">
        <v>4</v>
      </c>
      <c r="AF22" s="29"/>
      <c r="AG22" s="28">
        <v>1</v>
      </c>
      <c r="AH22" s="29"/>
      <c r="AI22" s="30">
        <f t="shared" si="1"/>
        <v>5</v>
      </c>
      <c r="AJ22" s="31"/>
      <c r="AK22" s="81"/>
      <c r="AL22" s="29"/>
      <c r="AM22" s="28">
        <v>2</v>
      </c>
      <c r="AN22" s="29"/>
      <c r="AO22" s="30">
        <f t="shared" si="11"/>
        <v>2</v>
      </c>
      <c r="AP22" s="31"/>
      <c r="AQ22" s="81">
        <v>3</v>
      </c>
      <c r="AR22" s="29"/>
      <c r="AS22" s="28">
        <v>3</v>
      </c>
      <c r="AT22" s="29"/>
      <c r="AU22" s="30">
        <f t="shared" si="2"/>
        <v>6</v>
      </c>
      <c r="AV22" s="31"/>
      <c r="AW22" s="81">
        <v>2</v>
      </c>
      <c r="AX22" s="29"/>
      <c r="AY22" s="28">
        <v>2</v>
      </c>
      <c r="AZ22" s="29"/>
      <c r="BA22" s="30">
        <f t="shared" si="3"/>
        <v>4</v>
      </c>
      <c r="BB22" s="31"/>
      <c r="BC22" s="81">
        <v>3</v>
      </c>
      <c r="BD22" s="29"/>
      <c r="BE22" s="28">
        <v>3</v>
      </c>
      <c r="BF22" s="29"/>
      <c r="BG22" s="30">
        <f t="shared" si="4"/>
        <v>6</v>
      </c>
      <c r="BH22" s="31"/>
      <c r="BI22" s="81">
        <v>7</v>
      </c>
      <c r="BJ22" s="29"/>
      <c r="BK22" s="28">
        <v>4</v>
      </c>
      <c r="BL22" s="29"/>
      <c r="BM22" s="30">
        <f t="shared" si="5"/>
        <v>11</v>
      </c>
      <c r="BN22" s="31"/>
      <c r="BO22" s="81">
        <v>2</v>
      </c>
      <c r="BP22" s="29"/>
      <c r="BQ22" s="28">
        <v>1</v>
      </c>
      <c r="BR22" s="29"/>
      <c r="BS22" s="30">
        <f t="shared" si="6"/>
        <v>3</v>
      </c>
      <c r="BT22" s="31"/>
      <c r="BU22" s="28">
        <f t="shared" si="7"/>
        <v>26</v>
      </c>
      <c r="BV22" s="29"/>
      <c r="BW22" s="28">
        <f t="shared" si="8"/>
        <v>22</v>
      </c>
      <c r="BX22" s="29"/>
      <c r="BY22" s="30">
        <f t="shared" si="9"/>
        <v>48</v>
      </c>
      <c r="BZ22" s="31"/>
    </row>
    <row r="23" spans="3:78" ht="75" customHeight="1" x14ac:dyDescent="0.25">
      <c r="C23" s="5">
        <v>15</v>
      </c>
      <c r="D23" s="32" t="s">
        <v>56</v>
      </c>
      <c r="E23" s="35"/>
      <c r="F23" s="115" t="s">
        <v>84</v>
      </c>
      <c r="G23" s="35"/>
      <c r="H23" s="32" t="s">
        <v>84</v>
      </c>
      <c r="I23" s="35"/>
      <c r="J23" s="82" t="s">
        <v>84</v>
      </c>
      <c r="K23" s="82"/>
      <c r="L23" s="32"/>
      <c r="M23" s="33"/>
      <c r="N23" s="35">
        <v>1000</v>
      </c>
      <c r="O23" s="35"/>
      <c r="P23" s="33"/>
      <c r="Q23" s="32">
        <v>10</v>
      </c>
      <c r="R23" s="34"/>
      <c r="S23" s="81">
        <v>3</v>
      </c>
      <c r="T23" s="29"/>
      <c r="U23" s="28">
        <v>1</v>
      </c>
      <c r="V23" s="29"/>
      <c r="W23" s="30">
        <f t="shared" si="10"/>
        <v>4</v>
      </c>
      <c r="X23" s="31"/>
      <c r="Y23" s="81">
        <v>2</v>
      </c>
      <c r="Z23" s="29"/>
      <c r="AA23" s="28"/>
      <c r="AB23" s="29"/>
      <c r="AC23" s="30">
        <f t="shared" si="0"/>
        <v>2</v>
      </c>
      <c r="AD23" s="31"/>
      <c r="AE23" s="81">
        <v>2</v>
      </c>
      <c r="AF23" s="29"/>
      <c r="AG23" s="28">
        <v>3</v>
      </c>
      <c r="AH23" s="29"/>
      <c r="AI23" s="30">
        <f t="shared" si="1"/>
        <v>5</v>
      </c>
      <c r="AJ23" s="31"/>
      <c r="AK23" s="81">
        <v>1</v>
      </c>
      <c r="AL23" s="29"/>
      <c r="AM23" s="28">
        <v>3</v>
      </c>
      <c r="AN23" s="29"/>
      <c r="AO23" s="30">
        <f t="shared" si="11"/>
        <v>4</v>
      </c>
      <c r="AP23" s="31"/>
      <c r="AQ23" s="81">
        <v>1</v>
      </c>
      <c r="AR23" s="29"/>
      <c r="AS23" s="28">
        <v>2</v>
      </c>
      <c r="AT23" s="29"/>
      <c r="AU23" s="30">
        <f t="shared" si="2"/>
        <v>3</v>
      </c>
      <c r="AV23" s="31"/>
      <c r="AW23" s="81">
        <v>2</v>
      </c>
      <c r="AX23" s="29"/>
      <c r="AY23" s="28"/>
      <c r="AZ23" s="29"/>
      <c r="BA23" s="30">
        <f t="shared" si="3"/>
        <v>2</v>
      </c>
      <c r="BB23" s="31"/>
      <c r="BC23" s="81"/>
      <c r="BD23" s="29"/>
      <c r="BE23" s="28"/>
      <c r="BF23" s="29"/>
      <c r="BG23" s="30">
        <f t="shared" si="4"/>
        <v>0</v>
      </c>
      <c r="BH23" s="31"/>
      <c r="BI23" s="81"/>
      <c r="BJ23" s="29"/>
      <c r="BK23" s="28"/>
      <c r="BL23" s="29"/>
      <c r="BM23" s="30">
        <f t="shared" si="5"/>
        <v>0</v>
      </c>
      <c r="BN23" s="31"/>
      <c r="BO23" s="81">
        <v>2</v>
      </c>
      <c r="BP23" s="29"/>
      <c r="BQ23" s="28">
        <v>1</v>
      </c>
      <c r="BR23" s="29"/>
      <c r="BS23" s="30">
        <f t="shared" si="6"/>
        <v>3</v>
      </c>
      <c r="BT23" s="31"/>
      <c r="BU23" s="28">
        <f t="shared" si="7"/>
        <v>13</v>
      </c>
      <c r="BV23" s="29"/>
      <c r="BW23" s="28">
        <f t="shared" si="8"/>
        <v>10</v>
      </c>
      <c r="BX23" s="29"/>
      <c r="BY23" s="30">
        <f t="shared" si="9"/>
        <v>23</v>
      </c>
      <c r="BZ23" s="31"/>
    </row>
    <row r="24" spans="3:78" ht="75" customHeight="1" thickBot="1" x14ac:dyDescent="0.3">
      <c r="C24" s="8">
        <v>16</v>
      </c>
      <c r="D24" s="83" t="s">
        <v>56</v>
      </c>
      <c r="E24" s="84"/>
      <c r="F24" s="124" t="s">
        <v>84</v>
      </c>
      <c r="G24" s="125"/>
      <c r="H24" s="126" t="s">
        <v>85</v>
      </c>
      <c r="I24" s="125"/>
      <c r="J24" s="126" t="s">
        <v>85</v>
      </c>
      <c r="K24" s="125"/>
      <c r="L24" s="126"/>
      <c r="M24" s="127"/>
      <c r="N24" s="126">
        <v>1800</v>
      </c>
      <c r="O24" s="125"/>
      <c r="P24" s="127"/>
      <c r="Q24" s="126">
        <v>17</v>
      </c>
      <c r="R24" s="128"/>
      <c r="S24" s="87">
        <v>1</v>
      </c>
      <c r="T24" s="88"/>
      <c r="U24" s="89"/>
      <c r="V24" s="88"/>
      <c r="W24" s="90">
        <f t="shared" si="10"/>
        <v>1</v>
      </c>
      <c r="X24" s="91"/>
      <c r="Y24" s="87"/>
      <c r="Z24" s="88"/>
      <c r="AA24" s="89"/>
      <c r="AB24" s="88"/>
      <c r="AC24" s="90">
        <f t="shared" si="0"/>
        <v>0</v>
      </c>
      <c r="AD24" s="91"/>
      <c r="AE24" s="87"/>
      <c r="AF24" s="88"/>
      <c r="AG24" s="89"/>
      <c r="AH24" s="88"/>
      <c r="AI24" s="90">
        <f t="shared" si="1"/>
        <v>0</v>
      </c>
      <c r="AJ24" s="91"/>
      <c r="AK24" s="87"/>
      <c r="AL24" s="88"/>
      <c r="AM24" s="89"/>
      <c r="AN24" s="88"/>
      <c r="AO24" s="90">
        <f t="shared" si="11"/>
        <v>0</v>
      </c>
      <c r="AP24" s="91"/>
      <c r="AQ24" s="87"/>
      <c r="AR24" s="88"/>
      <c r="AS24" s="89"/>
      <c r="AT24" s="88"/>
      <c r="AU24" s="90">
        <f t="shared" si="2"/>
        <v>0</v>
      </c>
      <c r="AV24" s="91"/>
      <c r="AW24" s="87"/>
      <c r="AX24" s="88"/>
      <c r="AY24" s="89"/>
      <c r="AZ24" s="88"/>
      <c r="BA24" s="90">
        <f t="shared" si="3"/>
        <v>0</v>
      </c>
      <c r="BB24" s="91"/>
      <c r="BC24" s="87"/>
      <c r="BD24" s="88"/>
      <c r="BE24" s="89"/>
      <c r="BF24" s="88"/>
      <c r="BG24" s="90">
        <f t="shared" si="4"/>
        <v>0</v>
      </c>
      <c r="BH24" s="91"/>
      <c r="BI24" s="87"/>
      <c r="BJ24" s="88"/>
      <c r="BK24" s="89"/>
      <c r="BL24" s="88"/>
      <c r="BM24" s="90">
        <f t="shared" si="5"/>
        <v>0</v>
      </c>
      <c r="BN24" s="91"/>
      <c r="BO24" s="87">
        <v>1</v>
      </c>
      <c r="BP24" s="88"/>
      <c r="BQ24" s="89"/>
      <c r="BR24" s="88"/>
      <c r="BS24" s="90">
        <f t="shared" si="6"/>
        <v>1</v>
      </c>
      <c r="BT24" s="91"/>
      <c r="BU24" s="89">
        <f t="shared" si="7"/>
        <v>2</v>
      </c>
      <c r="BV24" s="88"/>
      <c r="BW24" s="89">
        <f t="shared" si="8"/>
        <v>0</v>
      </c>
      <c r="BX24" s="88"/>
      <c r="BY24" s="90">
        <f t="shared" si="9"/>
        <v>2</v>
      </c>
      <c r="BZ24" s="91"/>
    </row>
    <row r="25" spans="3:78" s="11" customFormat="1" ht="75" customHeight="1" thickBot="1" x14ac:dyDescent="0.3">
      <c r="C25" s="118" t="s">
        <v>99</v>
      </c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20"/>
      <c r="S25" s="103">
        <f>SUM(S9:T24)</f>
        <v>23</v>
      </c>
      <c r="T25" s="104"/>
      <c r="U25" s="103">
        <f t="shared" ref="U25" si="12">SUM(U9:V24)</f>
        <v>17</v>
      </c>
      <c r="V25" s="104"/>
      <c r="W25" s="103">
        <f t="shared" ref="W25" si="13">SUM(W9:X24)</f>
        <v>40</v>
      </c>
      <c r="X25" s="104"/>
      <c r="Y25" s="103">
        <f t="shared" ref="Y25" si="14">SUM(Y9:Z24)</f>
        <v>15</v>
      </c>
      <c r="Z25" s="104"/>
      <c r="AA25" s="103">
        <f t="shared" ref="AA25" si="15">SUM(AA9:AB24)</f>
        <v>14</v>
      </c>
      <c r="AB25" s="104"/>
      <c r="AC25" s="103">
        <f t="shared" ref="AC25" si="16">SUM(AC9:AD24)</f>
        <v>29</v>
      </c>
      <c r="AD25" s="104"/>
      <c r="AE25" s="103">
        <f t="shared" ref="AE25" si="17">SUM(AE9:AF24)</f>
        <v>19</v>
      </c>
      <c r="AF25" s="104"/>
      <c r="AG25" s="103">
        <f t="shared" ref="AG25" si="18">SUM(AG9:AH24)</f>
        <v>17</v>
      </c>
      <c r="AH25" s="104"/>
      <c r="AI25" s="103">
        <f>SUM(AI9:AJ24)</f>
        <v>36</v>
      </c>
      <c r="AJ25" s="104"/>
      <c r="AK25" s="103">
        <f t="shared" ref="AK25" si="19">SUM(AK9:AL24)</f>
        <v>13</v>
      </c>
      <c r="AL25" s="104"/>
      <c r="AM25" s="103">
        <f t="shared" ref="AM25" si="20">SUM(AM9:AN24)</f>
        <v>21</v>
      </c>
      <c r="AN25" s="104"/>
      <c r="AO25" s="103">
        <f>SUM(AO9:AP24)</f>
        <v>34</v>
      </c>
      <c r="AP25" s="104"/>
      <c r="AQ25" s="103">
        <f t="shared" ref="AQ25" si="21">SUM(AQ9:AR24)</f>
        <v>17</v>
      </c>
      <c r="AR25" s="104"/>
      <c r="AS25" s="103">
        <f t="shared" ref="AS25" si="22">SUM(AS9:AT24)</f>
        <v>20</v>
      </c>
      <c r="AT25" s="104"/>
      <c r="AU25" s="103">
        <f t="shared" ref="AU25" si="23">SUM(AU9:AV24)</f>
        <v>37</v>
      </c>
      <c r="AV25" s="104"/>
      <c r="AW25" s="103">
        <f t="shared" ref="AW25" si="24">SUM(AW9:AX24)</f>
        <v>22</v>
      </c>
      <c r="AX25" s="104"/>
      <c r="AY25" s="103">
        <f t="shared" ref="AY25" si="25">SUM(AY9:AZ24)</f>
        <v>12</v>
      </c>
      <c r="AZ25" s="104"/>
      <c r="BA25" s="103">
        <f t="shared" ref="BA25" si="26">SUM(BA9:BB24)</f>
        <v>34</v>
      </c>
      <c r="BB25" s="104"/>
      <c r="BC25" s="103">
        <f t="shared" ref="BC25" si="27">SUM(BC9:BD24)</f>
        <v>14</v>
      </c>
      <c r="BD25" s="104"/>
      <c r="BE25" s="103">
        <f t="shared" ref="BE25" si="28">SUM(BE9:BF24)</f>
        <v>11</v>
      </c>
      <c r="BF25" s="104"/>
      <c r="BG25" s="103">
        <f t="shared" ref="BG25" si="29">SUM(BG9:BH24)</f>
        <v>25</v>
      </c>
      <c r="BH25" s="104"/>
      <c r="BI25" s="103">
        <f t="shared" ref="BI25" si="30">SUM(BI9:BJ24)</f>
        <v>16</v>
      </c>
      <c r="BJ25" s="104"/>
      <c r="BK25" s="103">
        <f t="shared" ref="BK25" si="31">SUM(BK9:BL24)</f>
        <v>9</v>
      </c>
      <c r="BL25" s="104"/>
      <c r="BM25" s="103">
        <f t="shared" ref="BM25" si="32">SUM(BM9:BN24)</f>
        <v>25</v>
      </c>
      <c r="BN25" s="104"/>
      <c r="BO25" s="103">
        <f t="shared" ref="BO25" si="33">SUM(BO9:BP24)</f>
        <v>20</v>
      </c>
      <c r="BP25" s="104"/>
      <c r="BQ25" s="103">
        <f t="shared" ref="BQ25" si="34">SUM(BQ9:BR24)</f>
        <v>13</v>
      </c>
      <c r="BR25" s="104"/>
      <c r="BS25" s="103">
        <f t="shared" ref="BS25" si="35">SUM(BS9:BT24)</f>
        <v>33</v>
      </c>
      <c r="BT25" s="104"/>
      <c r="BU25" s="103">
        <f t="shared" ref="BU25" si="36">SUM(BU9:BV24)</f>
        <v>159</v>
      </c>
      <c r="BV25" s="104"/>
      <c r="BW25" s="103">
        <f t="shared" ref="BW25" si="37">SUM(BW9:BX24)</f>
        <v>134</v>
      </c>
      <c r="BX25" s="104"/>
      <c r="BY25" s="103">
        <f t="shared" ref="BY25" si="38">SUM(BY9:BZ24)</f>
        <v>293</v>
      </c>
      <c r="BZ25" s="104"/>
    </row>
    <row r="26" spans="3:78" ht="75" customHeight="1" x14ac:dyDescent="0.25">
      <c r="C26" s="10">
        <v>17</v>
      </c>
      <c r="D26" s="92" t="s">
        <v>56</v>
      </c>
      <c r="E26" s="93"/>
      <c r="F26" s="121" t="s">
        <v>86</v>
      </c>
      <c r="G26" s="122"/>
      <c r="H26" s="116" t="s">
        <v>86</v>
      </c>
      <c r="I26" s="122"/>
      <c r="J26" s="116" t="s">
        <v>86</v>
      </c>
      <c r="K26" s="122"/>
      <c r="L26" s="116"/>
      <c r="M26" s="123"/>
      <c r="N26" s="122">
        <v>1500</v>
      </c>
      <c r="O26" s="122"/>
      <c r="P26" s="123"/>
      <c r="Q26" s="116">
        <v>15</v>
      </c>
      <c r="R26" s="117"/>
      <c r="S26" s="98">
        <v>3</v>
      </c>
      <c r="T26" s="99"/>
      <c r="U26" s="100">
        <v>1</v>
      </c>
      <c r="V26" s="99"/>
      <c r="W26" s="96">
        <f t="shared" si="10"/>
        <v>4</v>
      </c>
      <c r="X26" s="97"/>
      <c r="Y26" s="98">
        <v>2</v>
      </c>
      <c r="Z26" s="99"/>
      <c r="AA26" s="100">
        <v>2</v>
      </c>
      <c r="AB26" s="99"/>
      <c r="AC26" s="96">
        <f t="shared" si="0"/>
        <v>4</v>
      </c>
      <c r="AD26" s="97"/>
      <c r="AE26" s="98">
        <v>4</v>
      </c>
      <c r="AF26" s="99"/>
      <c r="AG26" s="100">
        <v>3</v>
      </c>
      <c r="AH26" s="99"/>
      <c r="AI26" s="96">
        <f t="shared" si="1"/>
        <v>7</v>
      </c>
      <c r="AJ26" s="97"/>
      <c r="AK26" s="98">
        <v>1</v>
      </c>
      <c r="AL26" s="99"/>
      <c r="AM26" s="100"/>
      <c r="AN26" s="99"/>
      <c r="AO26" s="96">
        <f t="shared" si="11"/>
        <v>1</v>
      </c>
      <c r="AP26" s="97"/>
      <c r="AQ26" s="98"/>
      <c r="AR26" s="99"/>
      <c r="AS26" s="100">
        <v>3</v>
      </c>
      <c r="AT26" s="99"/>
      <c r="AU26" s="96">
        <f t="shared" si="2"/>
        <v>3</v>
      </c>
      <c r="AV26" s="97"/>
      <c r="AW26" s="98"/>
      <c r="AX26" s="99"/>
      <c r="AY26" s="100"/>
      <c r="AZ26" s="99"/>
      <c r="BA26" s="96">
        <f t="shared" si="3"/>
        <v>0</v>
      </c>
      <c r="BB26" s="97"/>
      <c r="BC26" s="98"/>
      <c r="BD26" s="99"/>
      <c r="BE26" s="100">
        <v>2</v>
      </c>
      <c r="BF26" s="99"/>
      <c r="BG26" s="96">
        <f t="shared" si="4"/>
        <v>2</v>
      </c>
      <c r="BH26" s="97"/>
      <c r="BI26" s="98"/>
      <c r="BJ26" s="99"/>
      <c r="BK26" s="100"/>
      <c r="BL26" s="99"/>
      <c r="BM26" s="96">
        <f t="shared" si="5"/>
        <v>0</v>
      </c>
      <c r="BN26" s="97"/>
      <c r="BO26" s="98"/>
      <c r="BP26" s="99"/>
      <c r="BQ26" s="100">
        <v>1</v>
      </c>
      <c r="BR26" s="99"/>
      <c r="BS26" s="96">
        <f t="shared" si="6"/>
        <v>1</v>
      </c>
      <c r="BT26" s="97"/>
      <c r="BU26" s="100">
        <f t="shared" si="7"/>
        <v>10</v>
      </c>
      <c r="BV26" s="99"/>
      <c r="BW26" s="100">
        <f t="shared" si="8"/>
        <v>12</v>
      </c>
      <c r="BX26" s="99"/>
      <c r="BY26" s="96">
        <f t="shared" si="9"/>
        <v>22</v>
      </c>
      <c r="BZ26" s="97"/>
    </row>
    <row r="27" spans="3:78" ht="75" customHeight="1" x14ac:dyDescent="0.25">
      <c r="C27" s="5">
        <v>18</v>
      </c>
      <c r="D27" s="32" t="s">
        <v>56</v>
      </c>
      <c r="E27" s="35"/>
      <c r="F27" s="115" t="s">
        <v>87</v>
      </c>
      <c r="G27" s="35"/>
      <c r="H27" s="32" t="s">
        <v>87</v>
      </c>
      <c r="I27" s="35"/>
      <c r="J27" s="32" t="s">
        <v>89</v>
      </c>
      <c r="K27" s="35"/>
      <c r="L27" s="32"/>
      <c r="M27" s="33"/>
      <c r="N27" s="35">
        <v>700</v>
      </c>
      <c r="O27" s="35"/>
      <c r="P27" s="33"/>
      <c r="Q27" s="32">
        <v>8</v>
      </c>
      <c r="R27" s="34"/>
      <c r="S27" s="81">
        <v>5</v>
      </c>
      <c r="T27" s="29"/>
      <c r="U27" s="28">
        <v>3</v>
      </c>
      <c r="V27" s="29"/>
      <c r="W27" s="30">
        <f t="shared" si="10"/>
        <v>8</v>
      </c>
      <c r="X27" s="31"/>
      <c r="Y27" s="81">
        <v>1</v>
      </c>
      <c r="Z27" s="29"/>
      <c r="AA27" s="28"/>
      <c r="AB27" s="29"/>
      <c r="AC27" s="30">
        <f t="shared" si="0"/>
        <v>1</v>
      </c>
      <c r="AD27" s="31"/>
      <c r="AE27" s="81">
        <v>5</v>
      </c>
      <c r="AF27" s="29"/>
      <c r="AG27" s="28">
        <v>4</v>
      </c>
      <c r="AH27" s="29"/>
      <c r="AI27" s="30">
        <f t="shared" si="1"/>
        <v>9</v>
      </c>
      <c r="AJ27" s="31"/>
      <c r="AK27" s="81">
        <v>1</v>
      </c>
      <c r="AL27" s="29"/>
      <c r="AM27" s="28">
        <v>1</v>
      </c>
      <c r="AN27" s="29"/>
      <c r="AO27" s="30">
        <f t="shared" si="11"/>
        <v>2</v>
      </c>
      <c r="AP27" s="31"/>
      <c r="AQ27" s="81">
        <v>2</v>
      </c>
      <c r="AR27" s="29"/>
      <c r="AS27" s="28">
        <v>3</v>
      </c>
      <c r="AT27" s="29"/>
      <c r="AU27" s="30">
        <f t="shared" si="2"/>
        <v>5</v>
      </c>
      <c r="AV27" s="31"/>
      <c r="AW27" s="81">
        <v>1</v>
      </c>
      <c r="AX27" s="29"/>
      <c r="AY27" s="28">
        <v>2</v>
      </c>
      <c r="AZ27" s="29"/>
      <c r="BA27" s="30">
        <f t="shared" si="3"/>
        <v>3</v>
      </c>
      <c r="BB27" s="31"/>
      <c r="BC27" s="81">
        <v>1</v>
      </c>
      <c r="BD27" s="29"/>
      <c r="BE27" s="28">
        <v>2</v>
      </c>
      <c r="BF27" s="29"/>
      <c r="BG27" s="30">
        <f t="shared" si="4"/>
        <v>3</v>
      </c>
      <c r="BH27" s="31"/>
      <c r="BI27" s="81"/>
      <c r="BJ27" s="29"/>
      <c r="BK27" s="28">
        <v>5</v>
      </c>
      <c r="BL27" s="29"/>
      <c r="BM27" s="30">
        <f t="shared" si="5"/>
        <v>5</v>
      </c>
      <c r="BN27" s="31"/>
      <c r="BO27" s="81">
        <v>2</v>
      </c>
      <c r="BP27" s="29"/>
      <c r="BQ27" s="28">
        <v>4</v>
      </c>
      <c r="BR27" s="29"/>
      <c r="BS27" s="30">
        <f t="shared" si="6"/>
        <v>6</v>
      </c>
      <c r="BT27" s="31"/>
      <c r="BU27" s="28">
        <f t="shared" si="7"/>
        <v>18</v>
      </c>
      <c r="BV27" s="29"/>
      <c r="BW27" s="28">
        <f t="shared" si="8"/>
        <v>24</v>
      </c>
      <c r="BX27" s="29"/>
      <c r="BY27" s="30">
        <f t="shared" si="9"/>
        <v>42</v>
      </c>
      <c r="BZ27" s="31"/>
    </row>
    <row r="28" spans="3:78" ht="75" customHeight="1" x14ac:dyDescent="0.25">
      <c r="C28" s="5">
        <v>19</v>
      </c>
      <c r="D28" s="32" t="s">
        <v>56</v>
      </c>
      <c r="E28" s="35"/>
      <c r="F28" s="115" t="s">
        <v>87</v>
      </c>
      <c r="G28" s="35"/>
      <c r="H28" s="32" t="s">
        <v>88</v>
      </c>
      <c r="I28" s="35"/>
      <c r="J28" s="32" t="s">
        <v>88</v>
      </c>
      <c r="K28" s="35"/>
      <c r="L28" s="32"/>
      <c r="M28" s="33"/>
      <c r="N28" s="35">
        <v>1000</v>
      </c>
      <c r="O28" s="35"/>
      <c r="P28" s="33"/>
      <c r="Q28" s="32">
        <v>10</v>
      </c>
      <c r="R28" s="34"/>
      <c r="S28" s="81">
        <v>7</v>
      </c>
      <c r="T28" s="29"/>
      <c r="U28" s="28">
        <v>4</v>
      </c>
      <c r="V28" s="29"/>
      <c r="W28" s="30">
        <f t="shared" si="10"/>
        <v>11</v>
      </c>
      <c r="X28" s="31"/>
      <c r="Y28" s="81"/>
      <c r="Z28" s="29"/>
      <c r="AA28" s="28"/>
      <c r="AB28" s="29"/>
      <c r="AC28" s="30">
        <f t="shared" si="0"/>
        <v>0</v>
      </c>
      <c r="AD28" s="31"/>
      <c r="AE28" s="81">
        <v>7</v>
      </c>
      <c r="AF28" s="29"/>
      <c r="AG28" s="28">
        <v>2</v>
      </c>
      <c r="AH28" s="29"/>
      <c r="AI28" s="30">
        <f t="shared" si="1"/>
        <v>9</v>
      </c>
      <c r="AJ28" s="31"/>
      <c r="AK28" s="81">
        <v>3</v>
      </c>
      <c r="AL28" s="29"/>
      <c r="AM28" s="28">
        <v>3</v>
      </c>
      <c r="AN28" s="29"/>
      <c r="AO28" s="30">
        <f t="shared" si="11"/>
        <v>6</v>
      </c>
      <c r="AP28" s="31"/>
      <c r="AQ28" s="81">
        <v>3</v>
      </c>
      <c r="AR28" s="29"/>
      <c r="AS28" s="28">
        <v>2</v>
      </c>
      <c r="AT28" s="29"/>
      <c r="AU28" s="30">
        <f t="shared" si="2"/>
        <v>5</v>
      </c>
      <c r="AV28" s="31"/>
      <c r="AW28" s="81"/>
      <c r="AX28" s="29"/>
      <c r="AY28" s="28">
        <v>4</v>
      </c>
      <c r="AZ28" s="29"/>
      <c r="BA28" s="30">
        <f t="shared" si="3"/>
        <v>4</v>
      </c>
      <c r="BB28" s="31"/>
      <c r="BC28" s="81">
        <v>2</v>
      </c>
      <c r="BD28" s="29"/>
      <c r="BE28" s="28">
        <v>1</v>
      </c>
      <c r="BF28" s="29"/>
      <c r="BG28" s="30">
        <f t="shared" si="4"/>
        <v>3</v>
      </c>
      <c r="BH28" s="31"/>
      <c r="BI28" s="81"/>
      <c r="BJ28" s="29"/>
      <c r="BK28" s="28">
        <v>2</v>
      </c>
      <c r="BL28" s="29"/>
      <c r="BM28" s="30">
        <f t="shared" si="5"/>
        <v>2</v>
      </c>
      <c r="BN28" s="31"/>
      <c r="BO28" s="81">
        <v>2</v>
      </c>
      <c r="BP28" s="29"/>
      <c r="BQ28" s="28">
        <v>1</v>
      </c>
      <c r="BR28" s="29"/>
      <c r="BS28" s="30">
        <f t="shared" si="6"/>
        <v>3</v>
      </c>
      <c r="BT28" s="31"/>
      <c r="BU28" s="28">
        <f t="shared" si="7"/>
        <v>24</v>
      </c>
      <c r="BV28" s="29"/>
      <c r="BW28" s="28">
        <f t="shared" si="8"/>
        <v>19</v>
      </c>
      <c r="BX28" s="29"/>
      <c r="BY28" s="30">
        <f t="shared" si="9"/>
        <v>43</v>
      </c>
      <c r="BZ28" s="31"/>
    </row>
    <row r="29" spans="3:78" ht="75" customHeight="1" x14ac:dyDescent="0.25">
      <c r="C29" s="5">
        <v>20</v>
      </c>
      <c r="D29" s="32" t="s">
        <v>56</v>
      </c>
      <c r="E29" s="35"/>
      <c r="F29" s="115" t="s">
        <v>89</v>
      </c>
      <c r="G29" s="33"/>
      <c r="H29" s="32" t="s">
        <v>90</v>
      </c>
      <c r="I29" s="33"/>
      <c r="J29" s="32" t="s">
        <v>90</v>
      </c>
      <c r="K29" s="33"/>
      <c r="L29" s="32"/>
      <c r="M29" s="33"/>
      <c r="N29" s="32">
        <v>400</v>
      </c>
      <c r="O29" s="35"/>
      <c r="P29" s="33"/>
      <c r="Q29" s="32">
        <v>5</v>
      </c>
      <c r="R29" s="34"/>
      <c r="S29" s="81">
        <v>2</v>
      </c>
      <c r="T29" s="29"/>
      <c r="U29" s="28">
        <v>1</v>
      </c>
      <c r="V29" s="29"/>
      <c r="W29" s="30">
        <f t="shared" si="10"/>
        <v>3</v>
      </c>
      <c r="X29" s="31"/>
      <c r="Y29" s="28">
        <v>2</v>
      </c>
      <c r="Z29" s="29"/>
      <c r="AA29" s="28">
        <v>3</v>
      </c>
      <c r="AB29" s="29"/>
      <c r="AC29" s="30">
        <f t="shared" si="0"/>
        <v>5</v>
      </c>
      <c r="AD29" s="31"/>
      <c r="AE29" s="28">
        <v>2</v>
      </c>
      <c r="AF29" s="29"/>
      <c r="AG29" s="28">
        <v>1</v>
      </c>
      <c r="AH29" s="29"/>
      <c r="AI29" s="30">
        <f t="shared" si="1"/>
        <v>3</v>
      </c>
      <c r="AJ29" s="31"/>
      <c r="AK29" s="28"/>
      <c r="AL29" s="29"/>
      <c r="AM29" s="28"/>
      <c r="AN29" s="29"/>
      <c r="AO29" s="30">
        <f t="shared" si="11"/>
        <v>0</v>
      </c>
      <c r="AP29" s="31"/>
      <c r="AQ29" s="28">
        <v>1</v>
      </c>
      <c r="AR29" s="29"/>
      <c r="AS29" s="28">
        <v>1</v>
      </c>
      <c r="AT29" s="29"/>
      <c r="AU29" s="30">
        <f t="shared" si="2"/>
        <v>2</v>
      </c>
      <c r="AV29" s="31"/>
      <c r="AW29" s="28"/>
      <c r="AX29" s="29"/>
      <c r="AY29" s="28">
        <v>5</v>
      </c>
      <c r="AZ29" s="29"/>
      <c r="BA29" s="30">
        <f t="shared" si="3"/>
        <v>5</v>
      </c>
      <c r="BB29" s="31"/>
      <c r="BC29" s="28">
        <v>1</v>
      </c>
      <c r="BD29" s="29"/>
      <c r="BE29" s="28">
        <v>2</v>
      </c>
      <c r="BF29" s="29"/>
      <c r="BG29" s="30">
        <f t="shared" si="4"/>
        <v>3</v>
      </c>
      <c r="BH29" s="31"/>
      <c r="BI29" s="28">
        <v>1</v>
      </c>
      <c r="BJ29" s="29"/>
      <c r="BK29" s="28"/>
      <c r="BL29" s="29"/>
      <c r="BM29" s="30">
        <f t="shared" si="5"/>
        <v>1</v>
      </c>
      <c r="BN29" s="31"/>
      <c r="BO29" s="28"/>
      <c r="BP29" s="29"/>
      <c r="BQ29" s="28"/>
      <c r="BR29" s="29"/>
      <c r="BS29" s="30">
        <f t="shared" si="6"/>
        <v>0</v>
      </c>
      <c r="BT29" s="31"/>
      <c r="BU29" s="28">
        <f t="shared" si="7"/>
        <v>9</v>
      </c>
      <c r="BV29" s="29"/>
      <c r="BW29" s="28">
        <f t="shared" si="8"/>
        <v>13</v>
      </c>
      <c r="BX29" s="29"/>
      <c r="BY29" s="30">
        <f t="shared" si="9"/>
        <v>22</v>
      </c>
      <c r="BZ29" s="31"/>
    </row>
    <row r="30" spans="3:78" ht="75" customHeight="1" x14ac:dyDescent="0.25">
      <c r="C30" s="5">
        <v>21</v>
      </c>
      <c r="D30" s="32" t="s">
        <v>56</v>
      </c>
      <c r="E30" s="35"/>
      <c r="F30" s="115" t="s">
        <v>89</v>
      </c>
      <c r="G30" s="33"/>
      <c r="H30" s="32" t="s">
        <v>91</v>
      </c>
      <c r="I30" s="33"/>
      <c r="J30" s="32" t="s">
        <v>91</v>
      </c>
      <c r="K30" s="33"/>
      <c r="L30" s="32"/>
      <c r="M30" s="33"/>
      <c r="N30" s="32">
        <v>1500</v>
      </c>
      <c r="O30" s="35"/>
      <c r="P30" s="33"/>
      <c r="Q30" s="32">
        <v>15</v>
      </c>
      <c r="R30" s="34"/>
      <c r="S30" s="81">
        <v>1</v>
      </c>
      <c r="T30" s="29"/>
      <c r="U30" s="28"/>
      <c r="V30" s="29"/>
      <c r="W30" s="30">
        <f t="shared" si="10"/>
        <v>1</v>
      </c>
      <c r="X30" s="31"/>
      <c r="Y30" s="28"/>
      <c r="Z30" s="29"/>
      <c r="AA30" s="28">
        <v>1</v>
      </c>
      <c r="AB30" s="29"/>
      <c r="AC30" s="30">
        <f t="shared" si="0"/>
        <v>1</v>
      </c>
      <c r="AD30" s="31"/>
      <c r="AE30" s="28"/>
      <c r="AF30" s="29"/>
      <c r="AG30" s="28"/>
      <c r="AH30" s="29"/>
      <c r="AI30" s="30">
        <f t="shared" si="1"/>
        <v>0</v>
      </c>
      <c r="AJ30" s="31"/>
      <c r="AK30" s="28"/>
      <c r="AL30" s="29"/>
      <c r="AM30" s="28"/>
      <c r="AN30" s="29"/>
      <c r="AO30" s="30">
        <f t="shared" si="11"/>
        <v>0</v>
      </c>
      <c r="AP30" s="31"/>
      <c r="AQ30" s="28"/>
      <c r="AR30" s="29"/>
      <c r="AS30" s="28"/>
      <c r="AT30" s="29"/>
      <c r="AU30" s="30">
        <f t="shared" si="2"/>
        <v>0</v>
      </c>
      <c r="AV30" s="31"/>
      <c r="AW30" s="28"/>
      <c r="AX30" s="29"/>
      <c r="AY30" s="28">
        <v>1</v>
      </c>
      <c r="AZ30" s="29"/>
      <c r="BA30" s="30">
        <f t="shared" si="3"/>
        <v>1</v>
      </c>
      <c r="BB30" s="31"/>
      <c r="BC30" s="28"/>
      <c r="BD30" s="29"/>
      <c r="BE30" s="28"/>
      <c r="BF30" s="29"/>
      <c r="BG30" s="30">
        <f t="shared" si="4"/>
        <v>0</v>
      </c>
      <c r="BH30" s="31"/>
      <c r="BI30" s="28"/>
      <c r="BJ30" s="29"/>
      <c r="BK30" s="28"/>
      <c r="BL30" s="29"/>
      <c r="BM30" s="30">
        <f t="shared" si="5"/>
        <v>0</v>
      </c>
      <c r="BN30" s="31"/>
      <c r="BO30" s="28">
        <v>1</v>
      </c>
      <c r="BP30" s="29"/>
      <c r="BQ30" s="28"/>
      <c r="BR30" s="29"/>
      <c r="BS30" s="30">
        <f t="shared" si="6"/>
        <v>1</v>
      </c>
      <c r="BT30" s="31"/>
      <c r="BU30" s="28">
        <f t="shared" si="7"/>
        <v>2</v>
      </c>
      <c r="BV30" s="29"/>
      <c r="BW30" s="28">
        <f t="shared" si="8"/>
        <v>2</v>
      </c>
      <c r="BX30" s="29"/>
      <c r="BY30" s="30">
        <f t="shared" si="9"/>
        <v>4</v>
      </c>
      <c r="BZ30" s="31"/>
    </row>
    <row r="31" spans="3:78" ht="75" customHeight="1" x14ac:dyDescent="0.25">
      <c r="C31" s="5">
        <v>22</v>
      </c>
      <c r="D31" s="32" t="s">
        <v>56</v>
      </c>
      <c r="E31" s="35"/>
      <c r="F31" s="115" t="s">
        <v>92</v>
      </c>
      <c r="G31" s="33"/>
      <c r="H31" s="32" t="s">
        <v>92</v>
      </c>
      <c r="I31" s="33"/>
      <c r="J31" s="32" t="s">
        <v>92</v>
      </c>
      <c r="K31" s="33"/>
      <c r="L31" s="32"/>
      <c r="M31" s="33"/>
      <c r="N31" s="32">
        <v>800</v>
      </c>
      <c r="O31" s="35"/>
      <c r="P31" s="33"/>
      <c r="Q31" s="32">
        <v>8</v>
      </c>
      <c r="R31" s="34"/>
      <c r="S31" s="81">
        <v>1</v>
      </c>
      <c r="T31" s="29"/>
      <c r="U31" s="28">
        <v>6</v>
      </c>
      <c r="V31" s="29"/>
      <c r="W31" s="30">
        <f t="shared" si="10"/>
        <v>7</v>
      </c>
      <c r="X31" s="31"/>
      <c r="Y31" s="28">
        <v>3</v>
      </c>
      <c r="Z31" s="29"/>
      <c r="AA31" s="28">
        <v>2</v>
      </c>
      <c r="AB31" s="29"/>
      <c r="AC31" s="30">
        <f t="shared" si="0"/>
        <v>5</v>
      </c>
      <c r="AD31" s="31"/>
      <c r="AE31" s="28">
        <v>5</v>
      </c>
      <c r="AF31" s="29"/>
      <c r="AG31" s="28">
        <v>1</v>
      </c>
      <c r="AH31" s="29"/>
      <c r="AI31" s="30">
        <f t="shared" si="1"/>
        <v>6</v>
      </c>
      <c r="AJ31" s="31"/>
      <c r="AK31" s="28">
        <v>2</v>
      </c>
      <c r="AL31" s="29"/>
      <c r="AM31" s="28"/>
      <c r="AN31" s="29"/>
      <c r="AO31" s="30">
        <f t="shared" si="11"/>
        <v>2</v>
      </c>
      <c r="AP31" s="31"/>
      <c r="AQ31" s="28">
        <v>2</v>
      </c>
      <c r="AR31" s="29"/>
      <c r="AS31" s="28">
        <v>1</v>
      </c>
      <c r="AT31" s="29"/>
      <c r="AU31" s="30">
        <f t="shared" si="2"/>
        <v>3</v>
      </c>
      <c r="AV31" s="31"/>
      <c r="AW31" s="28"/>
      <c r="AX31" s="29"/>
      <c r="AY31" s="28"/>
      <c r="AZ31" s="29"/>
      <c r="BA31" s="30">
        <f t="shared" si="3"/>
        <v>0</v>
      </c>
      <c r="BB31" s="31"/>
      <c r="BC31" s="28">
        <v>2</v>
      </c>
      <c r="BD31" s="29"/>
      <c r="BE31" s="28">
        <v>1</v>
      </c>
      <c r="BF31" s="29"/>
      <c r="BG31" s="30">
        <f t="shared" si="4"/>
        <v>3</v>
      </c>
      <c r="BH31" s="31"/>
      <c r="BI31" s="28"/>
      <c r="BJ31" s="29"/>
      <c r="BK31" s="28"/>
      <c r="BL31" s="29"/>
      <c r="BM31" s="30">
        <f t="shared" si="5"/>
        <v>0</v>
      </c>
      <c r="BN31" s="31"/>
      <c r="BO31" s="28"/>
      <c r="BP31" s="29"/>
      <c r="BQ31" s="28"/>
      <c r="BR31" s="29"/>
      <c r="BS31" s="30">
        <f t="shared" si="6"/>
        <v>0</v>
      </c>
      <c r="BT31" s="31"/>
      <c r="BU31" s="28">
        <f t="shared" si="7"/>
        <v>15</v>
      </c>
      <c r="BV31" s="29"/>
      <c r="BW31" s="28">
        <f t="shared" si="8"/>
        <v>11</v>
      </c>
      <c r="BX31" s="29"/>
      <c r="BY31" s="30">
        <f t="shared" si="9"/>
        <v>26</v>
      </c>
      <c r="BZ31" s="31"/>
    </row>
    <row r="32" spans="3:78" ht="75" customHeight="1" thickBot="1" x14ac:dyDescent="0.3">
      <c r="C32" s="9">
        <v>23</v>
      </c>
      <c r="D32" s="83" t="s">
        <v>56</v>
      </c>
      <c r="E32" s="84"/>
      <c r="F32" s="108" t="s">
        <v>92</v>
      </c>
      <c r="G32" s="86"/>
      <c r="H32" s="83" t="s">
        <v>93</v>
      </c>
      <c r="I32" s="86"/>
      <c r="J32" s="83" t="s">
        <v>93</v>
      </c>
      <c r="K32" s="86"/>
      <c r="L32" s="83"/>
      <c r="M32" s="86"/>
      <c r="N32" s="83">
        <v>1500</v>
      </c>
      <c r="O32" s="84"/>
      <c r="P32" s="86"/>
      <c r="Q32" s="83">
        <v>20</v>
      </c>
      <c r="R32" s="85"/>
      <c r="S32" s="87"/>
      <c r="T32" s="88"/>
      <c r="U32" s="89"/>
      <c r="V32" s="88"/>
      <c r="W32" s="90">
        <f t="shared" si="10"/>
        <v>0</v>
      </c>
      <c r="X32" s="91"/>
      <c r="Y32" s="89"/>
      <c r="Z32" s="88"/>
      <c r="AA32" s="89">
        <v>1</v>
      </c>
      <c r="AB32" s="88"/>
      <c r="AC32" s="90">
        <f t="shared" si="0"/>
        <v>1</v>
      </c>
      <c r="AD32" s="91"/>
      <c r="AE32" s="90"/>
      <c r="AF32" s="91"/>
      <c r="AG32" s="90"/>
      <c r="AH32" s="91"/>
      <c r="AI32" s="90">
        <f t="shared" si="1"/>
        <v>0</v>
      </c>
      <c r="AJ32" s="91"/>
      <c r="AK32" s="90">
        <v>1</v>
      </c>
      <c r="AL32" s="91"/>
      <c r="AM32" s="90"/>
      <c r="AN32" s="91"/>
      <c r="AO32" s="90">
        <f t="shared" si="11"/>
        <v>1</v>
      </c>
      <c r="AP32" s="91"/>
      <c r="AQ32" s="90"/>
      <c r="AR32" s="91"/>
      <c r="AS32" s="90"/>
      <c r="AT32" s="91"/>
      <c r="AU32" s="90">
        <f t="shared" si="2"/>
        <v>0</v>
      </c>
      <c r="AV32" s="91"/>
      <c r="AW32" s="90"/>
      <c r="AX32" s="91"/>
      <c r="AY32" s="90"/>
      <c r="AZ32" s="91"/>
      <c r="BA32" s="90">
        <f t="shared" si="3"/>
        <v>0</v>
      </c>
      <c r="BB32" s="91"/>
      <c r="BC32" s="90"/>
      <c r="BD32" s="91"/>
      <c r="BE32" s="90"/>
      <c r="BF32" s="91"/>
      <c r="BG32" s="90">
        <f t="shared" si="4"/>
        <v>0</v>
      </c>
      <c r="BH32" s="91"/>
      <c r="BI32" s="90">
        <v>1</v>
      </c>
      <c r="BJ32" s="91"/>
      <c r="BK32" s="90"/>
      <c r="BL32" s="91"/>
      <c r="BM32" s="90">
        <f t="shared" si="5"/>
        <v>1</v>
      </c>
      <c r="BN32" s="91"/>
      <c r="BO32" s="90"/>
      <c r="BP32" s="91"/>
      <c r="BQ32" s="90"/>
      <c r="BR32" s="91"/>
      <c r="BS32" s="90">
        <f t="shared" si="6"/>
        <v>0</v>
      </c>
      <c r="BT32" s="91"/>
      <c r="BU32" s="89">
        <f t="shared" si="7"/>
        <v>2</v>
      </c>
      <c r="BV32" s="88"/>
      <c r="BW32" s="89">
        <f t="shared" si="8"/>
        <v>1</v>
      </c>
      <c r="BX32" s="88"/>
      <c r="BY32" s="90">
        <f t="shared" si="9"/>
        <v>3</v>
      </c>
      <c r="BZ32" s="91"/>
    </row>
    <row r="33" spans="3:78" s="15" customFormat="1" ht="75" customHeight="1" thickBot="1" x14ac:dyDescent="0.3">
      <c r="C33" s="105" t="s">
        <v>98</v>
      </c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7"/>
      <c r="S33" s="102">
        <f>SUM(S26:T32)</f>
        <v>19</v>
      </c>
      <c r="T33" s="18"/>
      <c r="U33" s="102">
        <f t="shared" ref="U33" si="39">SUM(U26:V32)</f>
        <v>15</v>
      </c>
      <c r="V33" s="18"/>
      <c r="W33" s="102">
        <f t="shared" ref="W33" si="40">SUM(W26:X32)</f>
        <v>34</v>
      </c>
      <c r="X33" s="18"/>
      <c r="Y33" s="102">
        <f t="shared" ref="Y33" si="41">SUM(Y26:Z32)</f>
        <v>8</v>
      </c>
      <c r="Z33" s="18"/>
      <c r="AA33" s="102">
        <f t="shared" ref="AA33" si="42">SUM(AA26:AB32)</f>
        <v>9</v>
      </c>
      <c r="AB33" s="18"/>
      <c r="AC33" s="102">
        <f t="shared" ref="AC33" si="43">SUM(AC26:AD32)</f>
        <v>17</v>
      </c>
      <c r="AD33" s="18"/>
      <c r="AE33" s="102">
        <f t="shared" ref="AE33" si="44">SUM(AE26:AF32)</f>
        <v>23</v>
      </c>
      <c r="AF33" s="18"/>
      <c r="AG33" s="102">
        <f t="shared" ref="AG33" si="45">SUM(AG26:AH32)</f>
        <v>11</v>
      </c>
      <c r="AH33" s="18"/>
      <c r="AI33" s="102">
        <f t="shared" ref="AI33" si="46">SUM(AI26:AJ32)</f>
        <v>34</v>
      </c>
      <c r="AJ33" s="18"/>
      <c r="AK33" s="102">
        <f t="shared" ref="AK33" si="47">SUM(AK26:AL32)</f>
        <v>8</v>
      </c>
      <c r="AL33" s="18"/>
      <c r="AM33" s="102">
        <f t="shared" ref="AM33" si="48">SUM(AM26:AN32)</f>
        <v>4</v>
      </c>
      <c r="AN33" s="18"/>
      <c r="AO33" s="102">
        <f t="shared" ref="AO33" si="49">SUM(AO26:AP32)</f>
        <v>12</v>
      </c>
      <c r="AP33" s="18"/>
      <c r="AQ33" s="102">
        <f t="shared" ref="AQ33" si="50">SUM(AQ26:AR32)</f>
        <v>8</v>
      </c>
      <c r="AR33" s="18"/>
      <c r="AS33" s="102">
        <f t="shared" ref="AS33" si="51">SUM(AS26:AT32)</f>
        <v>10</v>
      </c>
      <c r="AT33" s="18"/>
      <c r="AU33" s="102">
        <f t="shared" ref="AU33" si="52">SUM(AU26:AV32)</f>
        <v>18</v>
      </c>
      <c r="AV33" s="18"/>
      <c r="AW33" s="102">
        <f t="shared" ref="AW33" si="53">SUM(AW26:AX32)</f>
        <v>1</v>
      </c>
      <c r="AX33" s="18"/>
      <c r="AY33" s="102">
        <f t="shared" ref="AY33" si="54">SUM(AY26:AZ32)</f>
        <v>12</v>
      </c>
      <c r="AZ33" s="18"/>
      <c r="BA33" s="102">
        <f t="shared" ref="BA33" si="55">SUM(BA26:BB32)</f>
        <v>13</v>
      </c>
      <c r="BB33" s="18"/>
      <c r="BC33" s="102">
        <f t="shared" ref="BC33" si="56">SUM(BC26:BD32)</f>
        <v>6</v>
      </c>
      <c r="BD33" s="18"/>
      <c r="BE33" s="102">
        <f t="shared" ref="BE33" si="57">SUM(BE26:BF32)</f>
        <v>8</v>
      </c>
      <c r="BF33" s="18"/>
      <c r="BG33" s="102">
        <f t="shared" ref="BG33" si="58">SUM(BG26:BH32)</f>
        <v>14</v>
      </c>
      <c r="BH33" s="18"/>
      <c r="BI33" s="102">
        <f t="shared" ref="BI33" si="59">SUM(BI26:BJ32)</f>
        <v>2</v>
      </c>
      <c r="BJ33" s="18"/>
      <c r="BK33" s="102">
        <f t="shared" ref="BK33" si="60">SUM(BK26:BL32)</f>
        <v>7</v>
      </c>
      <c r="BL33" s="18"/>
      <c r="BM33" s="102">
        <f t="shared" ref="BM33" si="61">SUM(BM26:BN32)</f>
        <v>9</v>
      </c>
      <c r="BN33" s="18"/>
      <c r="BO33" s="102">
        <f t="shared" ref="BO33" si="62">SUM(BO26:BP32)</f>
        <v>5</v>
      </c>
      <c r="BP33" s="18"/>
      <c r="BQ33" s="102">
        <f t="shared" ref="BQ33" si="63">SUM(BQ26:BR32)</f>
        <v>6</v>
      </c>
      <c r="BR33" s="18"/>
      <c r="BS33" s="102">
        <f t="shared" ref="BS33" si="64">SUM(BS26:BT32)</f>
        <v>11</v>
      </c>
      <c r="BT33" s="18"/>
      <c r="BU33" s="102">
        <f>SUM(BU26:BV32)</f>
        <v>80</v>
      </c>
      <c r="BV33" s="18"/>
      <c r="BW33" s="102">
        <f t="shared" ref="BW33" si="65">SUM(BW26:BX32)</f>
        <v>82</v>
      </c>
      <c r="BX33" s="18"/>
      <c r="BY33" s="102">
        <f t="shared" ref="BY33" si="66">SUM(BY26:BZ32)</f>
        <v>162</v>
      </c>
      <c r="BZ33" s="18"/>
    </row>
    <row r="34" spans="3:78" s="15" customFormat="1" ht="75" customHeight="1" thickBot="1" x14ac:dyDescent="0.3">
      <c r="C34" s="112" t="s">
        <v>96</v>
      </c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4"/>
      <c r="S34" s="16">
        <f>S33+S25</f>
        <v>42</v>
      </c>
      <c r="T34" s="18"/>
      <c r="U34" s="102">
        <f>U33+U25</f>
        <v>32</v>
      </c>
      <c r="V34" s="18"/>
      <c r="W34" s="109">
        <f>S34+U34</f>
        <v>74</v>
      </c>
      <c r="X34" s="110"/>
      <c r="Y34" s="16">
        <f t="shared" ref="Y34" si="67">Y33+Y25</f>
        <v>23</v>
      </c>
      <c r="Z34" s="18"/>
      <c r="AA34" s="102">
        <f t="shared" ref="AA34" si="68">AA33+AA25</f>
        <v>23</v>
      </c>
      <c r="AB34" s="18"/>
      <c r="AC34" s="109">
        <f t="shared" ref="AC34" si="69">Y34+AA34</f>
        <v>46</v>
      </c>
      <c r="AD34" s="110"/>
      <c r="AE34" s="16">
        <f t="shared" ref="AE34" si="70">AE33+AE25</f>
        <v>42</v>
      </c>
      <c r="AF34" s="18"/>
      <c r="AG34" s="102">
        <f t="shared" ref="AG34" si="71">AG33+AG25</f>
        <v>28</v>
      </c>
      <c r="AH34" s="18"/>
      <c r="AI34" s="109">
        <f t="shared" ref="AI34" si="72">AE34+AG34</f>
        <v>70</v>
      </c>
      <c r="AJ34" s="110"/>
      <c r="AK34" s="16">
        <f t="shared" ref="AK34" si="73">AK33+AK25</f>
        <v>21</v>
      </c>
      <c r="AL34" s="18"/>
      <c r="AM34" s="102">
        <f t="shared" ref="AM34" si="74">AM33+AM25</f>
        <v>25</v>
      </c>
      <c r="AN34" s="18"/>
      <c r="AO34" s="109">
        <f t="shared" ref="AO34" si="75">AK34+AM34</f>
        <v>46</v>
      </c>
      <c r="AP34" s="110"/>
      <c r="AQ34" s="16">
        <f t="shared" ref="AQ34" si="76">AQ33+AQ25</f>
        <v>25</v>
      </c>
      <c r="AR34" s="18"/>
      <c r="AS34" s="102">
        <f>AS33+AS25</f>
        <v>30</v>
      </c>
      <c r="AT34" s="18"/>
      <c r="AU34" s="109">
        <f>AQ34+AS34</f>
        <v>55</v>
      </c>
      <c r="AV34" s="110"/>
      <c r="AW34" s="16">
        <f t="shared" ref="AW34" si="77">AW33+AW25</f>
        <v>23</v>
      </c>
      <c r="AX34" s="18"/>
      <c r="AY34" s="102">
        <f t="shared" ref="AY34" si="78">AY33+AY25</f>
        <v>24</v>
      </c>
      <c r="AZ34" s="18"/>
      <c r="BA34" s="109">
        <f t="shared" ref="BA34" si="79">AW34+AY34</f>
        <v>47</v>
      </c>
      <c r="BB34" s="110"/>
      <c r="BC34" s="16">
        <f t="shared" ref="BC34" si="80">BC33+BC25</f>
        <v>20</v>
      </c>
      <c r="BD34" s="18"/>
      <c r="BE34" s="102">
        <f t="shared" ref="BE34" si="81">BE33+BE25</f>
        <v>19</v>
      </c>
      <c r="BF34" s="18"/>
      <c r="BG34" s="109">
        <f t="shared" ref="BG34" si="82">BC34+BE34</f>
        <v>39</v>
      </c>
      <c r="BH34" s="110"/>
      <c r="BI34" s="16">
        <f t="shared" ref="BI34" si="83">BI33+BI25</f>
        <v>18</v>
      </c>
      <c r="BJ34" s="18"/>
      <c r="BK34" s="102">
        <f t="shared" ref="BK34" si="84">BK33+BK25</f>
        <v>16</v>
      </c>
      <c r="BL34" s="18"/>
      <c r="BM34" s="109">
        <f t="shared" ref="BM34" si="85">BI34+BK34</f>
        <v>34</v>
      </c>
      <c r="BN34" s="110"/>
      <c r="BO34" s="16">
        <f t="shared" ref="BO34" si="86">BO33+BO25</f>
        <v>25</v>
      </c>
      <c r="BP34" s="18"/>
      <c r="BQ34" s="102">
        <f t="shared" ref="BQ34" si="87">BQ33+BQ25</f>
        <v>19</v>
      </c>
      <c r="BR34" s="18"/>
      <c r="BS34" s="109">
        <f t="shared" ref="BS34" si="88">BO34+BQ34</f>
        <v>44</v>
      </c>
      <c r="BT34" s="110"/>
      <c r="BU34" s="16">
        <f t="shared" ref="BU34" si="89">BU33+BU25</f>
        <v>239</v>
      </c>
      <c r="BV34" s="18"/>
      <c r="BW34" s="102">
        <f t="shared" ref="BW34" si="90">BW33+BW25</f>
        <v>216</v>
      </c>
      <c r="BX34" s="18"/>
      <c r="BY34" s="109">
        <f t="shared" ref="BY34" si="91">BU34+BW34</f>
        <v>455</v>
      </c>
      <c r="BZ34" s="110"/>
    </row>
    <row r="35" spans="3:78" ht="31.2" customHeight="1" x14ac:dyDescent="0.25">
      <c r="BB35" s="111" t="s">
        <v>25</v>
      </c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  <c r="BO35" s="111"/>
      <c r="BP35" s="111"/>
      <c r="BQ35" s="111"/>
      <c r="BR35" s="111"/>
      <c r="BS35" s="111"/>
      <c r="BT35" s="111"/>
      <c r="BU35" s="111"/>
      <c r="BV35" s="111"/>
      <c r="BW35" s="111"/>
      <c r="BX35" s="111"/>
      <c r="BY35" s="111"/>
      <c r="BZ35" s="111"/>
    </row>
    <row r="36" spans="3:78" ht="13.2" customHeight="1" x14ac:dyDescent="0.25"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1"/>
      <c r="BM36" s="111"/>
      <c r="BN36" s="111"/>
      <c r="BO36" s="111"/>
      <c r="BP36" s="111"/>
      <c r="BQ36" s="111"/>
      <c r="BR36" s="111"/>
      <c r="BS36" s="111"/>
      <c r="BT36" s="111"/>
      <c r="BU36" s="111"/>
      <c r="BV36" s="111"/>
      <c r="BW36" s="111"/>
      <c r="BX36" s="111"/>
      <c r="BY36" s="111"/>
      <c r="BZ36" s="111"/>
    </row>
    <row r="37" spans="3:78" ht="17.399999999999999" customHeight="1" x14ac:dyDescent="0.25"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1"/>
      <c r="BM37" s="111"/>
      <c r="BN37" s="111"/>
      <c r="BO37" s="111"/>
      <c r="BP37" s="111"/>
      <c r="BQ37" s="111"/>
      <c r="BR37" s="111"/>
      <c r="BS37" s="111"/>
      <c r="BT37" s="111"/>
      <c r="BU37" s="111"/>
      <c r="BV37" s="111"/>
      <c r="BW37" s="111"/>
      <c r="BX37" s="111"/>
      <c r="BY37" s="111"/>
      <c r="BZ37" s="111"/>
    </row>
    <row r="38" spans="3:78" ht="17.399999999999999" customHeight="1" x14ac:dyDescent="0.25"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111"/>
      <c r="BN38" s="111"/>
      <c r="BO38" s="111"/>
      <c r="BP38" s="111"/>
      <c r="BQ38" s="111"/>
      <c r="BR38" s="111"/>
      <c r="BS38" s="111"/>
      <c r="BT38" s="111"/>
      <c r="BU38" s="111"/>
      <c r="BV38" s="111"/>
      <c r="BW38" s="111"/>
      <c r="BX38" s="111"/>
      <c r="BY38" s="111"/>
      <c r="BZ38" s="111"/>
    </row>
    <row r="39" spans="3:78" x14ac:dyDescent="0.25">
      <c r="BB39" s="111"/>
      <c r="BC39" s="111"/>
      <c r="BD39" s="111"/>
      <c r="BE39" s="111"/>
      <c r="BF39" s="111"/>
      <c r="BG39" s="111"/>
      <c r="BH39" s="111"/>
      <c r="BI39" s="111"/>
      <c r="BJ39" s="111"/>
      <c r="BK39" s="111"/>
      <c r="BL39" s="111"/>
      <c r="BM39" s="111"/>
      <c r="BN39" s="111"/>
      <c r="BO39" s="111"/>
      <c r="BP39" s="111"/>
      <c r="BQ39" s="111"/>
      <c r="BR39" s="111"/>
      <c r="BS39" s="111"/>
      <c r="BT39" s="111"/>
      <c r="BU39" s="111"/>
      <c r="BV39" s="111"/>
      <c r="BW39" s="111"/>
      <c r="BX39" s="111"/>
      <c r="BY39" s="111"/>
      <c r="BZ39" s="111"/>
    </row>
    <row r="40" spans="3:78" x14ac:dyDescent="0.25">
      <c r="BB40" s="111"/>
      <c r="BC40" s="111"/>
      <c r="BD40" s="111"/>
      <c r="BE40" s="111"/>
      <c r="BF40" s="111"/>
      <c r="BG40" s="111"/>
      <c r="BH40" s="111"/>
      <c r="BI40" s="111"/>
      <c r="BJ40" s="111"/>
      <c r="BK40" s="111"/>
      <c r="BL40" s="111"/>
      <c r="BM40" s="111"/>
      <c r="BN40" s="111"/>
      <c r="BO40" s="111"/>
      <c r="BP40" s="111"/>
      <c r="BQ40" s="111"/>
      <c r="BR40" s="111"/>
      <c r="BS40" s="111"/>
      <c r="BT40" s="111"/>
      <c r="BU40" s="111"/>
      <c r="BV40" s="111"/>
      <c r="BW40" s="111"/>
      <c r="BX40" s="111"/>
      <c r="BY40" s="111"/>
      <c r="BZ40" s="111"/>
    </row>
  </sheetData>
  <mergeCells count="992">
    <mergeCell ref="C1:BZ3"/>
    <mergeCell ref="D5:K5"/>
    <mergeCell ref="L5:R5"/>
    <mergeCell ref="T5:AD5"/>
    <mergeCell ref="AE5:BB5"/>
    <mergeCell ref="BD5:BL5"/>
    <mergeCell ref="BM5:BZ5"/>
    <mergeCell ref="S8:T8"/>
    <mergeCell ref="U8:V8"/>
    <mergeCell ref="W8:X8"/>
    <mergeCell ref="Y8:Z8"/>
    <mergeCell ref="AA8:AB8"/>
    <mergeCell ref="AC8:AD8"/>
    <mergeCell ref="C6:BZ6"/>
    <mergeCell ref="C7:C8"/>
    <mergeCell ref="D7:E8"/>
    <mergeCell ref="F7:G8"/>
    <mergeCell ref="H7:I8"/>
    <mergeCell ref="J7:K8"/>
    <mergeCell ref="L7:M8"/>
    <mergeCell ref="N7:P8"/>
    <mergeCell ref="Q7:R8"/>
    <mergeCell ref="S7:BZ7"/>
    <mergeCell ref="AQ8:AR8"/>
    <mergeCell ref="AS8:AT8"/>
    <mergeCell ref="AU8:AV8"/>
    <mergeCell ref="AW8:AX8"/>
    <mergeCell ref="AY8:AZ8"/>
    <mergeCell ref="BA8:BB8"/>
    <mergeCell ref="AE8:AF8"/>
    <mergeCell ref="AG8:AH8"/>
    <mergeCell ref="AI8:AJ8"/>
    <mergeCell ref="AK8:AL8"/>
    <mergeCell ref="AM8:AN8"/>
    <mergeCell ref="AO8:AP8"/>
    <mergeCell ref="BO8:BP8"/>
    <mergeCell ref="BQ8:BR8"/>
    <mergeCell ref="BS8:BT8"/>
    <mergeCell ref="BU8:BV8"/>
    <mergeCell ref="BW8:BX8"/>
    <mergeCell ref="BY8:BZ8"/>
    <mergeCell ref="BC8:BD8"/>
    <mergeCell ref="BE8:BF8"/>
    <mergeCell ref="BG8:BH8"/>
    <mergeCell ref="BI8:BJ8"/>
    <mergeCell ref="BK8:BL8"/>
    <mergeCell ref="BM8:BN8"/>
    <mergeCell ref="Q9:R9"/>
    <mergeCell ref="S9:T9"/>
    <mergeCell ref="U9:V9"/>
    <mergeCell ref="W9:X9"/>
    <mergeCell ref="Y9:Z9"/>
    <mergeCell ref="AA9:AB9"/>
    <mergeCell ref="D9:E9"/>
    <mergeCell ref="F9:G9"/>
    <mergeCell ref="H9:I9"/>
    <mergeCell ref="J9:K9"/>
    <mergeCell ref="L9:M9"/>
    <mergeCell ref="N9:P9"/>
    <mergeCell ref="AS9:AT9"/>
    <mergeCell ref="AU9:AV9"/>
    <mergeCell ref="AW9:AX9"/>
    <mergeCell ref="AY9:AZ9"/>
    <mergeCell ref="AC9:AD9"/>
    <mergeCell ref="AE9:AF9"/>
    <mergeCell ref="AG9:AH9"/>
    <mergeCell ref="AI9:AJ9"/>
    <mergeCell ref="AK9:AL9"/>
    <mergeCell ref="AM9:AN9"/>
    <mergeCell ref="BY9:BZ9"/>
    <mergeCell ref="D10:E10"/>
    <mergeCell ref="F10:G10"/>
    <mergeCell ref="H10:I10"/>
    <mergeCell ref="J10:K10"/>
    <mergeCell ref="L10:M10"/>
    <mergeCell ref="N10:P10"/>
    <mergeCell ref="Q10:R10"/>
    <mergeCell ref="S10:T10"/>
    <mergeCell ref="U10:V10"/>
    <mergeCell ref="BM9:BN9"/>
    <mergeCell ref="BO9:BP9"/>
    <mergeCell ref="BQ9:BR9"/>
    <mergeCell ref="BS9:BT9"/>
    <mergeCell ref="BU9:BV9"/>
    <mergeCell ref="BW9:BX9"/>
    <mergeCell ref="BA9:BB9"/>
    <mergeCell ref="BC9:BD9"/>
    <mergeCell ref="BE9:BF9"/>
    <mergeCell ref="BG9:BH9"/>
    <mergeCell ref="BI9:BJ9"/>
    <mergeCell ref="BK9:BL9"/>
    <mergeCell ref="AO9:AP9"/>
    <mergeCell ref="AQ9:AR9"/>
    <mergeCell ref="BY10:BZ10"/>
    <mergeCell ref="D11:E11"/>
    <mergeCell ref="F11:G11"/>
    <mergeCell ref="H11:I11"/>
    <mergeCell ref="J11:K11"/>
    <mergeCell ref="L11:M11"/>
    <mergeCell ref="N11:P11"/>
    <mergeCell ref="BG10:BH10"/>
    <mergeCell ref="BI10:BJ10"/>
    <mergeCell ref="BK10:BL10"/>
    <mergeCell ref="BM10:BN10"/>
    <mergeCell ref="BO10:BP10"/>
    <mergeCell ref="BQ10:BR10"/>
    <mergeCell ref="AU10:AV10"/>
    <mergeCell ref="AW10:AX10"/>
    <mergeCell ref="AY10:AZ10"/>
    <mergeCell ref="BA10:BB10"/>
    <mergeCell ref="BC10:BD10"/>
    <mergeCell ref="BE10:BF10"/>
    <mergeCell ref="AI10:AJ10"/>
    <mergeCell ref="AK10:AL10"/>
    <mergeCell ref="AM10:AN10"/>
    <mergeCell ref="AO10:AP10"/>
    <mergeCell ref="AQ10:AR10"/>
    <mergeCell ref="Q11:R11"/>
    <mergeCell ref="S11:T11"/>
    <mergeCell ref="U11:V11"/>
    <mergeCell ref="W11:X11"/>
    <mergeCell ref="Y11:Z11"/>
    <mergeCell ref="AA11:AB11"/>
    <mergeCell ref="BS10:BT10"/>
    <mergeCell ref="BU10:BV10"/>
    <mergeCell ref="BW10:BX10"/>
    <mergeCell ref="AS10:AT10"/>
    <mergeCell ref="W10:X10"/>
    <mergeCell ref="Y10:Z10"/>
    <mergeCell ref="AA10:AB10"/>
    <mergeCell ref="AC10:AD10"/>
    <mergeCell ref="AE10:AF10"/>
    <mergeCell ref="AG10:AH10"/>
    <mergeCell ref="AS11:AT11"/>
    <mergeCell ref="AU11:AV11"/>
    <mergeCell ref="AW11:AX11"/>
    <mergeCell ref="AY11:AZ11"/>
    <mergeCell ref="AC11:AD11"/>
    <mergeCell ref="AE11:AF11"/>
    <mergeCell ref="AG11:AH11"/>
    <mergeCell ref="AI11:AJ11"/>
    <mergeCell ref="AK11:AL11"/>
    <mergeCell ref="AM11:AN11"/>
    <mergeCell ref="BY11:BZ11"/>
    <mergeCell ref="D12:E12"/>
    <mergeCell ref="F12:G12"/>
    <mergeCell ref="H12:I12"/>
    <mergeCell ref="J12:K12"/>
    <mergeCell ref="L12:M12"/>
    <mergeCell ref="N12:P12"/>
    <mergeCell ref="Q12:R12"/>
    <mergeCell ref="S12:T12"/>
    <mergeCell ref="U12:V12"/>
    <mergeCell ref="BM11:BN11"/>
    <mergeCell ref="BO11:BP11"/>
    <mergeCell ref="BQ11:BR11"/>
    <mergeCell ref="BS11:BT11"/>
    <mergeCell ref="BU11:BV11"/>
    <mergeCell ref="BW11:BX11"/>
    <mergeCell ref="BA11:BB11"/>
    <mergeCell ref="BC11:BD11"/>
    <mergeCell ref="BE11:BF11"/>
    <mergeCell ref="BG11:BH11"/>
    <mergeCell ref="BI11:BJ11"/>
    <mergeCell ref="BK11:BL11"/>
    <mergeCell ref="AO11:AP11"/>
    <mergeCell ref="AQ11:AR11"/>
    <mergeCell ref="BY12:BZ12"/>
    <mergeCell ref="D13:E13"/>
    <mergeCell ref="F13:G13"/>
    <mergeCell ref="H13:I13"/>
    <mergeCell ref="J13:K13"/>
    <mergeCell ref="L13:M13"/>
    <mergeCell ref="N13:P13"/>
    <mergeCell ref="BG12:BH12"/>
    <mergeCell ref="BI12:BJ12"/>
    <mergeCell ref="BK12:BL12"/>
    <mergeCell ref="BM12:BN12"/>
    <mergeCell ref="BO12:BP12"/>
    <mergeCell ref="BQ12:BR12"/>
    <mergeCell ref="AU12:AV12"/>
    <mergeCell ref="AW12:AX12"/>
    <mergeCell ref="AY12:AZ12"/>
    <mergeCell ref="BA12:BB12"/>
    <mergeCell ref="BC12:BD12"/>
    <mergeCell ref="BE12:BF12"/>
    <mergeCell ref="AI12:AJ12"/>
    <mergeCell ref="AK12:AL12"/>
    <mergeCell ref="AM12:AN12"/>
    <mergeCell ref="Q13:R13"/>
    <mergeCell ref="S13:T13"/>
    <mergeCell ref="U13:V13"/>
    <mergeCell ref="W13:X13"/>
    <mergeCell ref="Y13:Z13"/>
    <mergeCell ref="AA13:AB13"/>
    <mergeCell ref="BS12:BT12"/>
    <mergeCell ref="AS13:AT13"/>
    <mergeCell ref="AU13:AV13"/>
    <mergeCell ref="AW13:AX13"/>
    <mergeCell ref="AY13:AZ13"/>
    <mergeCell ref="AC13:AD13"/>
    <mergeCell ref="AE13:AF13"/>
    <mergeCell ref="AG13:AH13"/>
    <mergeCell ref="AI13:AJ13"/>
    <mergeCell ref="AK13:AL13"/>
    <mergeCell ref="AM13:AN13"/>
    <mergeCell ref="BU12:BV12"/>
    <mergeCell ref="BW12:BX12"/>
    <mergeCell ref="AS12:AT12"/>
    <mergeCell ref="W12:X12"/>
    <mergeCell ref="Y12:Z12"/>
    <mergeCell ref="AA12:AB12"/>
    <mergeCell ref="AC12:AD12"/>
    <mergeCell ref="AE12:AF12"/>
    <mergeCell ref="AG12:AH12"/>
    <mergeCell ref="AO12:AP12"/>
    <mergeCell ref="AQ12:AR12"/>
    <mergeCell ref="BY13:BZ13"/>
    <mergeCell ref="D14:E14"/>
    <mergeCell ref="F14:G14"/>
    <mergeCell ref="H14:I14"/>
    <mergeCell ref="J14:K14"/>
    <mergeCell ref="L14:M14"/>
    <mergeCell ref="N14:P14"/>
    <mergeCell ref="Q14:R14"/>
    <mergeCell ref="S14:T14"/>
    <mergeCell ref="U14:V14"/>
    <mergeCell ref="BM13:BN13"/>
    <mergeCell ref="BO13:BP13"/>
    <mergeCell ref="BQ13:BR13"/>
    <mergeCell ref="BS13:BT13"/>
    <mergeCell ref="BU13:BV13"/>
    <mergeCell ref="BW13:BX13"/>
    <mergeCell ref="BA13:BB13"/>
    <mergeCell ref="BC13:BD13"/>
    <mergeCell ref="BE13:BF13"/>
    <mergeCell ref="BG13:BH13"/>
    <mergeCell ref="BI13:BJ13"/>
    <mergeCell ref="BK13:BL13"/>
    <mergeCell ref="AO13:AP13"/>
    <mergeCell ref="AQ13:AR13"/>
    <mergeCell ref="BY14:BZ14"/>
    <mergeCell ref="D15:E15"/>
    <mergeCell ref="F15:G15"/>
    <mergeCell ref="H15:I15"/>
    <mergeCell ref="J15:K15"/>
    <mergeCell ref="L15:M15"/>
    <mergeCell ref="N15:P15"/>
    <mergeCell ref="BG14:BH14"/>
    <mergeCell ref="BI14:BJ14"/>
    <mergeCell ref="BK14:BL14"/>
    <mergeCell ref="BM14:BN14"/>
    <mergeCell ref="BO14:BP14"/>
    <mergeCell ref="BQ14:BR14"/>
    <mergeCell ref="AU14:AV14"/>
    <mergeCell ref="AW14:AX14"/>
    <mergeCell ref="AY14:AZ14"/>
    <mergeCell ref="BA14:BB14"/>
    <mergeCell ref="BC14:BD14"/>
    <mergeCell ref="BE14:BF14"/>
    <mergeCell ref="AI14:AJ14"/>
    <mergeCell ref="AK14:AL14"/>
    <mergeCell ref="AM14:AN14"/>
    <mergeCell ref="AO14:AP14"/>
    <mergeCell ref="AQ14:AR14"/>
    <mergeCell ref="Q15:R15"/>
    <mergeCell ref="S15:T15"/>
    <mergeCell ref="U15:V15"/>
    <mergeCell ref="W15:X15"/>
    <mergeCell ref="Y15:Z15"/>
    <mergeCell ref="AA15:AB15"/>
    <mergeCell ref="BS14:BT14"/>
    <mergeCell ref="BU14:BV14"/>
    <mergeCell ref="BW14:BX14"/>
    <mergeCell ref="AS14:AT14"/>
    <mergeCell ref="W14:X14"/>
    <mergeCell ref="Y14:Z14"/>
    <mergeCell ref="AA14:AB14"/>
    <mergeCell ref="AC14:AD14"/>
    <mergeCell ref="AE14:AF14"/>
    <mergeCell ref="AG14:AH14"/>
    <mergeCell ref="AS15:AT15"/>
    <mergeCell ref="AU15:AV15"/>
    <mergeCell ref="AW15:AX15"/>
    <mergeCell ref="AY15:AZ15"/>
    <mergeCell ref="AC15:AD15"/>
    <mergeCell ref="AE15:AF15"/>
    <mergeCell ref="AG15:AH15"/>
    <mergeCell ref="AI15:AJ15"/>
    <mergeCell ref="AK15:AL15"/>
    <mergeCell ref="AM15:AN15"/>
    <mergeCell ref="BY15:BZ15"/>
    <mergeCell ref="D16:E16"/>
    <mergeCell ref="F16:G16"/>
    <mergeCell ref="H16:I16"/>
    <mergeCell ref="J16:K16"/>
    <mergeCell ref="L16:M16"/>
    <mergeCell ref="N16:P16"/>
    <mergeCell ref="Q16:R16"/>
    <mergeCell ref="S16:T16"/>
    <mergeCell ref="U16:V16"/>
    <mergeCell ref="BM15:BN15"/>
    <mergeCell ref="BO15:BP15"/>
    <mergeCell ref="BQ15:BR15"/>
    <mergeCell ref="BS15:BT15"/>
    <mergeCell ref="BU15:BV15"/>
    <mergeCell ref="BW15:BX15"/>
    <mergeCell ref="BA15:BB15"/>
    <mergeCell ref="BC15:BD15"/>
    <mergeCell ref="BE15:BF15"/>
    <mergeCell ref="BG15:BH15"/>
    <mergeCell ref="BI15:BJ15"/>
    <mergeCell ref="BK15:BL15"/>
    <mergeCell ref="AO15:AP15"/>
    <mergeCell ref="AQ15:AR15"/>
    <mergeCell ref="BY16:BZ16"/>
    <mergeCell ref="D17:E17"/>
    <mergeCell ref="F17:G17"/>
    <mergeCell ref="H17:I17"/>
    <mergeCell ref="J17:K17"/>
    <mergeCell ref="L17:M17"/>
    <mergeCell ref="N17:P17"/>
    <mergeCell ref="BG16:BH16"/>
    <mergeCell ref="BI16:BJ16"/>
    <mergeCell ref="BK16:BL16"/>
    <mergeCell ref="BM16:BN16"/>
    <mergeCell ref="BO16:BP16"/>
    <mergeCell ref="BQ16:BR16"/>
    <mergeCell ref="AU16:AV16"/>
    <mergeCell ref="AW16:AX16"/>
    <mergeCell ref="AY16:AZ16"/>
    <mergeCell ref="BA16:BB16"/>
    <mergeCell ref="BC16:BD16"/>
    <mergeCell ref="BE16:BF16"/>
    <mergeCell ref="AI16:AJ16"/>
    <mergeCell ref="AK16:AL16"/>
    <mergeCell ref="AM16:AN16"/>
    <mergeCell ref="Q17:R17"/>
    <mergeCell ref="S17:T17"/>
    <mergeCell ref="U17:V17"/>
    <mergeCell ref="W17:X17"/>
    <mergeCell ref="Y17:Z17"/>
    <mergeCell ref="AA17:AB17"/>
    <mergeCell ref="BS16:BT16"/>
    <mergeCell ref="AS17:AT17"/>
    <mergeCell ref="AU17:AV17"/>
    <mergeCell ref="AW17:AX17"/>
    <mergeCell ref="AY17:AZ17"/>
    <mergeCell ref="AC17:AD17"/>
    <mergeCell ref="AE17:AF17"/>
    <mergeCell ref="AG17:AH17"/>
    <mergeCell ref="AI17:AJ17"/>
    <mergeCell ref="AK17:AL17"/>
    <mergeCell ref="AM17:AN17"/>
    <mergeCell ref="BU16:BV16"/>
    <mergeCell ref="BW16:BX16"/>
    <mergeCell ref="AS16:AT16"/>
    <mergeCell ref="W16:X16"/>
    <mergeCell ref="Y16:Z16"/>
    <mergeCell ref="AA16:AB16"/>
    <mergeCell ref="AC16:AD16"/>
    <mergeCell ref="AE16:AF16"/>
    <mergeCell ref="AG16:AH16"/>
    <mergeCell ref="AO16:AP16"/>
    <mergeCell ref="AQ16:AR16"/>
    <mergeCell ref="BY17:BZ17"/>
    <mergeCell ref="D18:E18"/>
    <mergeCell ref="F18:G18"/>
    <mergeCell ref="H18:I18"/>
    <mergeCell ref="J18:K18"/>
    <mergeCell ref="L18:M18"/>
    <mergeCell ref="N18:P18"/>
    <mergeCell ref="Q18:R18"/>
    <mergeCell ref="S18:T18"/>
    <mergeCell ref="U18:V18"/>
    <mergeCell ref="BM17:BN17"/>
    <mergeCell ref="BO17:BP17"/>
    <mergeCell ref="BQ17:BR17"/>
    <mergeCell ref="BS17:BT17"/>
    <mergeCell ref="BU17:BV17"/>
    <mergeCell ref="BW17:BX17"/>
    <mergeCell ref="BA17:BB17"/>
    <mergeCell ref="BC17:BD17"/>
    <mergeCell ref="BE17:BF17"/>
    <mergeCell ref="BG17:BH17"/>
    <mergeCell ref="BI17:BJ17"/>
    <mergeCell ref="BK17:BL17"/>
    <mergeCell ref="AO17:AP17"/>
    <mergeCell ref="AQ17:AR17"/>
    <mergeCell ref="BY18:BZ18"/>
    <mergeCell ref="D19:E19"/>
    <mergeCell ref="F19:G19"/>
    <mergeCell ref="H19:I19"/>
    <mergeCell ref="J19:K19"/>
    <mergeCell ref="L19:M19"/>
    <mergeCell ref="N19:P19"/>
    <mergeCell ref="BG18:BH18"/>
    <mergeCell ref="BI18:BJ18"/>
    <mergeCell ref="BK18:BL18"/>
    <mergeCell ref="BM18:BN18"/>
    <mergeCell ref="BO18:BP18"/>
    <mergeCell ref="BQ18:BR18"/>
    <mergeCell ref="AU18:AV18"/>
    <mergeCell ref="AW18:AX18"/>
    <mergeCell ref="AY18:AZ18"/>
    <mergeCell ref="BA18:BB18"/>
    <mergeCell ref="BC18:BD18"/>
    <mergeCell ref="BE18:BF18"/>
    <mergeCell ref="AI18:AJ18"/>
    <mergeCell ref="AK18:AL18"/>
    <mergeCell ref="AM18:AN18"/>
    <mergeCell ref="AO18:AP18"/>
    <mergeCell ref="AQ18:AR18"/>
    <mergeCell ref="Q19:R19"/>
    <mergeCell ref="S19:T19"/>
    <mergeCell ref="U19:V19"/>
    <mergeCell ref="W19:X19"/>
    <mergeCell ref="Y19:Z19"/>
    <mergeCell ref="AA19:AB19"/>
    <mergeCell ref="BS18:BT18"/>
    <mergeCell ref="BU18:BV18"/>
    <mergeCell ref="BW18:BX18"/>
    <mergeCell ref="AS18:AT18"/>
    <mergeCell ref="W18:X18"/>
    <mergeCell ref="Y18:Z18"/>
    <mergeCell ref="AA18:AB18"/>
    <mergeCell ref="AC18:AD18"/>
    <mergeCell ref="AE18:AF18"/>
    <mergeCell ref="AG18:AH18"/>
    <mergeCell ref="AS19:AT19"/>
    <mergeCell ref="AU19:AV19"/>
    <mergeCell ref="AW19:AX19"/>
    <mergeCell ref="AY19:AZ19"/>
    <mergeCell ref="AC19:AD19"/>
    <mergeCell ref="AE19:AF19"/>
    <mergeCell ref="AG19:AH19"/>
    <mergeCell ref="AI19:AJ19"/>
    <mergeCell ref="AK19:AL19"/>
    <mergeCell ref="AM19:AN19"/>
    <mergeCell ref="BY19:BZ19"/>
    <mergeCell ref="D20:E20"/>
    <mergeCell ref="F20:G20"/>
    <mergeCell ref="H20:I20"/>
    <mergeCell ref="J20:K20"/>
    <mergeCell ref="L20:M20"/>
    <mergeCell ref="N20:P20"/>
    <mergeCell ref="Q20:R20"/>
    <mergeCell ref="S20:T20"/>
    <mergeCell ref="U20:V20"/>
    <mergeCell ref="BM19:BN19"/>
    <mergeCell ref="BO19:BP19"/>
    <mergeCell ref="BQ19:BR19"/>
    <mergeCell ref="BS19:BT19"/>
    <mergeCell ref="BU19:BV19"/>
    <mergeCell ref="BW19:BX19"/>
    <mergeCell ref="BA19:BB19"/>
    <mergeCell ref="BC19:BD19"/>
    <mergeCell ref="BE19:BF19"/>
    <mergeCell ref="BG19:BH19"/>
    <mergeCell ref="BI19:BJ19"/>
    <mergeCell ref="BK19:BL19"/>
    <mergeCell ref="AO19:AP19"/>
    <mergeCell ref="AQ19:AR19"/>
    <mergeCell ref="BY20:BZ20"/>
    <mergeCell ref="D21:E21"/>
    <mergeCell ref="F21:G21"/>
    <mergeCell ref="H21:I21"/>
    <mergeCell ref="J21:K21"/>
    <mergeCell ref="L21:M21"/>
    <mergeCell ref="N21:P21"/>
    <mergeCell ref="BG20:BH20"/>
    <mergeCell ref="BI20:BJ20"/>
    <mergeCell ref="BK20:BL20"/>
    <mergeCell ref="BM20:BN20"/>
    <mergeCell ref="BO20:BP20"/>
    <mergeCell ref="BQ20:BR20"/>
    <mergeCell ref="AU20:AV20"/>
    <mergeCell ref="AW20:AX20"/>
    <mergeCell ref="AY20:AZ20"/>
    <mergeCell ref="BA20:BB20"/>
    <mergeCell ref="BC20:BD20"/>
    <mergeCell ref="BE20:BF20"/>
    <mergeCell ref="AI20:AJ20"/>
    <mergeCell ref="AK20:AL20"/>
    <mergeCell ref="AM20:AN20"/>
    <mergeCell ref="Q21:R21"/>
    <mergeCell ref="S21:T21"/>
    <mergeCell ref="U21:V21"/>
    <mergeCell ref="W21:X21"/>
    <mergeCell ref="Y21:Z21"/>
    <mergeCell ref="AA21:AB21"/>
    <mergeCell ref="BS20:BT20"/>
    <mergeCell ref="AS21:AT21"/>
    <mergeCell ref="AU21:AV21"/>
    <mergeCell ref="AW21:AX21"/>
    <mergeCell ref="AY21:AZ21"/>
    <mergeCell ref="AC21:AD21"/>
    <mergeCell ref="AE21:AF21"/>
    <mergeCell ref="AG21:AH21"/>
    <mergeCell ref="AI21:AJ21"/>
    <mergeCell ref="AK21:AL21"/>
    <mergeCell ref="AM21:AN21"/>
    <mergeCell ref="BU20:BV20"/>
    <mergeCell ref="BW20:BX20"/>
    <mergeCell ref="AS20:AT20"/>
    <mergeCell ref="W20:X20"/>
    <mergeCell ref="Y20:Z20"/>
    <mergeCell ref="AA20:AB20"/>
    <mergeCell ref="AC20:AD20"/>
    <mergeCell ref="AE20:AF20"/>
    <mergeCell ref="AG20:AH20"/>
    <mergeCell ref="AO20:AP20"/>
    <mergeCell ref="AQ20:AR20"/>
    <mergeCell ref="BY21:BZ21"/>
    <mergeCell ref="D22:E22"/>
    <mergeCell ref="F22:G22"/>
    <mergeCell ref="H22:I22"/>
    <mergeCell ref="J22:K22"/>
    <mergeCell ref="L22:M22"/>
    <mergeCell ref="N22:P22"/>
    <mergeCell ref="Q22:R22"/>
    <mergeCell ref="S22:T22"/>
    <mergeCell ref="U22:V22"/>
    <mergeCell ref="BM21:BN21"/>
    <mergeCell ref="BO21:BP21"/>
    <mergeCell ref="BQ21:BR21"/>
    <mergeCell ref="BS21:BT21"/>
    <mergeCell ref="BU21:BV21"/>
    <mergeCell ref="BW21:BX21"/>
    <mergeCell ref="BA21:BB21"/>
    <mergeCell ref="BC21:BD21"/>
    <mergeCell ref="BE21:BF21"/>
    <mergeCell ref="BG21:BH21"/>
    <mergeCell ref="BI21:BJ21"/>
    <mergeCell ref="BK21:BL21"/>
    <mergeCell ref="AO21:AP21"/>
    <mergeCell ref="AQ21:AR21"/>
    <mergeCell ref="BY22:BZ22"/>
    <mergeCell ref="D23:E23"/>
    <mergeCell ref="F23:G23"/>
    <mergeCell ref="H23:I23"/>
    <mergeCell ref="J23:K23"/>
    <mergeCell ref="L23:M23"/>
    <mergeCell ref="N23:P23"/>
    <mergeCell ref="BG22:BH22"/>
    <mergeCell ref="BI22:BJ22"/>
    <mergeCell ref="BK22:BL22"/>
    <mergeCell ref="BM22:BN22"/>
    <mergeCell ref="BO22:BP22"/>
    <mergeCell ref="BQ22:BR22"/>
    <mergeCell ref="AU22:AV22"/>
    <mergeCell ref="AW22:AX22"/>
    <mergeCell ref="AY22:AZ22"/>
    <mergeCell ref="BA22:BB22"/>
    <mergeCell ref="BC22:BD22"/>
    <mergeCell ref="BE22:BF22"/>
    <mergeCell ref="AI22:AJ22"/>
    <mergeCell ref="AK22:AL22"/>
    <mergeCell ref="AM22:AN22"/>
    <mergeCell ref="AO22:AP22"/>
    <mergeCell ref="AQ22:AR22"/>
    <mergeCell ref="Q23:R23"/>
    <mergeCell ref="S23:T23"/>
    <mergeCell ref="U23:V23"/>
    <mergeCell ref="W23:X23"/>
    <mergeCell ref="Y23:Z23"/>
    <mergeCell ref="AA23:AB23"/>
    <mergeCell ref="BS22:BT22"/>
    <mergeCell ref="BU22:BV22"/>
    <mergeCell ref="BW22:BX22"/>
    <mergeCell ref="AS22:AT22"/>
    <mergeCell ref="W22:X22"/>
    <mergeCell ref="Y22:Z22"/>
    <mergeCell ref="AA22:AB22"/>
    <mergeCell ref="AC22:AD22"/>
    <mergeCell ref="AE22:AF22"/>
    <mergeCell ref="AG22:AH22"/>
    <mergeCell ref="AS23:AT23"/>
    <mergeCell ref="AU23:AV23"/>
    <mergeCell ref="AW23:AX23"/>
    <mergeCell ref="AY23:AZ23"/>
    <mergeCell ref="AC23:AD23"/>
    <mergeCell ref="AE23:AF23"/>
    <mergeCell ref="AG23:AH23"/>
    <mergeCell ref="AI23:AJ23"/>
    <mergeCell ref="AK23:AL23"/>
    <mergeCell ref="AM23:AN23"/>
    <mergeCell ref="BY23:BZ23"/>
    <mergeCell ref="D24:E24"/>
    <mergeCell ref="F24:G24"/>
    <mergeCell ref="H24:I24"/>
    <mergeCell ref="J24:K24"/>
    <mergeCell ref="L24:M24"/>
    <mergeCell ref="N24:P24"/>
    <mergeCell ref="Q24:R24"/>
    <mergeCell ref="S24:T24"/>
    <mergeCell ref="U24:V24"/>
    <mergeCell ref="BM23:BN23"/>
    <mergeCell ref="BO23:BP23"/>
    <mergeCell ref="BQ23:BR23"/>
    <mergeCell ref="BS23:BT23"/>
    <mergeCell ref="BU23:BV23"/>
    <mergeCell ref="BW23:BX23"/>
    <mergeCell ref="BA23:BB23"/>
    <mergeCell ref="BC23:BD23"/>
    <mergeCell ref="BE23:BF23"/>
    <mergeCell ref="BG23:BH23"/>
    <mergeCell ref="BI23:BJ23"/>
    <mergeCell ref="BK23:BL23"/>
    <mergeCell ref="AO23:AP23"/>
    <mergeCell ref="AQ23:AR23"/>
    <mergeCell ref="BY24:BZ24"/>
    <mergeCell ref="D26:E26"/>
    <mergeCell ref="F26:G26"/>
    <mergeCell ref="H26:I26"/>
    <mergeCell ref="J26:K26"/>
    <mergeCell ref="L26:M26"/>
    <mergeCell ref="N26:P26"/>
    <mergeCell ref="BG24:BH24"/>
    <mergeCell ref="BI24:BJ24"/>
    <mergeCell ref="BK24:BL24"/>
    <mergeCell ref="BM24:BN24"/>
    <mergeCell ref="BO24:BP24"/>
    <mergeCell ref="BQ24:BR24"/>
    <mergeCell ref="AU24:AV24"/>
    <mergeCell ref="AW24:AX24"/>
    <mergeCell ref="AY24:AZ24"/>
    <mergeCell ref="BA24:BB24"/>
    <mergeCell ref="BC24:BD24"/>
    <mergeCell ref="BE24:BF24"/>
    <mergeCell ref="AI24:AJ24"/>
    <mergeCell ref="AK24:AL24"/>
    <mergeCell ref="AM24:AN24"/>
    <mergeCell ref="Q26:R26"/>
    <mergeCell ref="S26:T26"/>
    <mergeCell ref="U26:V26"/>
    <mergeCell ref="W26:X26"/>
    <mergeCell ref="Y26:Z26"/>
    <mergeCell ref="AA26:AB26"/>
    <mergeCell ref="BS24:BT24"/>
    <mergeCell ref="AS26:AT26"/>
    <mergeCell ref="AU26:AV26"/>
    <mergeCell ref="AW26:AX26"/>
    <mergeCell ref="AY26:AZ26"/>
    <mergeCell ref="AC26:AD26"/>
    <mergeCell ref="AE26:AF26"/>
    <mergeCell ref="AG26:AH26"/>
    <mergeCell ref="AI26:AJ26"/>
    <mergeCell ref="AK26:AL26"/>
    <mergeCell ref="AM26:AN26"/>
    <mergeCell ref="C25:R25"/>
    <mergeCell ref="AI25:AJ25"/>
    <mergeCell ref="AK25:AL25"/>
    <mergeCell ref="AM25:AN25"/>
    <mergeCell ref="AO25:AP25"/>
    <mergeCell ref="AQ25:AR25"/>
    <mergeCell ref="AS25:AT25"/>
    <mergeCell ref="BU24:BV24"/>
    <mergeCell ref="BW24:BX24"/>
    <mergeCell ref="AS24:AT24"/>
    <mergeCell ref="W24:X24"/>
    <mergeCell ref="Y24:Z24"/>
    <mergeCell ref="AA24:AB24"/>
    <mergeCell ref="AC24:AD24"/>
    <mergeCell ref="AE24:AF24"/>
    <mergeCell ref="AG24:AH24"/>
    <mergeCell ref="AO24:AP24"/>
    <mergeCell ref="AQ24:AR24"/>
    <mergeCell ref="BY26:BZ26"/>
    <mergeCell ref="D27:E27"/>
    <mergeCell ref="F27:G27"/>
    <mergeCell ref="H27:I27"/>
    <mergeCell ref="J27:K27"/>
    <mergeCell ref="L27:M27"/>
    <mergeCell ref="N27:P27"/>
    <mergeCell ref="Q27:R27"/>
    <mergeCell ref="S27:T27"/>
    <mergeCell ref="U27:V27"/>
    <mergeCell ref="BM26:BN26"/>
    <mergeCell ref="BO26:BP26"/>
    <mergeCell ref="BQ26:BR26"/>
    <mergeCell ref="BS26:BT26"/>
    <mergeCell ref="BU26:BV26"/>
    <mergeCell ref="BW26:BX26"/>
    <mergeCell ref="BA26:BB26"/>
    <mergeCell ref="BC26:BD26"/>
    <mergeCell ref="BE26:BF26"/>
    <mergeCell ref="BG26:BH26"/>
    <mergeCell ref="BI26:BJ26"/>
    <mergeCell ref="BK26:BL26"/>
    <mergeCell ref="AO26:AP26"/>
    <mergeCell ref="AQ26:AR26"/>
    <mergeCell ref="BY27:BZ27"/>
    <mergeCell ref="D28:E28"/>
    <mergeCell ref="F28:G28"/>
    <mergeCell ref="H28:I28"/>
    <mergeCell ref="J28:K28"/>
    <mergeCell ref="L28:M28"/>
    <mergeCell ref="N28:P28"/>
    <mergeCell ref="BG27:BH27"/>
    <mergeCell ref="BI27:BJ27"/>
    <mergeCell ref="BK27:BL27"/>
    <mergeCell ref="BM27:BN27"/>
    <mergeCell ref="BO27:BP27"/>
    <mergeCell ref="BQ27:BR27"/>
    <mergeCell ref="AU27:AV27"/>
    <mergeCell ref="AW27:AX27"/>
    <mergeCell ref="AY27:AZ27"/>
    <mergeCell ref="BA27:BB27"/>
    <mergeCell ref="BC27:BD27"/>
    <mergeCell ref="BE27:BF27"/>
    <mergeCell ref="AI27:AJ27"/>
    <mergeCell ref="AK27:AL27"/>
    <mergeCell ref="AM27:AN27"/>
    <mergeCell ref="AO27:AP27"/>
    <mergeCell ref="AQ27:AR27"/>
    <mergeCell ref="Q28:R28"/>
    <mergeCell ref="S28:T28"/>
    <mergeCell ref="U28:V28"/>
    <mergeCell ref="W28:X28"/>
    <mergeCell ref="Y28:Z28"/>
    <mergeCell ref="AA28:AB28"/>
    <mergeCell ref="BS27:BT27"/>
    <mergeCell ref="BU27:BV27"/>
    <mergeCell ref="BW27:BX27"/>
    <mergeCell ref="AS27:AT27"/>
    <mergeCell ref="W27:X27"/>
    <mergeCell ref="Y27:Z27"/>
    <mergeCell ref="AA27:AB27"/>
    <mergeCell ref="AC27:AD27"/>
    <mergeCell ref="AE27:AF27"/>
    <mergeCell ref="AG27:AH27"/>
    <mergeCell ref="AS28:AT28"/>
    <mergeCell ref="AU28:AV28"/>
    <mergeCell ref="AW28:AX28"/>
    <mergeCell ref="AY28:AZ28"/>
    <mergeCell ref="AC28:AD28"/>
    <mergeCell ref="AE28:AF28"/>
    <mergeCell ref="AG28:AH28"/>
    <mergeCell ref="AI28:AJ28"/>
    <mergeCell ref="AK28:AL28"/>
    <mergeCell ref="AM28:AN28"/>
    <mergeCell ref="BY28:BZ28"/>
    <mergeCell ref="D29:E29"/>
    <mergeCell ref="F29:G29"/>
    <mergeCell ref="H29:I29"/>
    <mergeCell ref="J29:K29"/>
    <mergeCell ref="L29:M29"/>
    <mergeCell ref="N29:P29"/>
    <mergeCell ref="Q29:R29"/>
    <mergeCell ref="S29:T29"/>
    <mergeCell ref="U29:V29"/>
    <mergeCell ref="BM28:BN28"/>
    <mergeCell ref="BO28:BP28"/>
    <mergeCell ref="BQ28:BR28"/>
    <mergeCell ref="BS28:BT28"/>
    <mergeCell ref="BU28:BV28"/>
    <mergeCell ref="BW28:BX28"/>
    <mergeCell ref="BA28:BB28"/>
    <mergeCell ref="BC28:BD28"/>
    <mergeCell ref="BE28:BF28"/>
    <mergeCell ref="BG28:BH28"/>
    <mergeCell ref="BI28:BJ28"/>
    <mergeCell ref="BK28:BL28"/>
    <mergeCell ref="AO28:AP28"/>
    <mergeCell ref="AQ28:AR28"/>
    <mergeCell ref="BY29:BZ29"/>
    <mergeCell ref="D30:E30"/>
    <mergeCell ref="F30:G30"/>
    <mergeCell ref="H30:I30"/>
    <mergeCell ref="J30:K30"/>
    <mergeCell ref="L30:M30"/>
    <mergeCell ref="N30:P30"/>
    <mergeCell ref="BG29:BH29"/>
    <mergeCell ref="BI29:BJ29"/>
    <mergeCell ref="BK29:BL29"/>
    <mergeCell ref="BM29:BN29"/>
    <mergeCell ref="BO29:BP29"/>
    <mergeCell ref="BQ29:BR29"/>
    <mergeCell ref="AU29:AV29"/>
    <mergeCell ref="AW29:AX29"/>
    <mergeCell ref="AY29:AZ29"/>
    <mergeCell ref="BA29:BB29"/>
    <mergeCell ref="BC29:BD29"/>
    <mergeCell ref="BE29:BF29"/>
    <mergeCell ref="AI29:AJ29"/>
    <mergeCell ref="AK29:AL29"/>
    <mergeCell ref="AM29:AN29"/>
    <mergeCell ref="S30:T30"/>
    <mergeCell ref="U30:V30"/>
    <mergeCell ref="W30:X30"/>
    <mergeCell ref="Y30:Z30"/>
    <mergeCell ref="AA30:AB30"/>
    <mergeCell ref="BS29:BT29"/>
    <mergeCell ref="AS30:AT30"/>
    <mergeCell ref="AU30:AV30"/>
    <mergeCell ref="AW30:AX30"/>
    <mergeCell ref="AY30:AZ30"/>
    <mergeCell ref="AC30:AD30"/>
    <mergeCell ref="AE30:AF30"/>
    <mergeCell ref="AG30:AH30"/>
    <mergeCell ref="AI30:AJ30"/>
    <mergeCell ref="AK30:AL30"/>
    <mergeCell ref="AM30:AN30"/>
    <mergeCell ref="BU29:BV29"/>
    <mergeCell ref="BW29:BX29"/>
    <mergeCell ref="AS29:AT29"/>
    <mergeCell ref="W29:X29"/>
    <mergeCell ref="Y29:Z29"/>
    <mergeCell ref="AA29:AB29"/>
    <mergeCell ref="AC29:AD29"/>
    <mergeCell ref="AE29:AF29"/>
    <mergeCell ref="AG29:AH29"/>
    <mergeCell ref="AO29:AP29"/>
    <mergeCell ref="AQ29:AR29"/>
    <mergeCell ref="BY30:BZ30"/>
    <mergeCell ref="D31:E31"/>
    <mergeCell ref="F31:G31"/>
    <mergeCell ref="H31:I31"/>
    <mergeCell ref="J31:K31"/>
    <mergeCell ref="L31:M31"/>
    <mergeCell ref="N31:P31"/>
    <mergeCell ref="Q31:R31"/>
    <mergeCell ref="S31:T31"/>
    <mergeCell ref="U31:V31"/>
    <mergeCell ref="BM30:BN30"/>
    <mergeCell ref="BO30:BP30"/>
    <mergeCell ref="BQ30:BR30"/>
    <mergeCell ref="BS30:BT30"/>
    <mergeCell ref="BU30:BV30"/>
    <mergeCell ref="BW30:BX30"/>
    <mergeCell ref="BA30:BB30"/>
    <mergeCell ref="BC30:BD30"/>
    <mergeCell ref="BE30:BF30"/>
    <mergeCell ref="BG30:BH30"/>
    <mergeCell ref="BI30:BJ30"/>
    <mergeCell ref="BK30:BL30"/>
    <mergeCell ref="AO30:AP30"/>
    <mergeCell ref="AQ30:AR30"/>
    <mergeCell ref="AM31:AN31"/>
    <mergeCell ref="AO31:AP31"/>
    <mergeCell ref="AQ31:AR31"/>
    <mergeCell ref="AS31:AT31"/>
    <mergeCell ref="W31:X31"/>
    <mergeCell ref="Y31:Z31"/>
    <mergeCell ref="AA31:AB31"/>
    <mergeCell ref="AC31:AD31"/>
    <mergeCell ref="AE31:AF31"/>
    <mergeCell ref="AG31:AH31"/>
    <mergeCell ref="BS31:BT31"/>
    <mergeCell ref="BU31:BV31"/>
    <mergeCell ref="BW31:BX31"/>
    <mergeCell ref="BY31:BZ31"/>
    <mergeCell ref="C34:R34"/>
    <mergeCell ref="S34:T34"/>
    <mergeCell ref="U34:V34"/>
    <mergeCell ref="W34:X34"/>
    <mergeCell ref="Y34:Z34"/>
    <mergeCell ref="AA34:AB34"/>
    <mergeCell ref="BG31:BH31"/>
    <mergeCell ref="BI31:BJ31"/>
    <mergeCell ref="BK31:BL31"/>
    <mergeCell ref="BM31:BN31"/>
    <mergeCell ref="BO31:BP31"/>
    <mergeCell ref="BQ31:BR31"/>
    <mergeCell ref="AU31:AV31"/>
    <mergeCell ref="AW31:AX31"/>
    <mergeCell ref="AY31:AZ31"/>
    <mergeCell ref="BA31:BB31"/>
    <mergeCell ref="BC31:BD31"/>
    <mergeCell ref="BE31:BF31"/>
    <mergeCell ref="AI31:AJ31"/>
    <mergeCell ref="AK31:AL31"/>
    <mergeCell ref="AO34:AP34"/>
    <mergeCell ref="AQ34:AR34"/>
    <mergeCell ref="AS34:AT34"/>
    <mergeCell ref="AU34:AV34"/>
    <mergeCell ref="AW34:AX34"/>
    <mergeCell ref="AY34:AZ34"/>
    <mergeCell ref="AC34:AD34"/>
    <mergeCell ref="AE34:AF34"/>
    <mergeCell ref="AG34:AH34"/>
    <mergeCell ref="AI34:AJ34"/>
    <mergeCell ref="AK34:AL34"/>
    <mergeCell ref="AM34:AN34"/>
    <mergeCell ref="BY34:BZ34"/>
    <mergeCell ref="BB35:BZ40"/>
    <mergeCell ref="BM34:BN34"/>
    <mergeCell ref="BO34:BP34"/>
    <mergeCell ref="BQ34:BR34"/>
    <mergeCell ref="BS34:BT34"/>
    <mergeCell ref="BU34:BV34"/>
    <mergeCell ref="BW34:BX34"/>
    <mergeCell ref="BA34:BB34"/>
    <mergeCell ref="BC34:BD34"/>
    <mergeCell ref="BE34:BF34"/>
    <mergeCell ref="BG34:BH34"/>
    <mergeCell ref="BI34:BJ34"/>
    <mergeCell ref="BK34:BL34"/>
    <mergeCell ref="AI32:AJ32"/>
    <mergeCell ref="AK32:AL32"/>
    <mergeCell ref="AM32:AN32"/>
    <mergeCell ref="D32:E32"/>
    <mergeCell ref="F32:G32"/>
    <mergeCell ref="H32:I32"/>
    <mergeCell ref="J32:K32"/>
    <mergeCell ref="L32:M32"/>
    <mergeCell ref="N32:P32"/>
    <mergeCell ref="Q32:R32"/>
    <mergeCell ref="S32:T32"/>
    <mergeCell ref="U32:V32"/>
    <mergeCell ref="AO32:AP32"/>
    <mergeCell ref="AQ32:AR32"/>
    <mergeCell ref="AS32:AT32"/>
    <mergeCell ref="AU32:AV32"/>
    <mergeCell ref="AW32:AX32"/>
    <mergeCell ref="AY32:AZ32"/>
    <mergeCell ref="BA32:BB32"/>
    <mergeCell ref="BC32:BD32"/>
    <mergeCell ref="BE32:BF32"/>
    <mergeCell ref="BY32:BZ32"/>
    <mergeCell ref="BG32:BH32"/>
    <mergeCell ref="BI32:BJ32"/>
    <mergeCell ref="BK32:BL32"/>
    <mergeCell ref="BM32:BN32"/>
    <mergeCell ref="BO32:BP32"/>
    <mergeCell ref="BQ32:BR32"/>
    <mergeCell ref="BS32:BT32"/>
    <mergeCell ref="BU32:BV32"/>
    <mergeCell ref="BW32:BX32"/>
    <mergeCell ref="C33:R33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W32:X32"/>
    <mergeCell ref="Y32:Z32"/>
    <mergeCell ref="AA32:AB32"/>
    <mergeCell ref="AC32:AD32"/>
    <mergeCell ref="AE32:AF32"/>
    <mergeCell ref="AG32:AH32"/>
    <mergeCell ref="Q30:R30"/>
    <mergeCell ref="BM25:BN25"/>
    <mergeCell ref="BO25:BP25"/>
    <mergeCell ref="BQ25:BR25"/>
    <mergeCell ref="BS25:BT25"/>
    <mergeCell ref="BU25:BV25"/>
    <mergeCell ref="BW25:BX25"/>
    <mergeCell ref="BY25:BZ25"/>
    <mergeCell ref="AU25:AV25"/>
    <mergeCell ref="AW25:AX25"/>
    <mergeCell ref="AY25:AZ25"/>
    <mergeCell ref="BA25:BB25"/>
    <mergeCell ref="BC25:BD25"/>
    <mergeCell ref="BE25:BF25"/>
    <mergeCell ref="BG25:BH25"/>
    <mergeCell ref="BI25:BJ25"/>
    <mergeCell ref="BK25:BL25"/>
    <mergeCell ref="AI33:AJ33"/>
    <mergeCell ref="AK33:AL33"/>
    <mergeCell ref="AM33:AN33"/>
    <mergeCell ref="AO33:AP33"/>
    <mergeCell ref="AQ33:AR33"/>
    <mergeCell ref="AS33:AT33"/>
    <mergeCell ref="AU33:AV33"/>
    <mergeCell ref="AW33:AX33"/>
    <mergeCell ref="AY33:AZ33"/>
    <mergeCell ref="BS33:BT33"/>
    <mergeCell ref="BU33:BV33"/>
    <mergeCell ref="BW33:BX33"/>
    <mergeCell ref="BY33:BZ33"/>
    <mergeCell ref="BA33:BB33"/>
    <mergeCell ref="BC33:BD33"/>
    <mergeCell ref="BE33:BF33"/>
    <mergeCell ref="BG33:BH33"/>
    <mergeCell ref="BI33:BJ33"/>
    <mergeCell ref="BK33:BL33"/>
    <mergeCell ref="BM33:BN33"/>
    <mergeCell ref="BO33:BP33"/>
    <mergeCell ref="BQ33:BR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2</vt:i4>
      </vt:variant>
    </vt:vector>
  </HeadingPairs>
  <TitlesOfParts>
    <vt:vector size="4" baseType="lpstr">
      <vt:lpstr>ثانوي</vt:lpstr>
      <vt:lpstr>اساسي</vt:lpstr>
      <vt:lpstr>اساسي!Print_Area</vt:lpstr>
      <vt:lpstr>ثانوي!Print_Area</vt:lpstr>
    </vt:vector>
  </TitlesOfParts>
  <Company>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Android phone</dc:creator>
  <cp:lastModifiedBy>MAX</cp:lastModifiedBy>
  <cp:lastPrinted>2024-12-06T13:48:48Z</cp:lastPrinted>
  <dcterms:modified xsi:type="dcterms:W3CDTF">2025-01-30T11:22:40Z</dcterms:modified>
</cp:coreProperties>
</file>