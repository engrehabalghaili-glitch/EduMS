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AHA\Desktop\"/>
    </mc:Choice>
  </mc:AlternateContent>
  <xr:revisionPtr revIDLastSave="0" documentId="13_ncr:1_{83047274-125A-4971-A5F7-88E13173CE2F}" xr6:coauthVersionLast="47" xr6:coauthVersionMax="47" xr10:uidLastSave="{00000000-0000-0000-0000-000000000000}"/>
  <bookViews>
    <workbookView xWindow="-108" yWindow="-108" windowWidth="23256" windowHeight="12576" tabRatio="505" xr2:uid="{00000000-000D-0000-FFFF-FFFF00000000}"/>
  </bookViews>
  <sheets>
    <sheet name="متقدمين ثالث علمي " sheetId="6" r:id="rId1"/>
    <sheet name="ثالث علمي مكملين" sheetId="15" r:id="rId2"/>
    <sheet name="متقدمين ثانوي الادبي" sheetId="19" r:id="rId3"/>
    <sheet name="ثانوي مكملين الادبي" sheetId="18" r:id="rId4"/>
    <sheet name="متقدمين ثانوي (2)" sheetId="17" state="hidden" r:id="rId5"/>
  </sheets>
  <definedNames>
    <definedName name="_xlnm._FilterDatabase" localSheetId="1" hidden="1">'ثالث علمي مكملين'!$A$10:$HW$10</definedName>
    <definedName name="_xlnm._FilterDatabase" localSheetId="3" hidden="1">'ثانوي مكملين الادبي'!$A$11:$HW$11</definedName>
    <definedName name="_xlnm._FilterDatabase" localSheetId="0" hidden="1">'متقدمين ثالث علمي '!#REF!</definedName>
    <definedName name="_xlnm._FilterDatabase" localSheetId="4" hidden="1">'متقدمين ثانوي (2)'!$A$11:$BH$13</definedName>
    <definedName name="_xlnm._FilterDatabase" localSheetId="2" hidden="1">'متقدمين ثانوي الادبي'!$A$55:$BH$94</definedName>
    <definedName name="hy" localSheetId="1">#REF!</definedName>
    <definedName name="hy" localSheetId="3">#REF!</definedName>
    <definedName name="hy" localSheetId="4">#REF!</definedName>
    <definedName name="hy" localSheetId="2">#REF!</definedName>
    <definedName name="hy">#REF!</definedName>
    <definedName name="_xlnm.Print_Area" localSheetId="1">'ثالث علمي مكملين'!$A$1:$W$50</definedName>
    <definedName name="_xlnm.Print_Area" localSheetId="3">'ثانوي مكملين الادبي'!$A$1:$W$31</definedName>
    <definedName name="_xlnm.Print_Area" localSheetId="0">'متقدمين ثالث علمي '!$A$1:$BF$70</definedName>
    <definedName name="_xlnm.Print_Area" localSheetId="4">'متقدمين ثانوي (2)'!$A$1:$BG$13</definedName>
    <definedName name="_xlnm.Print_Area" localSheetId="2">'متقدمين ثانوي الادبي'!$A$1:$BF$28</definedName>
    <definedName name="_xlnm.Print_Titles" localSheetId="1">'ثالث علمي مكملين'!$1:$10</definedName>
    <definedName name="_xlnm.Print_Titles" localSheetId="3">'ثانوي مكملين الادبي'!$1:$11</definedName>
    <definedName name="_xlnm.Print_Titles" localSheetId="0">'متقدمين ثالث علمي '!$A:$H,'متقدمين ثالث علمي '!$1:$9</definedName>
    <definedName name="_xlnm.Print_Titles" localSheetId="4">'متقدمين ثانوي (2)'!$A:$H,'متقدمين ثانوي (2)'!$1:$8</definedName>
    <definedName name="_xlnm.Print_Titles" localSheetId="2">'متقدمين ثانوي الادبي'!$A:$H,'متقدمين ثانوي الادبي'!$1:$8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45" i="6" l="1"/>
  <c r="AZ45" i="6"/>
  <c r="AV45" i="6"/>
  <c r="AR45" i="6"/>
  <c r="AN45" i="6"/>
  <c r="AJ45" i="6"/>
  <c r="AF45" i="6"/>
  <c r="AB45" i="6"/>
  <c r="BE45" i="6" s="1"/>
  <c r="BD21" i="6" l="1"/>
  <c r="AZ21" i="6"/>
  <c r="AV21" i="6"/>
  <c r="AR21" i="6"/>
  <c r="AN21" i="6"/>
  <c r="AJ21" i="6"/>
  <c r="AF21" i="6"/>
  <c r="AB21" i="6"/>
  <c r="BD18" i="6"/>
  <c r="AZ18" i="6"/>
  <c r="AV18" i="6"/>
  <c r="AR18" i="6"/>
  <c r="AN18" i="6"/>
  <c r="AJ18" i="6"/>
  <c r="AF18" i="6"/>
  <c r="AB18" i="6"/>
  <c r="AZ10" i="6"/>
  <c r="BD10" i="6"/>
  <c r="BE18" i="6" l="1"/>
  <c r="BE21" i="6"/>
  <c r="W2" i="18"/>
  <c r="V2" i="19"/>
  <c r="W2" i="15"/>
  <c r="BD133" i="19" l="1"/>
  <c r="AZ133" i="19"/>
  <c r="AV133" i="19"/>
  <c r="AR133" i="19"/>
  <c r="AN133" i="19"/>
  <c r="AJ133" i="19"/>
  <c r="AF133" i="19"/>
  <c r="AB133" i="19"/>
  <c r="BD132" i="19"/>
  <c r="AZ132" i="19"/>
  <c r="AV132" i="19"/>
  <c r="AR132" i="19"/>
  <c r="AN132" i="19"/>
  <c r="AJ132" i="19"/>
  <c r="AF132" i="19"/>
  <c r="AB132" i="19"/>
  <c r="BD131" i="19"/>
  <c r="AZ131" i="19"/>
  <c r="AV131" i="19"/>
  <c r="AR131" i="19"/>
  <c r="AN131" i="19"/>
  <c r="AJ131" i="19"/>
  <c r="AF131" i="19"/>
  <c r="AB131" i="19"/>
  <c r="BD130" i="19"/>
  <c r="AZ130" i="19"/>
  <c r="AV130" i="19"/>
  <c r="AR130" i="19"/>
  <c r="AN130" i="19"/>
  <c r="AJ130" i="19"/>
  <c r="AF130" i="19"/>
  <c r="AB130" i="19"/>
  <c r="BD129" i="19"/>
  <c r="AZ129" i="19"/>
  <c r="AV129" i="19"/>
  <c r="AR129" i="19"/>
  <c r="AN129" i="19"/>
  <c r="AJ129" i="19"/>
  <c r="AF129" i="19"/>
  <c r="AB129" i="19"/>
  <c r="BD128" i="19"/>
  <c r="AZ128" i="19"/>
  <c r="AV128" i="19"/>
  <c r="AR128" i="19"/>
  <c r="AN128" i="19"/>
  <c r="AJ128" i="19"/>
  <c r="AF128" i="19"/>
  <c r="AB128" i="19"/>
  <c r="BD127" i="19"/>
  <c r="AZ127" i="19"/>
  <c r="AV127" i="19"/>
  <c r="AR127" i="19"/>
  <c r="AN127" i="19"/>
  <c r="AJ127" i="19"/>
  <c r="AF127" i="19"/>
  <c r="AB127" i="19"/>
  <c r="BD126" i="19"/>
  <c r="AZ126" i="19"/>
  <c r="AV126" i="19"/>
  <c r="AR126" i="19"/>
  <c r="AN126" i="19"/>
  <c r="AJ126" i="19"/>
  <c r="AF126" i="19"/>
  <c r="AB126" i="19"/>
  <c r="BD125" i="19"/>
  <c r="AZ125" i="19"/>
  <c r="AV125" i="19"/>
  <c r="AR125" i="19"/>
  <c r="AN125" i="19"/>
  <c r="AJ125" i="19"/>
  <c r="AF125" i="19"/>
  <c r="AB125" i="19"/>
  <c r="BD124" i="19"/>
  <c r="AZ124" i="19"/>
  <c r="AV124" i="19"/>
  <c r="AR124" i="19"/>
  <c r="AN124" i="19"/>
  <c r="AJ124" i="19"/>
  <c r="AF124" i="19"/>
  <c r="AB124" i="19"/>
  <c r="BD123" i="19"/>
  <c r="AZ123" i="19"/>
  <c r="AV123" i="19"/>
  <c r="AR123" i="19"/>
  <c r="AN123" i="19"/>
  <c r="AJ123" i="19"/>
  <c r="AF123" i="19"/>
  <c r="AB123" i="19"/>
  <c r="BD122" i="19"/>
  <c r="AZ122" i="19"/>
  <c r="AV122" i="19"/>
  <c r="AR122" i="19"/>
  <c r="AN122" i="19"/>
  <c r="AJ122" i="19"/>
  <c r="AF122" i="19"/>
  <c r="AB122" i="19"/>
  <c r="BD121" i="19"/>
  <c r="AZ121" i="19"/>
  <c r="AV121" i="19"/>
  <c r="AR121" i="19"/>
  <c r="AN121" i="19"/>
  <c r="AJ121" i="19"/>
  <c r="AF121" i="19"/>
  <c r="AB121" i="19"/>
  <c r="BD120" i="19"/>
  <c r="AZ120" i="19"/>
  <c r="AV120" i="19"/>
  <c r="AR120" i="19"/>
  <c r="AN120" i="19"/>
  <c r="AJ120" i="19"/>
  <c r="AF120" i="19"/>
  <c r="AB120" i="19"/>
  <c r="BD119" i="19"/>
  <c r="AZ119" i="19"/>
  <c r="AV119" i="19"/>
  <c r="AR119" i="19"/>
  <c r="AN119" i="19"/>
  <c r="AJ119" i="19"/>
  <c r="AF119" i="19"/>
  <c r="AB119" i="19"/>
  <c r="BD118" i="19"/>
  <c r="AZ118" i="19"/>
  <c r="AV118" i="19"/>
  <c r="AR118" i="19"/>
  <c r="AN118" i="19"/>
  <c r="AJ118" i="19"/>
  <c r="AF118" i="19"/>
  <c r="AB118" i="19"/>
  <c r="BD117" i="19"/>
  <c r="AZ117" i="19"/>
  <c r="AV117" i="19"/>
  <c r="AR117" i="19"/>
  <c r="AN117" i="19"/>
  <c r="AJ117" i="19"/>
  <c r="AF117" i="19"/>
  <c r="AB117" i="19"/>
  <c r="BD116" i="19"/>
  <c r="AZ116" i="19"/>
  <c r="AV116" i="19"/>
  <c r="AR116" i="19"/>
  <c r="AN116" i="19"/>
  <c r="AJ116" i="19"/>
  <c r="AF116" i="19"/>
  <c r="AB116" i="19"/>
  <c r="BD115" i="19"/>
  <c r="AZ115" i="19"/>
  <c r="AV115" i="19"/>
  <c r="AR115" i="19"/>
  <c r="AN115" i="19"/>
  <c r="AJ115" i="19"/>
  <c r="AF115" i="19"/>
  <c r="AB115" i="19"/>
  <c r="BD114" i="19"/>
  <c r="AZ114" i="19"/>
  <c r="AV114" i="19"/>
  <c r="AR114" i="19"/>
  <c r="AN114" i="19"/>
  <c r="AJ114" i="19"/>
  <c r="AF114" i="19"/>
  <c r="AB114" i="19"/>
  <c r="BD113" i="19"/>
  <c r="AZ113" i="19"/>
  <c r="AV113" i="19"/>
  <c r="AR113" i="19"/>
  <c r="AN113" i="19"/>
  <c r="AJ113" i="19"/>
  <c r="AF113" i="19"/>
  <c r="AB113" i="19"/>
  <c r="BD112" i="19"/>
  <c r="AZ112" i="19"/>
  <c r="AV112" i="19"/>
  <c r="AR112" i="19"/>
  <c r="AN112" i="19"/>
  <c r="AJ112" i="19"/>
  <c r="AF112" i="19"/>
  <c r="AB112" i="19"/>
  <c r="BD111" i="19"/>
  <c r="AZ111" i="19"/>
  <c r="AV111" i="19"/>
  <c r="AR111" i="19"/>
  <c r="AN111" i="19"/>
  <c r="AJ111" i="19"/>
  <c r="AF111" i="19"/>
  <c r="AB111" i="19"/>
  <c r="BD110" i="19"/>
  <c r="AZ110" i="19"/>
  <c r="AV110" i="19"/>
  <c r="AR110" i="19"/>
  <c r="AN110" i="19"/>
  <c r="AJ110" i="19"/>
  <c r="AF110" i="19"/>
  <c r="AB110" i="19"/>
  <c r="BD109" i="19"/>
  <c r="AZ109" i="19"/>
  <c r="AV109" i="19"/>
  <c r="AR109" i="19"/>
  <c r="AN109" i="19"/>
  <c r="AJ109" i="19"/>
  <c r="AF109" i="19"/>
  <c r="AB109" i="19"/>
  <c r="BD108" i="19"/>
  <c r="AZ108" i="19"/>
  <c r="AV108" i="19"/>
  <c r="AR108" i="19"/>
  <c r="AN108" i="19"/>
  <c r="AJ108" i="19"/>
  <c r="AF108" i="19"/>
  <c r="AB108" i="19"/>
  <c r="BD107" i="19"/>
  <c r="AZ107" i="19"/>
  <c r="AV107" i="19"/>
  <c r="AR107" i="19"/>
  <c r="AN107" i="19"/>
  <c r="AJ107" i="19"/>
  <c r="AF107" i="19"/>
  <c r="AB107" i="19"/>
  <c r="BD106" i="19"/>
  <c r="AZ106" i="19"/>
  <c r="AV106" i="19"/>
  <c r="AR106" i="19"/>
  <c r="AN106" i="19"/>
  <c r="AJ106" i="19"/>
  <c r="AF106" i="19"/>
  <c r="AB106" i="19"/>
  <c r="BD105" i="19"/>
  <c r="AZ105" i="19"/>
  <c r="AV105" i="19"/>
  <c r="AR105" i="19"/>
  <c r="AN105" i="19"/>
  <c r="AJ105" i="19"/>
  <c r="AF105" i="19"/>
  <c r="AB105" i="19"/>
  <c r="BD104" i="19"/>
  <c r="AZ104" i="19"/>
  <c r="AV104" i="19"/>
  <c r="AR104" i="19"/>
  <c r="AN104" i="19"/>
  <c r="AJ104" i="19"/>
  <c r="AF104" i="19"/>
  <c r="AB104" i="19"/>
  <c r="BD103" i="19"/>
  <c r="AZ103" i="19"/>
  <c r="AV103" i="19"/>
  <c r="AR103" i="19"/>
  <c r="AN103" i="19"/>
  <c r="AJ103" i="19"/>
  <c r="AF103" i="19"/>
  <c r="AB103" i="19"/>
  <c r="BD102" i="19"/>
  <c r="AZ102" i="19"/>
  <c r="AV102" i="19"/>
  <c r="AR102" i="19"/>
  <c r="AN102" i="19"/>
  <c r="AJ102" i="19"/>
  <c r="AF102" i="19"/>
  <c r="AB102" i="19"/>
  <c r="BD101" i="19"/>
  <c r="AZ101" i="19"/>
  <c r="AV101" i="19"/>
  <c r="AR101" i="19"/>
  <c r="AN101" i="19"/>
  <c r="AJ101" i="19"/>
  <c r="AF101" i="19"/>
  <c r="AB101" i="19"/>
  <c r="BD100" i="19"/>
  <c r="AZ100" i="19"/>
  <c r="AV100" i="19"/>
  <c r="AR100" i="19"/>
  <c r="AN100" i="19"/>
  <c r="AJ100" i="19"/>
  <c r="AF100" i="19"/>
  <c r="AB100" i="19"/>
  <c r="BD99" i="19"/>
  <c r="AZ99" i="19"/>
  <c r="AV99" i="19"/>
  <c r="AR99" i="19"/>
  <c r="AN99" i="19"/>
  <c r="AJ99" i="19"/>
  <c r="AF99" i="19"/>
  <c r="AB99" i="19"/>
  <c r="BD98" i="19"/>
  <c r="AZ98" i="19"/>
  <c r="AV98" i="19"/>
  <c r="AR98" i="19"/>
  <c r="AN98" i="19"/>
  <c r="AJ98" i="19"/>
  <c r="AF98" i="19"/>
  <c r="AB98" i="19"/>
  <c r="BD97" i="19"/>
  <c r="AZ97" i="19"/>
  <c r="AV97" i="19"/>
  <c r="AR97" i="19"/>
  <c r="AN97" i="19"/>
  <c r="AJ97" i="19"/>
  <c r="AF97" i="19"/>
  <c r="AB97" i="19"/>
  <c r="BD96" i="19"/>
  <c r="AZ96" i="19"/>
  <c r="AV96" i="19"/>
  <c r="AR96" i="19"/>
  <c r="AN96" i="19"/>
  <c r="AJ96" i="19"/>
  <c r="AF96" i="19"/>
  <c r="AB96" i="19"/>
  <c r="BD95" i="19"/>
  <c r="AZ95" i="19"/>
  <c r="AV95" i="19"/>
  <c r="AR95" i="19"/>
  <c r="AN95" i="19"/>
  <c r="AJ95" i="19"/>
  <c r="AF95" i="19"/>
  <c r="AB95" i="19"/>
  <c r="BD94" i="19"/>
  <c r="AZ94" i="19"/>
  <c r="AV94" i="19"/>
  <c r="AR94" i="19"/>
  <c r="AN94" i="19"/>
  <c r="AJ94" i="19"/>
  <c r="AF94" i="19"/>
  <c r="AB94" i="19"/>
  <c r="BD93" i="19"/>
  <c r="AZ93" i="19"/>
  <c r="AV93" i="19"/>
  <c r="AR93" i="19"/>
  <c r="AN93" i="19"/>
  <c r="AJ93" i="19"/>
  <c r="AF93" i="19"/>
  <c r="AB93" i="19"/>
  <c r="BD92" i="19"/>
  <c r="AZ92" i="19"/>
  <c r="AV92" i="19"/>
  <c r="AR92" i="19"/>
  <c r="AN92" i="19"/>
  <c r="AJ92" i="19"/>
  <c r="AF92" i="19"/>
  <c r="AB92" i="19"/>
  <c r="BD91" i="19"/>
  <c r="AZ91" i="19"/>
  <c r="AV91" i="19"/>
  <c r="AR91" i="19"/>
  <c r="AN91" i="19"/>
  <c r="AJ91" i="19"/>
  <c r="AF91" i="19"/>
  <c r="AB91" i="19"/>
  <c r="BD90" i="19"/>
  <c r="AZ90" i="19"/>
  <c r="AV90" i="19"/>
  <c r="AR90" i="19"/>
  <c r="AN90" i="19"/>
  <c r="AJ90" i="19"/>
  <c r="AF90" i="19"/>
  <c r="AB90" i="19"/>
  <c r="BD89" i="19"/>
  <c r="AZ89" i="19"/>
  <c r="AV89" i="19"/>
  <c r="AR89" i="19"/>
  <c r="AN89" i="19"/>
  <c r="AJ89" i="19"/>
  <c r="AF89" i="19"/>
  <c r="AB89" i="19"/>
  <c r="BD88" i="19"/>
  <c r="AZ88" i="19"/>
  <c r="AV88" i="19"/>
  <c r="AR88" i="19"/>
  <c r="AN88" i="19"/>
  <c r="AJ88" i="19"/>
  <c r="AF88" i="19"/>
  <c r="AB88" i="19"/>
  <c r="BD87" i="19"/>
  <c r="AZ87" i="19"/>
  <c r="AV87" i="19"/>
  <c r="AR87" i="19"/>
  <c r="AN87" i="19"/>
  <c r="AJ87" i="19"/>
  <c r="AF87" i="19"/>
  <c r="AB87" i="19"/>
  <c r="BD86" i="19"/>
  <c r="AZ86" i="19"/>
  <c r="AV86" i="19"/>
  <c r="AR86" i="19"/>
  <c r="AN86" i="19"/>
  <c r="AJ86" i="19"/>
  <c r="AF86" i="19"/>
  <c r="AB86" i="19"/>
  <c r="BD85" i="19"/>
  <c r="AZ85" i="19"/>
  <c r="AV85" i="19"/>
  <c r="AR85" i="19"/>
  <c r="AN85" i="19"/>
  <c r="AJ85" i="19"/>
  <c r="AF85" i="19"/>
  <c r="AB85" i="19"/>
  <c r="BD84" i="19"/>
  <c r="AZ84" i="19"/>
  <c r="AV84" i="19"/>
  <c r="AR84" i="19"/>
  <c r="AN84" i="19"/>
  <c r="AJ84" i="19"/>
  <c r="AF84" i="19"/>
  <c r="AB84" i="19"/>
  <c r="BD83" i="19"/>
  <c r="AZ83" i="19"/>
  <c r="AV83" i="19"/>
  <c r="AR83" i="19"/>
  <c r="AN83" i="19"/>
  <c r="AJ83" i="19"/>
  <c r="AF83" i="19"/>
  <c r="AB83" i="19"/>
  <c r="BD82" i="19"/>
  <c r="AZ82" i="19"/>
  <c r="AV82" i="19"/>
  <c r="AR82" i="19"/>
  <c r="AN82" i="19"/>
  <c r="AJ82" i="19"/>
  <c r="AF82" i="19"/>
  <c r="AB82" i="19"/>
  <c r="BD81" i="19"/>
  <c r="AZ81" i="19"/>
  <c r="AV81" i="19"/>
  <c r="AR81" i="19"/>
  <c r="AN81" i="19"/>
  <c r="AJ81" i="19"/>
  <c r="AF81" i="19"/>
  <c r="AB81" i="19"/>
  <c r="BD80" i="19"/>
  <c r="AZ80" i="19"/>
  <c r="AV80" i="19"/>
  <c r="AR80" i="19"/>
  <c r="AN80" i="19"/>
  <c r="AJ80" i="19"/>
  <c r="AF80" i="19"/>
  <c r="AB80" i="19"/>
  <c r="BD79" i="19"/>
  <c r="AZ79" i="19"/>
  <c r="AV79" i="19"/>
  <c r="AR79" i="19"/>
  <c r="AN79" i="19"/>
  <c r="AJ79" i="19"/>
  <c r="AF79" i="19"/>
  <c r="AB79" i="19"/>
  <c r="BD78" i="19"/>
  <c r="AZ78" i="19"/>
  <c r="AV78" i="19"/>
  <c r="AR78" i="19"/>
  <c r="AN78" i="19"/>
  <c r="AJ78" i="19"/>
  <c r="AF78" i="19"/>
  <c r="AB78" i="19"/>
  <c r="BD77" i="19"/>
  <c r="AZ77" i="19"/>
  <c r="AV77" i="19"/>
  <c r="AR77" i="19"/>
  <c r="AN77" i="19"/>
  <c r="AJ77" i="19"/>
  <c r="AF77" i="19"/>
  <c r="AB77" i="19"/>
  <c r="BD76" i="19"/>
  <c r="AZ76" i="19"/>
  <c r="AV76" i="19"/>
  <c r="AR76" i="19"/>
  <c r="AN76" i="19"/>
  <c r="AJ76" i="19"/>
  <c r="AF76" i="19"/>
  <c r="AB76" i="19"/>
  <c r="BD75" i="19"/>
  <c r="AZ75" i="19"/>
  <c r="AV75" i="19"/>
  <c r="AR75" i="19"/>
  <c r="AN75" i="19"/>
  <c r="AJ75" i="19"/>
  <c r="AF75" i="19"/>
  <c r="AB75" i="19"/>
  <c r="BD74" i="19"/>
  <c r="AZ74" i="19"/>
  <c r="AV74" i="19"/>
  <c r="AR74" i="19"/>
  <c r="AN74" i="19"/>
  <c r="AJ74" i="19"/>
  <c r="AF74" i="19"/>
  <c r="AB74" i="19"/>
  <c r="BD73" i="19"/>
  <c r="AZ73" i="19"/>
  <c r="AV73" i="19"/>
  <c r="AR73" i="19"/>
  <c r="AN73" i="19"/>
  <c r="AJ73" i="19"/>
  <c r="AF73" i="19"/>
  <c r="AB73" i="19"/>
  <c r="BD72" i="19"/>
  <c r="AZ72" i="19"/>
  <c r="AV72" i="19"/>
  <c r="AR72" i="19"/>
  <c r="AN72" i="19"/>
  <c r="AJ72" i="19"/>
  <c r="AF72" i="19"/>
  <c r="AB72" i="19"/>
  <c r="BD71" i="19"/>
  <c r="AZ71" i="19"/>
  <c r="AV71" i="19"/>
  <c r="AR71" i="19"/>
  <c r="AN71" i="19"/>
  <c r="AJ71" i="19"/>
  <c r="AF71" i="19"/>
  <c r="AB71" i="19"/>
  <c r="BD70" i="19"/>
  <c r="AZ70" i="19"/>
  <c r="AV70" i="19"/>
  <c r="AR70" i="19"/>
  <c r="AN70" i="19"/>
  <c r="AJ70" i="19"/>
  <c r="AF70" i="19"/>
  <c r="AB70" i="19"/>
  <c r="BD69" i="19"/>
  <c r="AZ69" i="19"/>
  <c r="AV69" i="19"/>
  <c r="AR69" i="19"/>
  <c r="AN69" i="19"/>
  <c r="AJ69" i="19"/>
  <c r="AF69" i="19"/>
  <c r="AB69" i="19"/>
  <c r="BD68" i="19"/>
  <c r="AZ68" i="19"/>
  <c r="AV68" i="19"/>
  <c r="AR68" i="19"/>
  <c r="AN68" i="19"/>
  <c r="AJ68" i="19"/>
  <c r="AF68" i="19"/>
  <c r="AB68" i="19"/>
  <c r="BD67" i="19"/>
  <c r="AZ67" i="19"/>
  <c r="AV67" i="19"/>
  <c r="AR67" i="19"/>
  <c r="AN67" i="19"/>
  <c r="AJ67" i="19"/>
  <c r="AF67" i="19"/>
  <c r="AB67" i="19"/>
  <c r="BD66" i="19"/>
  <c r="AZ66" i="19"/>
  <c r="AV66" i="19"/>
  <c r="AR66" i="19"/>
  <c r="AN66" i="19"/>
  <c r="AJ66" i="19"/>
  <c r="AF66" i="19"/>
  <c r="AB66" i="19"/>
  <c r="BD65" i="19"/>
  <c r="AZ65" i="19"/>
  <c r="AV65" i="19"/>
  <c r="AR65" i="19"/>
  <c r="AN65" i="19"/>
  <c r="AJ65" i="19"/>
  <c r="AF65" i="19"/>
  <c r="AB65" i="19"/>
  <c r="BD64" i="19"/>
  <c r="AZ64" i="19"/>
  <c r="AV64" i="19"/>
  <c r="AR64" i="19"/>
  <c r="AN64" i="19"/>
  <c r="AJ64" i="19"/>
  <c r="AF64" i="19"/>
  <c r="AB64" i="19"/>
  <c r="BD63" i="19"/>
  <c r="AZ63" i="19"/>
  <c r="AV63" i="19"/>
  <c r="AR63" i="19"/>
  <c r="AN63" i="19"/>
  <c r="AJ63" i="19"/>
  <c r="AF63" i="19"/>
  <c r="AB63" i="19"/>
  <c r="BD62" i="19"/>
  <c r="AZ62" i="19"/>
  <c r="AV62" i="19"/>
  <c r="AR62" i="19"/>
  <c r="AN62" i="19"/>
  <c r="AJ62" i="19"/>
  <c r="AF62" i="19"/>
  <c r="AB62" i="19"/>
  <c r="BD61" i="19"/>
  <c r="AZ61" i="19"/>
  <c r="AV61" i="19"/>
  <c r="AR61" i="19"/>
  <c r="AN61" i="19"/>
  <c r="AJ61" i="19"/>
  <c r="AF61" i="19"/>
  <c r="AB61" i="19"/>
  <c r="BD60" i="19"/>
  <c r="AZ60" i="19"/>
  <c r="AV60" i="19"/>
  <c r="AR60" i="19"/>
  <c r="AN60" i="19"/>
  <c r="AJ60" i="19"/>
  <c r="AF60" i="19"/>
  <c r="AB60" i="19"/>
  <c r="BD59" i="19"/>
  <c r="AZ59" i="19"/>
  <c r="AV59" i="19"/>
  <c r="AR59" i="19"/>
  <c r="AN59" i="19"/>
  <c r="AJ59" i="19"/>
  <c r="AF59" i="19"/>
  <c r="AB59" i="19"/>
  <c r="BD58" i="19"/>
  <c r="AZ58" i="19"/>
  <c r="AV58" i="19"/>
  <c r="AR58" i="19"/>
  <c r="AN58" i="19"/>
  <c r="AJ58" i="19"/>
  <c r="AF58" i="19"/>
  <c r="AB58" i="19"/>
  <c r="BD57" i="19"/>
  <c r="AZ57" i="19"/>
  <c r="AV57" i="19"/>
  <c r="AR57" i="19"/>
  <c r="AN57" i="19"/>
  <c r="AJ57" i="19"/>
  <c r="AF57" i="19"/>
  <c r="AB57" i="19"/>
  <c r="BD56" i="19"/>
  <c r="AZ56" i="19"/>
  <c r="AV56" i="19"/>
  <c r="AR56" i="19"/>
  <c r="AN56" i="19"/>
  <c r="AJ56" i="19"/>
  <c r="AF56" i="19"/>
  <c r="AB56" i="19"/>
  <c r="BD55" i="19"/>
  <c r="AZ55" i="19"/>
  <c r="AV55" i="19"/>
  <c r="AR55" i="19"/>
  <c r="AN55" i="19"/>
  <c r="AJ55" i="19"/>
  <c r="AF55" i="19"/>
  <c r="AB55" i="19"/>
  <c r="BD54" i="19"/>
  <c r="AZ54" i="19"/>
  <c r="AV54" i="19"/>
  <c r="AR54" i="19"/>
  <c r="AN54" i="19"/>
  <c r="AJ54" i="19"/>
  <c r="AF54" i="19"/>
  <c r="AB54" i="19"/>
  <c r="BD53" i="19"/>
  <c r="AZ53" i="19"/>
  <c r="AV53" i="19"/>
  <c r="AR53" i="19"/>
  <c r="AN53" i="19"/>
  <c r="AJ53" i="19"/>
  <c r="AF53" i="19"/>
  <c r="AB53" i="19"/>
  <c r="BD52" i="19"/>
  <c r="AZ52" i="19"/>
  <c r="AV52" i="19"/>
  <c r="AR52" i="19"/>
  <c r="AN52" i="19"/>
  <c r="AJ52" i="19"/>
  <c r="AF52" i="19"/>
  <c r="AB52" i="19"/>
  <c r="BD51" i="19"/>
  <c r="AZ51" i="19"/>
  <c r="AV51" i="19"/>
  <c r="AR51" i="19"/>
  <c r="AN51" i="19"/>
  <c r="AJ51" i="19"/>
  <c r="AF51" i="19"/>
  <c r="AB51" i="19"/>
  <c r="BD50" i="19"/>
  <c r="AZ50" i="19"/>
  <c r="AV50" i="19"/>
  <c r="AR50" i="19"/>
  <c r="AN50" i="19"/>
  <c r="AJ50" i="19"/>
  <c r="AF50" i="19"/>
  <c r="AB50" i="19"/>
  <c r="BD49" i="19"/>
  <c r="AZ49" i="19"/>
  <c r="AV49" i="19"/>
  <c r="AR49" i="19"/>
  <c r="AN49" i="19"/>
  <c r="AJ49" i="19"/>
  <c r="AF49" i="19"/>
  <c r="AB49" i="19"/>
  <c r="BD48" i="19"/>
  <c r="AZ48" i="19"/>
  <c r="AV48" i="19"/>
  <c r="AR48" i="19"/>
  <c r="AN48" i="19"/>
  <c r="AJ48" i="19"/>
  <c r="AF48" i="19"/>
  <c r="AB48" i="19"/>
  <c r="BD47" i="19"/>
  <c r="AZ47" i="19"/>
  <c r="AV47" i="19"/>
  <c r="AR47" i="19"/>
  <c r="AN47" i="19"/>
  <c r="AJ47" i="19"/>
  <c r="AF47" i="19"/>
  <c r="AB47" i="19"/>
  <c r="BD46" i="19"/>
  <c r="AZ46" i="19"/>
  <c r="AV46" i="19"/>
  <c r="AR46" i="19"/>
  <c r="AN46" i="19"/>
  <c r="AJ46" i="19"/>
  <c r="AF46" i="19"/>
  <c r="AB46" i="19"/>
  <c r="BD45" i="19"/>
  <c r="AZ45" i="19"/>
  <c r="AV45" i="19"/>
  <c r="AR45" i="19"/>
  <c r="AN45" i="19"/>
  <c r="AJ45" i="19"/>
  <c r="AF45" i="19"/>
  <c r="AB45" i="19"/>
  <c r="BD44" i="19"/>
  <c r="AZ44" i="19"/>
  <c r="AV44" i="19"/>
  <c r="AR44" i="19"/>
  <c r="AN44" i="19"/>
  <c r="AJ44" i="19"/>
  <c r="AF44" i="19"/>
  <c r="AB44" i="19"/>
  <c r="BD43" i="19"/>
  <c r="AZ43" i="19"/>
  <c r="AV43" i="19"/>
  <c r="AR43" i="19"/>
  <c r="AN43" i="19"/>
  <c r="AJ43" i="19"/>
  <c r="AF43" i="19"/>
  <c r="AB43" i="19"/>
  <c r="BD42" i="19"/>
  <c r="AZ42" i="19"/>
  <c r="AV42" i="19"/>
  <c r="AR42" i="19"/>
  <c r="AN42" i="19"/>
  <c r="AJ42" i="19"/>
  <c r="AF42" i="19"/>
  <c r="AB42" i="19"/>
  <c r="BD41" i="19"/>
  <c r="AZ41" i="19"/>
  <c r="AV41" i="19"/>
  <c r="AR41" i="19"/>
  <c r="AN41" i="19"/>
  <c r="AJ41" i="19"/>
  <c r="AF41" i="19"/>
  <c r="AB41" i="19"/>
  <c r="BD40" i="19"/>
  <c r="AZ40" i="19"/>
  <c r="AV40" i="19"/>
  <c r="AR40" i="19"/>
  <c r="AN40" i="19"/>
  <c r="AJ40" i="19"/>
  <c r="AF40" i="19"/>
  <c r="AB40" i="19"/>
  <c r="BD39" i="19"/>
  <c r="AZ39" i="19"/>
  <c r="AV39" i="19"/>
  <c r="AR39" i="19"/>
  <c r="AN39" i="19"/>
  <c r="AJ39" i="19"/>
  <c r="AF39" i="19"/>
  <c r="AB39" i="19"/>
  <c r="BD38" i="19"/>
  <c r="AZ38" i="19"/>
  <c r="AV38" i="19"/>
  <c r="AR38" i="19"/>
  <c r="AN38" i="19"/>
  <c r="AJ38" i="19"/>
  <c r="AF38" i="19"/>
  <c r="AB38" i="19"/>
  <c r="BD37" i="19"/>
  <c r="AZ37" i="19"/>
  <c r="AV37" i="19"/>
  <c r="AR37" i="19"/>
  <c r="AN37" i="19"/>
  <c r="AJ37" i="19"/>
  <c r="AF37" i="19"/>
  <c r="AB37" i="19"/>
  <c r="BD36" i="19"/>
  <c r="AZ36" i="19"/>
  <c r="AV36" i="19"/>
  <c r="AR36" i="19"/>
  <c r="AN36" i="19"/>
  <c r="AJ36" i="19"/>
  <c r="AF36" i="19"/>
  <c r="AB36" i="19"/>
  <c r="BD35" i="19"/>
  <c r="AZ35" i="19"/>
  <c r="AV35" i="19"/>
  <c r="AR35" i="19"/>
  <c r="AN35" i="19"/>
  <c r="AJ35" i="19"/>
  <c r="AF35" i="19"/>
  <c r="AB35" i="19"/>
  <c r="BD34" i="19"/>
  <c r="AZ34" i="19"/>
  <c r="AV34" i="19"/>
  <c r="AR34" i="19"/>
  <c r="AN34" i="19"/>
  <c r="AJ34" i="19"/>
  <c r="AF34" i="19"/>
  <c r="AB34" i="19"/>
  <c r="BD33" i="19"/>
  <c r="AZ33" i="19"/>
  <c r="AV33" i="19"/>
  <c r="AR33" i="19"/>
  <c r="AN33" i="19"/>
  <c r="AJ33" i="19"/>
  <c r="AF33" i="19"/>
  <c r="AB33" i="19"/>
  <c r="BD32" i="19"/>
  <c r="AZ32" i="19"/>
  <c r="AV32" i="19"/>
  <c r="AR32" i="19"/>
  <c r="AN32" i="19"/>
  <c r="AJ32" i="19"/>
  <c r="AF32" i="19"/>
  <c r="AB32" i="19"/>
  <c r="BD31" i="19"/>
  <c r="AZ31" i="19"/>
  <c r="AV31" i="19"/>
  <c r="AR31" i="19"/>
  <c r="AN31" i="19"/>
  <c r="AJ31" i="19"/>
  <c r="AF31" i="19"/>
  <c r="AB31" i="19"/>
  <c r="BD30" i="19"/>
  <c r="AZ30" i="19"/>
  <c r="AV30" i="19"/>
  <c r="AR30" i="19"/>
  <c r="AN30" i="19"/>
  <c r="AJ30" i="19"/>
  <c r="AF30" i="19"/>
  <c r="AB30" i="19"/>
  <c r="BD29" i="19"/>
  <c r="AZ29" i="19"/>
  <c r="AV29" i="19"/>
  <c r="AR29" i="19"/>
  <c r="AN29" i="19"/>
  <c r="AJ29" i="19"/>
  <c r="AF29" i="19"/>
  <c r="AB29" i="19"/>
  <c r="BD28" i="19"/>
  <c r="AZ28" i="19"/>
  <c r="AV28" i="19"/>
  <c r="AR28" i="19"/>
  <c r="AN28" i="19"/>
  <c r="AJ28" i="19"/>
  <c r="AF28" i="19"/>
  <c r="AB28" i="19"/>
  <c r="BD27" i="19"/>
  <c r="AZ27" i="19"/>
  <c r="AV27" i="19"/>
  <c r="AR27" i="19"/>
  <c r="AN27" i="19"/>
  <c r="AJ27" i="19"/>
  <c r="AF27" i="19"/>
  <c r="AB27" i="19"/>
  <c r="BD26" i="19"/>
  <c r="AZ26" i="19"/>
  <c r="AV26" i="19"/>
  <c r="AR26" i="19"/>
  <c r="AN26" i="19"/>
  <c r="AJ26" i="19"/>
  <c r="AF26" i="19"/>
  <c r="AB26" i="19"/>
  <c r="BD25" i="19"/>
  <c r="AZ25" i="19"/>
  <c r="AV25" i="19"/>
  <c r="AR25" i="19"/>
  <c r="AN25" i="19"/>
  <c r="AJ25" i="19"/>
  <c r="AF25" i="19"/>
  <c r="AB25" i="19"/>
  <c r="BD24" i="19"/>
  <c r="AZ24" i="19"/>
  <c r="AV24" i="19"/>
  <c r="AR24" i="19"/>
  <c r="AN24" i="19"/>
  <c r="AJ24" i="19"/>
  <c r="AF24" i="19"/>
  <c r="AB24" i="19"/>
  <c r="BD23" i="19"/>
  <c r="AZ23" i="19"/>
  <c r="AV23" i="19"/>
  <c r="AR23" i="19"/>
  <c r="AN23" i="19"/>
  <c r="AJ23" i="19"/>
  <c r="AF23" i="19"/>
  <c r="AB23" i="19"/>
  <c r="BD22" i="19"/>
  <c r="AZ22" i="19"/>
  <c r="AV22" i="19"/>
  <c r="AR22" i="19"/>
  <c r="AN22" i="19"/>
  <c r="AJ22" i="19"/>
  <c r="AF22" i="19"/>
  <c r="AB22" i="19"/>
  <c r="BD21" i="19"/>
  <c r="AZ21" i="19"/>
  <c r="AV21" i="19"/>
  <c r="AR21" i="19"/>
  <c r="AN21" i="19"/>
  <c r="AJ21" i="19"/>
  <c r="AF21" i="19"/>
  <c r="AB21" i="19"/>
  <c r="BD20" i="19"/>
  <c r="AZ20" i="19"/>
  <c r="AV20" i="19"/>
  <c r="AR20" i="19"/>
  <c r="AN20" i="19"/>
  <c r="AJ20" i="19"/>
  <c r="AF20" i="19"/>
  <c r="AB20" i="19"/>
  <c r="BD19" i="19"/>
  <c r="AZ19" i="19"/>
  <c r="AV19" i="19"/>
  <c r="AR19" i="19"/>
  <c r="AN19" i="19"/>
  <c r="AJ19" i="19"/>
  <c r="AF19" i="19"/>
  <c r="AB19" i="19"/>
  <c r="BD18" i="19"/>
  <c r="AZ18" i="19"/>
  <c r="AV18" i="19"/>
  <c r="AR18" i="19"/>
  <c r="AN18" i="19"/>
  <c r="AJ18" i="19"/>
  <c r="AF18" i="19"/>
  <c r="AB18" i="19"/>
  <c r="BD17" i="19"/>
  <c r="AZ17" i="19"/>
  <c r="AV17" i="19"/>
  <c r="AR17" i="19"/>
  <c r="AN17" i="19"/>
  <c r="AJ17" i="19"/>
  <c r="AF17" i="19"/>
  <c r="AB17" i="19"/>
  <c r="BD16" i="19"/>
  <c r="AZ16" i="19"/>
  <c r="AV16" i="19"/>
  <c r="AR16" i="19"/>
  <c r="AN16" i="19"/>
  <c r="AJ16" i="19"/>
  <c r="AF16" i="19"/>
  <c r="AB16" i="19"/>
  <c r="BD15" i="19"/>
  <c r="AZ15" i="19"/>
  <c r="AV15" i="19"/>
  <c r="AR15" i="19"/>
  <c r="AN15" i="19"/>
  <c r="AJ15" i="19"/>
  <c r="AF15" i="19"/>
  <c r="AB15" i="19"/>
  <c r="BD14" i="19"/>
  <c r="AZ14" i="19"/>
  <c r="AV14" i="19"/>
  <c r="AR14" i="19"/>
  <c r="AN14" i="19"/>
  <c r="AJ14" i="19"/>
  <c r="AF14" i="19"/>
  <c r="AB14" i="19"/>
  <c r="BD13" i="19"/>
  <c r="AZ13" i="19"/>
  <c r="AV13" i="19"/>
  <c r="AR13" i="19"/>
  <c r="AN13" i="19"/>
  <c r="AJ13" i="19"/>
  <c r="AF13" i="19"/>
  <c r="AB13" i="19"/>
  <c r="BD12" i="19"/>
  <c r="AZ12" i="19"/>
  <c r="AV12" i="19"/>
  <c r="AR12" i="19"/>
  <c r="AN12" i="19"/>
  <c r="AJ12" i="19"/>
  <c r="AF12" i="19"/>
  <c r="AB12" i="19"/>
  <c r="BD11" i="19"/>
  <c r="AZ11" i="19"/>
  <c r="AV11" i="19"/>
  <c r="AR11" i="19"/>
  <c r="AN11" i="19"/>
  <c r="AJ11" i="19"/>
  <c r="AF11" i="19"/>
  <c r="AB11" i="19"/>
  <c r="BD10" i="19"/>
  <c r="AZ10" i="19"/>
  <c r="AV10" i="19"/>
  <c r="AR10" i="19"/>
  <c r="AN10" i="19"/>
  <c r="AJ10" i="19"/>
  <c r="AF10" i="19"/>
  <c r="AB10" i="19"/>
  <c r="AV3" i="19"/>
  <c r="AV2" i="19"/>
  <c r="HW342" i="18"/>
  <c r="HW341" i="18"/>
  <c r="HW340" i="18"/>
  <c r="HW339" i="18"/>
  <c r="HW338" i="18"/>
  <c r="HW337" i="18"/>
  <c r="HW336" i="18"/>
  <c r="HW335" i="18"/>
  <c r="HW334" i="18"/>
  <c r="HW333" i="18"/>
  <c r="HW332" i="18"/>
  <c r="HW331" i="18"/>
  <c r="HW330" i="18"/>
  <c r="HW329" i="18"/>
  <c r="HW328" i="18"/>
  <c r="HW327" i="18"/>
  <c r="HW326" i="18"/>
  <c r="HW325" i="18"/>
  <c r="HW324" i="18"/>
  <c r="HW323" i="18"/>
  <c r="HW322" i="18"/>
  <c r="HW321" i="18"/>
  <c r="HW320" i="18"/>
  <c r="HW319" i="18"/>
  <c r="HW318" i="18"/>
  <c r="HW317" i="18"/>
  <c r="HW316" i="18"/>
  <c r="HW315" i="18"/>
  <c r="HW314" i="18"/>
  <c r="HW313" i="18"/>
  <c r="HW312" i="18"/>
  <c r="HW311" i="18"/>
  <c r="HW310" i="18"/>
  <c r="HW309" i="18"/>
  <c r="HW308" i="18"/>
  <c r="HW307" i="18"/>
  <c r="HW306" i="18"/>
  <c r="HW305" i="18"/>
  <c r="HW304" i="18"/>
  <c r="HW303" i="18"/>
  <c r="HW302" i="18"/>
  <c r="HW301" i="18"/>
  <c r="HW300" i="18"/>
  <c r="HW299" i="18"/>
  <c r="HW298" i="18"/>
  <c r="HW297" i="18"/>
  <c r="HW296" i="18"/>
  <c r="HW295" i="18"/>
  <c r="HW294" i="18"/>
  <c r="HW293" i="18"/>
  <c r="HW292" i="18"/>
  <c r="HW291" i="18"/>
  <c r="HW290" i="18"/>
  <c r="HW289" i="18"/>
  <c r="HW288" i="18"/>
  <c r="HW287" i="18"/>
  <c r="HW286" i="18"/>
  <c r="HW285" i="18"/>
  <c r="HW284" i="18"/>
  <c r="HW283" i="18"/>
  <c r="HW282" i="18"/>
  <c r="HW281" i="18"/>
  <c r="HW280" i="18"/>
  <c r="HW279" i="18"/>
  <c r="HW278" i="18"/>
  <c r="HW277" i="18"/>
  <c r="HW276" i="18"/>
  <c r="HW275" i="18"/>
  <c r="HW274" i="18"/>
  <c r="HW273" i="18"/>
  <c r="HW272" i="18"/>
  <c r="HW271" i="18"/>
  <c r="HW270" i="18"/>
  <c r="HW269" i="18"/>
  <c r="HW268" i="18"/>
  <c r="HW267" i="18"/>
  <c r="HW266" i="18"/>
  <c r="HW265" i="18"/>
  <c r="HW264" i="18"/>
  <c r="HW263" i="18"/>
  <c r="HW262" i="18"/>
  <c r="HW261" i="18"/>
  <c r="HW260" i="18"/>
  <c r="HW259" i="18"/>
  <c r="HW258" i="18"/>
  <c r="HW257" i="18"/>
  <c r="HW256" i="18"/>
  <c r="HW255" i="18"/>
  <c r="HW254" i="18"/>
  <c r="HW253" i="18"/>
  <c r="HW252" i="18"/>
  <c r="HW251" i="18"/>
  <c r="HW250" i="18"/>
  <c r="HW249" i="18"/>
  <c r="HW248" i="18"/>
  <c r="HW247" i="18"/>
  <c r="HW246" i="18"/>
  <c r="HW245" i="18"/>
  <c r="HW244" i="18"/>
  <c r="HW243" i="18"/>
  <c r="HW242" i="18"/>
  <c r="HW241" i="18"/>
  <c r="HW240" i="18"/>
  <c r="HW239" i="18"/>
  <c r="HW238" i="18"/>
  <c r="HW237" i="18"/>
  <c r="HW236" i="18"/>
  <c r="HW235" i="18"/>
  <c r="HW234" i="18"/>
  <c r="HW233" i="18"/>
  <c r="HW232" i="18"/>
  <c r="HW231" i="18"/>
  <c r="HW230" i="18"/>
  <c r="HW229" i="18"/>
  <c r="HW228" i="18"/>
  <c r="HW227" i="18"/>
  <c r="HW226" i="18"/>
  <c r="HW225" i="18"/>
  <c r="HW224" i="18"/>
  <c r="HW223" i="18"/>
  <c r="HW222" i="18"/>
  <c r="HW221" i="18"/>
  <c r="HW220" i="18"/>
  <c r="HW219" i="18"/>
  <c r="HW218" i="18"/>
  <c r="HW217" i="18"/>
  <c r="HW216" i="18"/>
  <c r="HW215" i="18"/>
  <c r="HW214" i="18"/>
  <c r="HW213" i="18"/>
  <c r="HW212" i="18"/>
  <c r="HW211" i="18"/>
  <c r="HW210" i="18"/>
  <c r="HW209" i="18"/>
  <c r="HW208" i="18"/>
  <c r="HW207" i="18"/>
  <c r="HW206" i="18"/>
  <c r="HW205" i="18"/>
  <c r="HW204" i="18"/>
  <c r="HW203" i="18"/>
  <c r="HW202" i="18"/>
  <c r="HW201" i="18"/>
  <c r="HW200" i="18"/>
  <c r="HW199" i="18"/>
  <c r="HW198" i="18"/>
  <c r="HW197" i="18"/>
  <c r="HW196" i="18"/>
  <c r="HW195" i="18"/>
  <c r="HW194" i="18"/>
  <c r="HW193" i="18"/>
  <c r="HW192" i="18"/>
  <c r="HW191" i="18"/>
  <c r="HW190" i="18"/>
  <c r="HW189" i="18"/>
  <c r="HW188" i="18"/>
  <c r="HW187" i="18"/>
  <c r="HW186" i="18"/>
  <c r="HW185" i="18"/>
  <c r="HW184" i="18"/>
  <c r="HW183" i="18"/>
  <c r="HW182" i="18"/>
  <c r="HW181" i="18"/>
  <c r="HW180" i="18"/>
  <c r="HW179" i="18"/>
  <c r="HW178" i="18"/>
  <c r="HW177" i="18"/>
  <c r="HW176" i="18"/>
  <c r="HW175" i="18"/>
  <c r="HW174" i="18"/>
  <c r="HW173" i="18"/>
  <c r="HW172" i="18"/>
  <c r="HW171" i="18"/>
  <c r="HW170" i="18"/>
  <c r="HW169" i="18"/>
  <c r="HW168" i="18"/>
  <c r="HW167" i="18"/>
  <c r="HW166" i="18"/>
  <c r="HW165" i="18"/>
  <c r="HW164" i="18"/>
  <c r="HW163" i="18"/>
  <c r="HW162" i="18"/>
  <c r="HW161" i="18"/>
  <c r="HW160" i="18"/>
  <c r="HW159" i="18"/>
  <c r="HW158" i="18"/>
  <c r="HW157" i="18"/>
  <c r="HW156" i="18"/>
  <c r="HW155" i="18"/>
  <c r="HW154" i="18"/>
  <c r="HW153" i="18"/>
  <c r="HW152" i="18"/>
  <c r="HW151" i="18"/>
  <c r="HW150" i="18"/>
  <c r="HW149" i="18"/>
  <c r="HW148" i="18"/>
  <c r="HW147" i="18"/>
  <c r="HW146" i="18"/>
  <c r="HW145" i="18"/>
  <c r="HW144" i="18"/>
  <c r="HW143" i="18"/>
  <c r="HW142" i="18"/>
  <c r="HW141" i="18"/>
  <c r="HW140" i="18"/>
  <c r="HW139" i="18"/>
  <c r="HW138" i="18"/>
  <c r="HW137" i="18"/>
  <c r="HW136" i="18"/>
  <c r="HW135" i="18"/>
  <c r="HW134" i="18"/>
  <c r="HW133" i="18"/>
  <c r="HW132" i="18"/>
  <c r="HW131" i="18"/>
  <c r="HW130" i="18"/>
  <c r="HW129" i="18"/>
  <c r="HW128" i="18"/>
  <c r="HW127" i="18"/>
  <c r="HW126" i="18"/>
  <c r="HW125" i="18"/>
  <c r="HW124" i="18"/>
  <c r="HW123" i="18"/>
  <c r="HW122" i="18"/>
  <c r="HW121" i="18"/>
  <c r="HW120" i="18"/>
  <c r="HW119" i="18"/>
  <c r="HW118" i="18"/>
  <c r="HW117" i="18"/>
  <c r="HW116" i="18"/>
  <c r="HW115" i="18"/>
  <c r="HW114" i="18"/>
  <c r="HW113" i="18"/>
  <c r="HW112" i="18"/>
  <c r="HW111" i="18"/>
  <c r="HW110" i="18"/>
  <c r="HW109" i="18"/>
  <c r="HW108" i="18"/>
  <c r="HW107" i="18"/>
  <c r="HW106" i="18"/>
  <c r="HW105" i="18"/>
  <c r="HW104" i="18"/>
  <c r="HW103" i="18"/>
  <c r="HW102" i="18"/>
  <c r="HW101" i="18"/>
  <c r="HW100" i="18"/>
  <c r="HW99" i="18"/>
  <c r="HW98" i="18"/>
  <c r="HW97" i="18"/>
  <c r="HW96" i="18"/>
  <c r="HW95" i="18"/>
  <c r="HW94" i="18"/>
  <c r="HW93" i="18"/>
  <c r="HW92" i="18"/>
  <c r="HW91" i="18"/>
  <c r="HW90" i="18"/>
  <c r="HW89" i="18"/>
  <c r="HW88" i="18"/>
  <c r="HW87" i="18"/>
  <c r="HW86" i="18"/>
  <c r="HW85" i="18"/>
  <c r="HW84" i="18"/>
  <c r="HW83" i="18"/>
  <c r="HW82" i="18"/>
  <c r="HW81" i="18"/>
  <c r="HW80" i="18"/>
  <c r="HW79" i="18"/>
  <c r="HW78" i="18"/>
  <c r="HW77" i="18"/>
  <c r="HW76" i="18"/>
  <c r="HW75" i="18"/>
  <c r="HW74" i="18"/>
  <c r="HW73" i="18"/>
  <c r="HW72" i="18"/>
  <c r="HW71" i="18"/>
  <c r="HW70" i="18"/>
  <c r="HW69" i="18"/>
  <c r="HW68" i="18"/>
  <c r="HW67" i="18"/>
  <c r="HW66" i="18"/>
  <c r="HW65" i="18"/>
  <c r="HW64" i="18"/>
  <c r="HW63" i="18"/>
  <c r="HW62" i="18"/>
  <c r="HW61" i="18"/>
  <c r="HW60" i="18"/>
  <c r="HW59" i="18"/>
  <c r="HW58" i="18"/>
  <c r="HW57" i="18"/>
  <c r="HW56" i="18"/>
  <c r="HW55" i="18"/>
  <c r="HW54" i="18"/>
  <c r="HW53" i="18"/>
  <c r="HW52" i="18"/>
  <c r="HW51" i="18"/>
  <c r="HW50" i="18"/>
  <c r="HW49" i="18"/>
  <c r="HW48" i="18"/>
  <c r="HW47" i="18"/>
  <c r="HW46" i="18"/>
  <c r="HW45" i="18"/>
  <c r="HW44" i="18"/>
  <c r="HW43" i="18"/>
  <c r="HW42" i="18"/>
  <c r="HW41" i="18"/>
  <c r="HW40" i="18"/>
  <c r="HW39" i="18"/>
  <c r="HW38" i="18"/>
  <c r="HW37" i="18"/>
  <c r="HW36" i="18"/>
  <c r="HW35" i="18"/>
  <c r="HW34" i="18"/>
  <c r="HW33" i="18"/>
  <c r="HW32" i="18"/>
  <c r="HW31" i="18"/>
  <c r="HW30" i="18"/>
  <c r="HW29" i="18"/>
  <c r="HW28" i="18"/>
  <c r="HW27" i="18"/>
  <c r="HW26" i="18"/>
  <c r="HW25" i="18"/>
  <c r="HW24" i="18"/>
  <c r="HW23" i="18"/>
  <c r="HW22" i="18"/>
  <c r="HW21" i="18"/>
  <c r="HW20" i="18"/>
  <c r="HW19" i="18"/>
  <c r="HW18" i="18"/>
  <c r="HW17" i="18"/>
  <c r="HW16" i="18"/>
  <c r="HW15" i="18"/>
  <c r="BE10" i="19" l="1"/>
  <c r="BE12" i="19"/>
  <c r="BE14" i="19"/>
  <c r="BE16" i="19"/>
  <c r="BE18" i="19"/>
  <c r="BE20" i="19"/>
  <c r="BE22" i="19"/>
  <c r="BE24" i="19"/>
  <c r="BE26" i="19"/>
  <c r="BE28" i="19"/>
  <c r="BE30" i="19"/>
  <c r="BE32" i="19"/>
  <c r="BE34" i="19"/>
  <c r="BE36" i="19"/>
  <c r="BE38" i="19"/>
  <c r="BE40" i="19"/>
  <c r="BE42" i="19"/>
  <c r="BE44" i="19"/>
  <c r="BE46" i="19"/>
  <c r="BE48" i="19"/>
  <c r="BE50" i="19"/>
  <c r="BE52" i="19"/>
  <c r="BE54" i="19"/>
  <c r="BE56" i="19"/>
  <c r="BE58" i="19"/>
  <c r="BE60" i="19"/>
  <c r="BE62" i="19"/>
  <c r="BE64" i="19"/>
  <c r="BE66" i="19"/>
  <c r="BE68" i="19"/>
  <c r="BE70" i="19"/>
  <c r="BE72" i="19"/>
  <c r="BE74" i="19"/>
  <c r="BE76" i="19"/>
  <c r="BE78" i="19"/>
  <c r="BE80" i="19"/>
  <c r="BE82" i="19"/>
  <c r="BE84" i="19"/>
  <c r="BE86" i="19"/>
  <c r="BE90" i="19"/>
  <c r="BE92" i="19"/>
  <c r="BE94" i="19"/>
  <c r="BE96" i="19"/>
  <c r="BE98" i="19"/>
  <c r="BE100" i="19"/>
  <c r="BE102" i="19"/>
  <c r="BE104" i="19"/>
  <c r="BE106" i="19"/>
  <c r="BE108" i="19"/>
  <c r="BE110" i="19"/>
  <c r="BE112" i="19"/>
  <c r="BE114" i="19"/>
  <c r="BE116" i="19"/>
  <c r="BE118" i="19"/>
  <c r="BE120" i="19"/>
  <c r="BE122" i="19"/>
  <c r="BE124" i="19"/>
  <c r="BE126" i="19"/>
  <c r="BE128" i="19"/>
  <c r="BE130" i="19"/>
  <c r="BE132" i="19"/>
  <c r="BE89" i="19"/>
  <c r="BE91" i="19"/>
  <c r="BE93" i="19"/>
  <c r="BE95" i="19"/>
  <c r="BE97" i="19"/>
  <c r="BE99" i="19"/>
  <c r="BE101" i="19"/>
  <c r="BE103" i="19"/>
  <c r="BE105" i="19"/>
  <c r="BE107" i="19"/>
  <c r="BE109" i="19"/>
  <c r="BE111" i="19"/>
  <c r="BE113" i="19"/>
  <c r="BE115" i="19"/>
  <c r="BE117" i="19"/>
  <c r="BE119" i="19"/>
  <c r="BE121" i="19"/>
  <c r="BE123" i="19"/>
  <c r="BE125" i="19"/>
  <c r="BE127" i="19"/>
  <c r="BE129" i="19"/>
  <c r="BE131" i="19"/>
  <c r="BE133" i="19"/>
  <c r="BE13" i="19"/>
  <c r="BE17" i="19"/>
  <c r="BE21" i="19"/>
  <c r="BE25" i="19"/>
  <c r="BE29" i="19"/>
  <c r="BE33" i="19"/>
  <c r="BE37" i="19"/>
  <c r="BE41" i="19"/>
  <c r="BE45" i="19"/>
  <c r="BE49" i="19"/>
  <c r="BE53" i="19"/>
  <c r="BE57" i="19"/>
  <c r="BE61" i="19"/>
  <c r="BE65" i="19"/>
  <c r="BE69" i="19"/>
  <c r="BE73" i="19"/>
  <c r="BE77" i="19"/>
  <c r="BE81" i="19"/>
  <c r="BE85" i="19"/>
  <c r="BE88" i="19"/>
  <c r="BE11" i="19"/>
  <c r="BE15" i="19"/>
  <c r="BE19" i="19"/>
  <c r="BE23" i="19"/>
  <c r="BE27" i="19"/>
  <c r="BE31" i="19"/>
  <c r="BE35" i="19"/>
  <c r="BE39" i="19"/>
  <c r="BE43" i="19"/>
  <c r="BE47" i="19"/>
  <c r="BE51" i="19"/>
  <c r="BE55" i="19"/>
  <c r="BE59" i="19"/>
  <c r="BE63" i="19"/>
  <c r="BE67" i="19"/>
  <c r="BE71" i="19"/>
  <c r="BE75" i="19"/>
  <c r="BE79" i="19"/>
  <c r="BE83" i="19"/>
  <c r="BE87" i="19"/>
  <c r="AJ29" i="6" l="1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26" i="6"/>
  <c r="AJ27" i="6"/>
  <c r="BD42" i="6"/>
  <c r="BD40" i="6"/>
  <c r="BD35" i="6"/>
  <c r="BD32" i="6"/>
  <c r="BD30" i="6"/>
  <c r="BD27" i="6"/>
  <c r="BD26" i="6"/>
  <c r="BD25" i="6"/>
  <c r="BD22" i="6"/>
  <c r="BD17" i="6"/>
  <c r="BD15" i="6"/>
  <c r="AZ42" i="6"/>
  <c r="AZ40" i="6"/>
  <c r="AZ35" i="6"/>
  <c r="AZ32" i="6"/>
  <c r="AZ30" i="6"/>
  <c r="AZ27" i="6"/>
  <c r="AZ26" i="6"/>
  <c r="AZ25" i="6"/>
  <c r="AZ22" i="6"/>
  <c r="AZ17" i="6"/>
  <c r="AZ15" i="6"/>
  <c r="AV42" i="6"/>
  <c r="AV40" i="6"/>
  <c r="AV35" i="6"/>
  <c r="AV32" i="6"/>
  <c r="AV30" i="6"/>
  <c r="AV27" i="6"/>
  <c r="AV26" i="6"/>
  <c r="AV25" i="6"/>
  <c r="AV22" i="6"/>
  <c r="AV17" i="6"/>
  <c r="AV15" i="6"/>
  <c r="AR42" i="6"/>
  <c r="AR40" i="6"/>
  <c r="AR35" i="6"/>
  <c r="AR32" i="6"/>
  <c r="AR30" i="6"/>
  <c r="AR27" i="6"/>
  <c r="AR26" i="6"/>
  <c r="AR25" i="6"/>
  <c r="AR22" i="6"/>
  <c r="AR17" i="6"/>
  <c r="AR15" i="6"/>
  <c r="AN42" i="6"/>
  <c r="AN40" i="6"/>
  <c r="AN35" i="6"/>
  <c r="AN32" i="6"/>
  <c r="AN30" i="6"/>
  <c r="AN27" i="6"/>
  <c r="AN26" i="6"/>
  <c r="AN25" i="6"/>
  <c r="AN22" i="6"/>
  <c r="AN15" i="6"/>
  <c r="AN17" i="6"/>
  <c r="AJ17" i="6"/>
  <c r="AJ22" i="6"/>
  <c r="AJ25" i="6"/>
  <c r="AJ15" i="6"/>
  <c r="AF42" i="6"/>
  <c r="AF40" i="6"/>
  <c r="AF35" i="6"/>
  <c r="AF32" i="6"/>
  <c r="AF30" i="6"/>
  <c r="AF27" i="6"/>
  <c r="AF26" i="6"/>
  <c r="AF25" i="6"/>
  <c r="AF22" i="6"/>
  <c r="AF17" i="6"/>
  <c r="AF15" i="6"/>
  <c r="AB42" i="6"/>
  <c r="AB40" i="6"/>
  <c r="AB35" i="6"/>
  <c r="AB32" i="6"/>
  <c r="AB30" i="6"/>
  <c r="AB27" i="6"/>
  <c r="AB26" i="6"/>
  <c r="AB25" i="6"/>
  <c r="AB22" i="6"/>
  <c r="AB17" i="6"/>
  <c r="AB15" i="6"/>
  <c r="BE15" i="6" l="1"/>
  <c r="BE22" i="6"/>
  <c r="BE25" i="6"/>
  <c r="BE27" i="6"/>
  <c r="BE17" i="6"/>
  <c r="BE26" i="6"/>
  <c r="BE30" i="6"/>
  <c r="BE35" i="6"/>
  <c r="BE42" i="6"/>
  <c r="BE40" i="6"/>
  <c r="BE32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R127" i="6"/>
  <c r="AR128" i="6"/>
  <c r="AR129" i="6"/>
  <c r="AR130" i="6"/>
  <c r="AR131" i="6"/>
  <c r="AR132" i="6"/>
  <c r="AR133" i="6"/>
  <c r="AR134" i="6"/>
  <c r="AR135" i="6"/>
  <c r="AR136" i="6"/>
  <c r="AR137" i="6"/>
  <c r="AR138" i="6"/>
  <c r="AR139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B131" i="6"/>
  <c r="AB132" i="6"/>
  <c r="AB133" i="6"/>
  <c r="AB134" i="6"/>
  <c r="AB135" i="6"/>
  <c r="AB136" i="6"/>
  <c r="AB137" i="6"/>
  <c r="AB138" i="6"/>
  <c r="AB139" i="6"/>
  <c r="AB127" i="6"/>
  <c r="AB128" i="6"/>
  <c r="AB129" i="6"/>
  <c r="AB130" i="6"/>
  <c r="BE139" i="6" l="1"/>
  <c r="BE135" i="6"/>
  <c r="BE131" i="6"/>
  <c r="BE137" i="6"/>
  <c r="BE133" i="6"/>
  <c r="BE130" i="6"/>
  <c r="BE128" i="6"/>
  <c r="BE129" i="6"/>
  <c r="BE127" i="6"/>
  <c r="BE138" i="6"/>
  <c r="BE136" i="6"/>
  <c r="BE134" i="6"/>
  <c r="BE132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54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R103" i="6"/>
  <c r="AR104" i="6"/>
  <c r="AR105" i="6"/>
  <c r="AR106" i="6"/>
  <c r="AR107" i="6"/>
  <c r="AR108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54" i="6"/>
  <c r="AF55" i="6"/>
  <c r="AF56" i="6"/>
  <c r="BE123" i="6" l="1"/>
  <c r="BE119" i="6"/>
  <c r="BE115" i="6"/>
  <c r="BE111" i="6"/>
  <c r="BE107" i="6"/>
  <c r="BE103" i="6"/>
  <c r="BE99" i="6"/>
  <c r="BE95" i="6"/>
  <c r="BE91" i="6"/>
  <c r="BE87" i="6"/>
  <c r="BE83" i="6"/>
  <c r="BE69" i="6"/>
  <c r="BE65" i="6"/>
  <c r="BE61" i="6"/>
  <c r="BE57" i="6"/>
  <c r="BE121" i="6"/>
  <c r="BE113" i="6"/>
  <c r="BE105" i="6"/>
  <c r="BE97" i="6"/>
  <c r="BE89" i="6"/>
  <c r="BE81" i="6"/>
  <c r="BE63" i="6"/>
  <c r="BE54" i="6"/>
  <c r="BE117" i="6"/>
  <c r="BE101" i="6"/>
  <c r="BE85" i="6"/>
  <c r="BE59" i="6"/>
  <c r="BE55" i="6"/>
  <c r="BE125" i="6"/>
  <c r="BE109" i="6"/>
  <c r="BE93" i="6"/>
  <c r="BE67" i="6"/>
  <c r="BE56" i="6"/>
  <c r="BE126" i="6"/>
  <c r="BE124" i="6"/>
  <c r="BE122" i="6"/>
  <c r="BE120" i="6"/>
  <c r="BE118" i="6"/>
  <c r="BE116" i="6"/>
  <c r="BE114" i="6"/>
  <c r="BE112" i="6"/>
  <c r="BE110" i="6"/>
  <c r="BE108" i="6"/>
  <c r="BE106" i="6"/>
  <c r="BE104" i="6"/>
  <c r="BE102" i="6"/>
  <c r="BE100" i="6"/>
  <c r="BE98" i="6"/>
  <c r="BE96" i="6"/>
  <c r="BE94" i="6"/>
  <c r="BE92" i="6"/>
  <c r="BE90" i="6"/>
  <c r="BE88" i="6"/>
  <c r="BE86" i="6"/>
  <c r="BE84" i="6"/>
  <c r="BE82" i="6"/>
  <c r="BE80" i="6"/>
  <c r="BE68" i="6"/>
  <c r="BE66" i="6"/>
  <c r="BE64" i="6"/>
  <c r="BE62" i="6"/>
  <c r="BE60" i="6"/>
  <c r="BE58" i="6"/>
  <c r="AV2" i="6" l="1"/>
  <c r="AB46" i="6" l="1"/>
  <c r="AF46" i="6"/>
  <c r="AJ46" i="6"/>
  <c r="AN46" i="6"/>
  <c r="AR46" i="6"/>
  <c r="AV46" i="6"/>
  <c r="AZ46" i="6"/>
  <c r="BD46" i="6"/>
  <c r="AB47" i="6"/>
  <c r="AF47" i="6"/>
  <c r="AJ47" i="6"/>
  <c r="AN47" i="6"/>
  <c r="AR47" i="6"/>
  <c r="AV47" i="6"/>
  <c r="AZ47" i="6"/>
  <c r="BD47" i="6"/>
  <c r="AB50" i="6"/>
  <c r="AF50" i="6"/>
  <c r="AJ50" i="6"/>
  <c r="AN50" i="6"/>
  <c r="AR50" i="6"/>
  <c r="AV50" i="6"/>
  <c r="AZ50" i="6"/>
  <c r="BD50" i="6"/>
  <c r="AB51" i="6"/>
  <c r="AF51" i="6"/>
  <c r="AJ51" i="6"/>
  <c r="AN51" i="6"/>
  <c r="AR51" i="6"/>
  <c r="AV51" i="6"/>
  <c r="AZ51" i="6"/>
  <c r="BD51" i="6"/>
  <c r="AB52" i="6"/>
  <c r="AF52" i="6"/>
  <c r="AJ52" i="6"/>
  <c r="AN52" i="6"/>
  <c r="AR52" i="6"/>
  <c r="AV52" i="6"/>
  <c r="AZ52" i="6"/>
  <c r="BD52" i="6"/>
  <c r="AB53" i="6"/>
  <c r="AF53" i="6"/>
  <c r="AJ53" i="6"/>
  <c r="AN53" i="6"/>
  <c r="AR53" i="6"/>
  <c r="AV53" i="6"/>
  <c r="AZ53" i="6"/>
  <c r="BD53" i="6"/>
  <c r="BE50" i="6" l="1"/>
  <c r="BE47" i="6"/>
  <c r="BE46" i="6"/>
  <c r="BE53" i="6"/>
  <c r="BE51" i="6"/>
  <c r="BE52" i="6"/>
  <c r="AB10" i="6"/>
  <c r="AF10" i="6"/>
  <c r="AJ10" i="6"/>
  <c r="AN10" i="6"/>
  <c r="AR10" i="6"/>
  <c r="AV10" i="6"/>
  <c r="AB11" i="6"/>
  <c r="AF11" i="6"/>
  <c r="AJ11" i="6"/>
  <c r="AN11" i="6"/>
  <c r="AR11" i="6"/>
  <c r="AV11" i="6"/>
  <c r="AZ11" i="6"/>
  <c r="BD11" i="6"/>
  <c r="AB13" i="6"/>
  <c r="AF13" i="6"/>
  <c r="AJ13" i="6"/>
  <c r="AN13" i="6"/>
  <c r="AR13" i="6"/>
  <c r="AV13" i="6"/>
  <c r="AZ13" i="6"/>
  <c r="BD13" i="6"/>
  <c r="AB14" i="6"/>
  <c r="AF14" i="6"/>
  <c r="AJ14" i="6"/>
  <c r="AN14" i="6"/>
  <c r="AR14" i="6"/>
  <c r="AV14" i="6"/>
  <c r="AZ14" i="6"/>
  <c r="BD14" i="6"/>
  <c r="AB16" i="6"/>
  <c r="AF16" i="6"/>
  <c r="AJ16" i="6"/>
  <c r="AN16" i="6"/>
  <c r="AR16" i="6"/>
  <c r="AV16" i="6"/>
  <c r="AZ16" i="6"/>
  <c r="BD16" i="6"/>
  <c r="AB19" i="6"/>
  <c r="AF19" i="6"/>
  <c r="AJ19" i="6"/>
  <c r="AN19" i="6"/>
  <c r="AR19" i="6"/>
  <c r="AV19" i="6"/>
  <c r="AZ19" i="6"/>
  <c r="BD19" i="6"/>
  <c r="AB20" i="6"/>
  <c r="AF20" i="6"/>
  <c r="AJ20" i="6"/>
  <c r="AN20" i="6"/>
  <c r="AR20" i="6"/>
  <c r="AV20" i="6"/>
  <c r="AZ20" i="6"/>
  <c r="BD20" i="6"/>
  <c r="AB12" i="6"/>
  <c r="AF12" i="6"/>
  <c r="AJ12" i="6"/>
  <c r="AN12" i="6"/>
  <c r="AR12" i="6"/>
  <c r="AV12" i="6"/>
  <c r="AZ12" i="6"/>
  <c r="BD12" i="6"/>
  <c r="AB23" i="6"/>
  <c r="AF23" i="6"/>
  <c r="AJ23" i="6"/>
  <c r="AN23" i="6"/>
  <c r="AR23" i="6"/>
  <c r="AV23" i="6"/>
  <c r="AZ23" i="6"/>
  <c r="BD23" i="6"/>
  <c r="AB24" i="6"/>
  <c r="AF24" i="6"/>
  <c r="AJ24" i="6"/>
  <c r="AN24" i="6"/>
  <c r="AR24" i="6"/>
  <c r="AV24" i="6"/>
  <c r="AZ24" i="6"/>
  <c r="BD24" i="6"/>
  <c r="AB29" i="6"/>
  <c r="AF29" i="6"/>
  <c r="AN29" i="6"/>
  <c r="AR29" i="6"/>
  <c r="AV29" i="6"/>
  <c r="AZ29" i="6"/>
  <c r="BD29" i="6"/>
  <c r="AB31" i="6"/>
  <c r="AF31" i="6"/>
  <c r="AN31" i="6"/>
  <c r="AR31" i="6"/>
  <c r="AV31" i="6"/>
  <c r="AZ31" i="6"/>
  <c r="BD31" i="6"/>
  <c r="AB33" i="6"/>
  <c r="AF33" i="6"/>
  <c r="AN33" i="6"/>
  <c r="AR33" i="6"/>
  <c r="AV33" i="6"/>
  <c r="AZ33" i="6"/>
  <c r="BD33" i="6"/>
  <c r="AB34" i="6"/>
  <c r="AF34" i="6"/>
  <c r="AN34" i="6"/>
  <c r="AR34" i="6"/>
  <c r="AV34" i="6"/>
  <c r="AZ34" i="6"/>
  <c r="BD34" i="6"/>
  <c r="AB36" i="6"/>
  <c r="AF36" i="6"/>
  <c r="AN36" i="6"/>
  <c r="AR36" i="6"/>
  <c r="AV36" i="6"/>
  <c r="AZ36" i="6"/>
  <c r="BD36" i="6"/>
  <c r="AB37" i="6"/>
  <c r="AF37" i="6"/>
  <c r="AN37" i="6"/>
  <c r="AR37" i="6"/>
  <c r="AV37" i="6"/>
  <c r="AZ37" i="6"/>
  <c r="BD37" i="6"/>
  <c r="AB38" i="6"/>
  <c r="AF38" i="6"/>
  <c r="AN38" i="6"/>
  <c r="AR38" i="6"/>
  <c r="AV38" i="6"/>
  <c r="AZ38" i="6"/>
  <c r="BD38" i="6"/>
  <c r="AB39" i="6"/>
  <c r="AF39" i="6"/>
  <c r="AN39" i="6"/>
  <c r="AR39" i="6"/>
  <c r="AV39" i="6"/>
  <c r="AZ39" i="6"/>
  <c r="BD39" i="6"/>
  <c r="AB41" i="6"/>
  <c r="AF41" i="6"/>
  <c r="AN41" i="6"/>
  <c r="AR41" i="6"/>
  <c r="AV41" i="6"/>
  <c r="AZ41" i="6"/>
  <c r="BD41" i="6"/>
  <c r="AB43" i="6"/>
  <c r="AF43" i="6"/>
  <c r="AN43" i="6"/>
  <c r="AR43" i="6"/>
  <c r="AV43" i="6"/>
  <c r="AZ43" i="6"/>
  <c r="BD43" i="6"/>
  <c r="AB44" i="6"/>
  <c r="AF44" i="6"/>
  <c r="AN44" i="6"/>
  <c r="AR44" i="6"/>
  <c r="AV44" i="6"/>
  <c r="AZ44" i="6"/>
  <c r="BD44" i="6"/>
  <c r="BE6" i="6"/>
  <c r="BE10" i="6" l="1"/>
  <c r="BE36" i="6"/>
  <c r="BE41" i="6"/>
  <c r="BE33" i="6"/>
  <c r="BE38" i="6"/>
  <c r="BE37" i="6"/>
  <c r="BE24" i="6"/>
  <c r="BE23" i="6"/>
  <c r="BE12" i="6"/>
  <c r="BE20" i="6"/>
  <c r="BE19" i="6"/>
  <c r="BE16" i="6"/>
  <c r="BE14" i="6"/>
  <c r="BE13" i="6"/>
  <c r="BE39" i="6"/>
  <c r="BE34" i="6"/>
  <c r="BE31" i="6"/>
  <c r="BE29" i="6"/>
  <c r="BE43" i="6"/>
  <c r="BE44" i="6"/>
  <c r="BE11" i="6"/>
  <c r="V3" i="6" l="1"/>
  <c r="AV3" i="17" l="1"/>
  <c r="AV2" i="17"/>
  <c r="HW100" i="15" l="1"/>
  <c r="HW99" i="15"/>
  <c r="HW98" i="15"/>
  <c r="HW97" i="15"/>
  <c r="HW96" i="15"/>
  <c r="HW95" i="15"/>
  <c r="HW94" i="15"/>
  <c r="HW93" i="15"/>
  <c r="HW92" i="15"/>
  <c r="HW91" i="15"/>
  <c r="HW90" i="15"/>
  <c r="HW89" i="15"/>
  <c r="HW88" i="15"/>
  <c r="HW87" i="15"/>
  <c r="HW86" i="15"/>
  <c r="HW85" i="15"/>
  <c r="HW84" i="15"/>
  <c r="HW83" i="15"/>
  <c r="HW82" i="15"/>
  <c r="HW81" i="15"/>
  <c r="HW80" i="15"/>
  <c r="HW79" i="15"/>
  <c r="HW78" i="15"/>
  <c r="HW77" i="15"/>
  <c r="HW76" i="15"/>
  <c r="HW75" i="15"/>
  <c r="HW74" i="15"/>
  <c r="HW73" i="15"/>
  <c r="HW72" i="15"/>
  <c r="HW71" i="15"/>
  <c r="HW70" i="15"/>
  <c r="HW69" i="15"/>
  <c r="HW68" i="15"/>
  <c r="HW67" i="15"/>
  <c r="HW66" i="15"/>
  <c r="HW65" i="15"/>
  <c r="HW64" i="15"/>
  <c r="HW63" i="15"/>
  <c r="HW62" i="15"/>
  <c r="HW61" i="15"/>
  <c r="HW60" i="15"/>
  <c r="HW59" i="15"/>
  <c r="HW58" i="15"/>
  <c r="HW57" i="15"/>
  <c r="HW56" i="15"/>
  <c r="HW55" i="15"/>
  <c r="HW54" i="15"/>
  <c r="HW53" i="15"/>
  <c r="HW52" i="15"/>
  <c r="HW51" i="15"/>
  <c r="HW50" i="15"/>
  <c r="HW49" i="15"/>
  <c r="HW48" i="15"/>
  <c r="HW47" i="15"/>
  <c r="HW46" i="15"/>
  <c r="HW45" i="15"/>
  <c r="HW44" i="15"/>
  <c r="HW43" i="15"/>
  <c r="HW42" i="15"/>
  <c r="HW41" i="15"/>
  <c r="HW40" i="15"/>
  <c r="HW39" i="15"/>
  <c r="HW38" i="15"/>
  <c r="HW37" i="15"/>
  <c r="HW36" i="15"/>
  <c r="HW35" i="15"/>
  <c r="HW34" i="15"/>
  <c r="HW33" i="15"/>
  <c r="HW32" i="15"/>
  <c r="HW31" i="15"/>
  <c r="HW30" i="15"/>
  <c r="HW29" i="15"/>
  <c r="HW28" i="15"/>
  <c r="HW27" i="15"/>
  <c r="HW26" i="15"/>
  <c r="HW25" i="15"/>
  <c r="HW23" i="15"/>
  <c r="HW22" i="15"/>
  <c r="HW21" i="15"/>
  <c r="HW20" i="15"/>
  <c r="HW19" i="15"/>
  <c r="HW18" i="15"/>
  <c r="HW17" i="15"/>
  <c r="HW16" i="15"/>
  <c r="HW15" i="15"/>
  <c r="HW14" i="15"/>
  <c r="HW13" i="15"/>
  <c r="AV3" i="6" l="1"/>
</calcChain>
</file>

<file path=xl/sharedStrings.xml><?xml version="1.0" encoding="utf-8"?>
<sst xmlns="http://schemas.openxmlformats.org/spreadsheetml/2006/main" count="960" uniqueCount="145">
  <si>
    <t>م</t>
  </si>
  <si>
    <t>الجنس</t>
  </si>
  <si>
    <t>محل وتاريخ الميلاد</t>
  </si>
  <si>
    <t>صالة</t>
  </si>
  <si>
    <t xml:space="preserve">قطاع التقويم والتوجيه </t>
  </si>
  <si>
    <t>رقم الجلوس</t>
  </si>
  <si>
    <t>العام</t>
  </si>
  <si>
    <t xml:space="preserve">مكان وتاريخ الحصول على </t>
  </si>
  <si>
    <t>اسم الطالب رباعيا مع اللقب</t>
  </si>
  <si>
    <t xml:space="preserve">           بسم الله الرحمن الرحيم                            </t>
  </si>
  <si>
    <t>الجمهوريه اليمنيه</t>
  </si>
  <si>
    <t>وزاره التربيه والتعليم</t>
  </si>
  <si>
    <t>المديريه :</t>
  </si>
  <si>
    <t>المحافظه :</t>
  </si>
  <si>
    <t>تعــــز</t>
  </si>
  <si>
    <r>
      <t>القسم</t>
    </r>
    <r>
      <rPr>
        <b/>
        <sz val="16"/>
        <rFont val="Arial"/>
        <family val="2"/>
      </rPr>
      <t xml:space="preserve"> </t>
    </r>
    <r>
      <rPr>
        <b/>
        <sz val="16"/>
        <rFont val="PT Bold Heading"/>
        <charset val="178"/>
      </rPr>
      <t>( العلمي )</t>
    </r>
  </si>
  <si>
    <t>الجنسيه</t>
  </si>
  <si>
    <t>مكان وتاريخ الحصول على</t>
  </si>
  <si>
    <t>بيانات التقدم</t>
  </si>
  <si>
    <t>الصف التاسع اساسي</t>
  </si>
  <si>
    <t>اول ثانــــــــــــوي</t>
  </si>
  <si>
    <t>ثانــي ثانـــــــــــــوي</t>
  </si>
  <si>
    <t>السابقه</t>
  </si>
  <si>
    <t>المديريه</t>
  </si>
  <si>
    <t>المحافظه</t>
  </si>
  <si>
    <t>المدرسه</t>
  </si>
  <si>
    <t>ملاحظات</t>
  </si>
  <si>
    <t>القرآن الكريم</t>
  </si>
  <si>
    <t>التربية الاسلامية</t>
  </si>
  <si>
    <t>اللغة العربية</t>
  </si>
  <si>
    <t>اللغة الانجليزية</t>
  </si>
  <si>
    <t>الرياضيات</t>
  </si>
  <si>
    <t>الفيزياء</t>
  </si>
  <si>
    <t xml:space="preserve">الكيمياء </t>
  </si>
  <si>
    <t>الاحياء</t>
  </si>
  <si>
    <t>المجموع الكلي</t>
  </si>
  <si>
    <t>1ث</t>
  </si>
  <si>
    <t>2ث</t>
  </si>
  <si>
    <t>3ث</t>
  </si>
  <si>
    <t xml:space="preserve">مج </t>
  </si>
  <si>
    <t>اليوم</t>
  </si>
  <si>
    <t>الشهر</t>
  </si>
  <si>
    <t>مدرسة</t>
  </si>
  <si>
    <t>البيانات الاساسيه للمتقدمين لامتحان الثانويه العامه للعام الدراسي (2019/2018م)</t>
  </si>
  <si>
    <t>كشف رصد درجات المحصلة الدراسية التراكمية  للصف الثالث الثانوي  للعام الدراسي ( 2019/2018م )</t>
  </si>
  <si>
    <t>الاداره العامه للااختبارات</t>
  </si>
  <si>
    <t xml:space="preserve"> </t>
  </si>
  <si>
    <t>الجمهورية اليمنية</t>
  </si>
  <si>
    <t>وزارة التربية والتعليم</t>
  </si>
  <si>
    <t>المدرسة:</t>
  </si>
  <si>
    <t>المديرية:</t>
  </si>
  <si>
    <t>الإدارة العامة للامتحانات</t>
  </si>
  <si>
    <t>المحافظة:</t>
  </si>
  <si>
    <t>تعـــز</t>
  </si>
  <si>
    <t>اسم الطالب رباعياً مع اللقب</t>
  </si>
  <si>
    <t>الجنسية</t>
  </si>
  <si>
    <t>مواد</t>
  </si>
  <si>
    <t>الصف الأول الثانوي</t>
  </si>
  <si>
    <t>الصف الثاني الثانوي</t>
  </si>
  <si>
    <t>للعام</t>
  </si>
  <si>
    <t>الاكمال</t>
  </si>
  <si>
    <t>المديرية</t>
  </si>
  <si>
    <t>المحافظة</t>
  </si>
  <si>
    <t>التاريخ</t>
  </si>
  <si>
    <t>المدرسة</t>
  </si>
  <si>
    <t>قسم الاختبارات بالشمايتين</t>
  </si>
  <si>
    <t xml:space="preserve">              بسم الله الرحمن الرحيم                            </t>
  </si>
  <si>
    <t>الشمايتين</t>
  </si>
  <si>
    <t>بسم الله الرحمن الرحيم</t>
  </si>
  <si>
    <t>مدرسة:</t>
  </si>
  <si>
    <r>
      <t xml:space="preserve">    القسم</t>
    </r>
    <r>
      <rPr>
        <b/>
        <sz val="20"/>
        <rFont val="Arial"/>
        <family val="2"/>
      </rPr>
      <t xml:space="preserve"> </t>
    </r>
    <r>
      <rPr>
        <b/>
        <sz val="20"/>
        <rFont val="PT Bold Heading"/>
        <charset val="178"/>
      </rPr>
      <t>(العلمي)</t>
    </r>
  </si>
  <si>
    <t>المديريه:</t>
  </si>
  <si>
    <t>المحافظه:</t>
  </si>
  <si>
    <t>الاداره العامه للاختبارات</t>
  </si>
  <si>
    <t>الإدارة العامة للاختبارات</t>
  </si>
  <si>
    <r>
      <t xml:space="preserve">       </t>
    </r>
    <r>
      <rPr>
        <b/>
        <sz val="12"/>
        <rFont val="Arial"/>
        <family val="2"/>
      </rPr>
      <t xml:space="preserve">    بسم الله الرحمن الرحيم   </t>
    </r>
    <r>
      <rPr>
        <b/>
        <sz val="11"/>
        <rFont val="Arial"/>
        <family val="2"/>
      </rPr>
      <t xml:space="preserve">                         </t>
    </r>
  </si>
  <si>
    <t xml:space="preserve">                         بسم الله الرحمن الرحيم                            </t>
  </si>
  <si>
    <t>ادبي</t>
  </si>
  <si>
    <r>
      <t>القسم</t>
    </r>
    <r>
      <rPr>
        <b/>
        <sz val="16"/>
        <rFont val="Arial"/>
        <family val="2"/>
      </rPr>
      <t xml:space="preserve"> </t>
    </r>
    <r>
      <rPr>
        <b/>
        <sz val="16"/>
        <rFont val="PT Bold Heading"/>
        <charset val="178"/>
      </rPr>
      <t>( الادبي )</t>
    </r>
  </si>
  <si>
    <t>الجغرافيا</t>
  </si>
  <si>
    <t>المواد الفلسفية</t>
  </si>
  <si>
    <t>البيانات الاساسيه للمتقدمين لامتحان الثانويه العامه للعام الدراسي (2026/2025م)</t>
  </si>
  <si>
    <t>كشف رصد درجات المحصلة الدراسية التراكمية  للصف الثالث الثانوي  للعام الدراسي ( 2026/2025م )</t>
  </si>
  <si>
    <r>
      <t xml:space="preserve">  البيانات الأساسية للمتقدمين لامتحان انهاءمرحلة التعليم الثانوي للعام الدراسي 2025 / 2026م</t>
    </r>
    <r>
      <rPr>
        <b/>
        <sz val="14"/>
        <rFont val="PT Bold Heading"/>
        <charset val="178"/>
      </rPr>
      <t xml:space="preserve">      </t>
    </r>
    <r>
      <rPr>
        <b/>
        <u/>
        <sz val="16"/>
        <rFont val="Monotype Koufi"/>
        <charset val="178"/>
      </rPr>
      <t xml:space="preserve"> خاص بالطلاب المكملين</t>
    </r>
  </si>
  <si>
    <t>2025/2024</t>
  </si>
  <si>
    <r>
      <t xml:space="preserve">   البيانات الأساسية للمتقدمين لامتحان انهاءمرحلة التعليم الثانوي للعام الدراسي 2025 / 2026م</t>
    </r>
    <r>
      <rPr>
        <b/>
        <sz val="14"/>
        <rFont val="PT Bold Heading"/>
        <charset val="178"/>
      </rPr>
      <t xml:space="preserve">      </t>
    </r>
    <r>
      <rPr>
        <b/>
        <u/>
        <sz val="14"/>
        <rFont val="Monotype Koufi"/>
        <charset val="178"/>
      </rPr>
      <t xml:space="preserve"> خاص بالطلاب المكملين (الادبي)</t>
    </r>
  </si>
  <si>
    <t>احمد عبدالحكيم سلام محمد الحميدي</t>
  </si>
  <si>
    <t>معين</t>
  </si>
  <si>
    <t>الأمانة</t>
  </si>
  <si>
    <t>ذكر</t>
  </si>
  <si>
    <t>يمني</t>
  </si>
  <si>
    <t>تعز</t>
  </si>
  <si>
    <t>2022-2023</t>
  </si>
  <si>
    <t>الشمايا الغربية</t>
  </si>
  <si>
    <t>2023-2024</t>
  </si>
  <si>
    <t>الشماياالغربية</t>
  </si>
  <si>
    <t>2024-2025</t>
  </si>
  <si>
    <t>بدر وليد عبدالله احمد الحميدي</t>
  </si>
  <si>
    <t xml:space="preserve">سعيد محمد علي عبده سعد </t>
  </si>
  <si>
    <t xml:space="preserve">عبدالرحمن مزاحم محمدالحاج هاشم المسني </t>
  </si>
  <si>
    <t>الميناء</t>
  </si>
  <si>
    <t>الحديدة</t>
  </si>
  <si>
    <t>الثورة</t>
  </si>
  <si>
    <t>عبدالرحمن مؤيد احمد مظفر المحمدي</t>
  </si>
  <si>
    <t xml:space="preserve">عبدالعزيز مروان احمد عبدالمجيدالسروري </t>
  </si>
  <si>
    <t>المظفر</t>
  </si>
  <si>
    <t>2024-202025</t>
  </si>
  <si>
    <t>عبدالواسع صقر عبدالواسع عبده سعد</t>
  </si>
  <si>
    <t xml:space="preserve">عمرو رشاد عبدالكريم شمسان الزريقي </t>
  </si>
  <si>
    <t xml:space="preserve">عمرو عارف سيف عبده الحداد </t>
  </si>
  <si>
    <t xml:space="preserve">مناف عبدالواحد احمد محمدالسروري </t>
  </si>
  <si>
    <t>حمزه غازي سفيان مقبل المسني</t>
  </si>
  <si>
    <t>تسبيح سلطان عبدالله محمد الحميدي</t>
  </si>
  <si>
    <t>الوحدة</t>
  </si>
  <si>
    <t>انثى</t>
  </si>
  <si>
    <t>يمنية</t>
  </si>
  <si>
    <t>اروى</t>
  </si>
  <si>
    <t>حنان محمد علي محمد عون</t>
  </si>
  <si>
    <t>النورحجفات</t>
  </si>
  <si>
    <t>خديجه محمد احمد محمدالكهلاني</t>
  </si>
  <si>
    <t>دعاء انور سفيان عبده الحداد</t>
  </si>
  <si>
    <t>دعاء غازي محمد احمد محمدالكهلاني</t>
  </si>
  <si>
    <t>دنيا طلحة سفيان مقبل المسني</t>
  </si>
  <si>
    <t>راويه رشيد علي محمد عون الزكري</t>
  </si>
  <si>
    <t>ريم هاني سعيد علي سالم</t>
  </si>
  <si>
    <t xml:space="preserve">ريه عبده محمد سعيد الزكري </t>
  </si>
  <si>
    <t>ستر الله سلطان احمد علي القيسي</t>
  </si>
  <si>
    <t>سلمى وضاح عبدالرحمن احمد الحصيني</t>
  </si>
  <si>
    <t>فاطمه سعيد سفيان مقبل المسني</t>
  </si>
  <si>
    <t>ملاك حسن علي صالح المسني</t>
  </si>
  <si>
    <t>1023-2024</t>
  </si>
  <si>
    <t>ملاك رشيد علي سيف السروري</t>
  </si>
  <si>
    <t>ملاك مشير احمد ياسين فارع</t>
  </si>
  <si>
    <t>ندى كهلان مرشد محمدالكهلاني</t>
  </si>
  <si>
    <t>ندوه شمسان علوان علي الحميدي</t>
  </si>
  <si>
    <t>صفاء غازي محمد احمد الكهلاني</t>
  </si>
  <si>
    <t>2018\2019</t>
  </si>
  <si>
    <t>2017\ 2018</t>
  </si>
  <si>
    <t>2021-2022</t>
  </si>
  <si>
    <t>عزيز سند عبدالعزيز احمد الحميدي</t>
  </si>
  <si>
    <t>الشيخ عثمان</t>
  </si>
  <si>
    <t>عدن</t>
  </si>
  <si>
    <t>الفقيدعثمان عبده</t>
  </si>
  <si>
    <t>معتز سند عبدالعزيز احمد الحميدي</t>
  </si>
  <si>
    <t>ميار وجدي سفيان عبده الحداد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</si>
</sst>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4">
    <font>
      <sz val="10"/>
      <name val="Arial"/>
      <charset val="178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u/>
      <sz val="16"/>
      <name val="PT Bold Heading"/>
      <charset val="178"/>
    </font>
    <font>
      <b/>
      <sz val="16"/>
      <name val="Monotype Koufi"/>
      <charset val="178"/>
    </font>
    <font>
      <b/>
      <sz val="16"/>
      <name val="PT Bold Heading"/>
      <charset val="178"/>
    </font>
    <font>
      <sz val="24"/>
      <name val="PT Bold Heading"/>
      <charset val="178"/>
    </font>
    <font>
      <sz val="18"/>
      <name val="PT Bold Heading"/>
      <charset val="178"/>
    </font>
    <font>
      <sz val="18"/>
      <color indexed="8"/>
      <name val="PT Bold Heading"/>
      <charset val="178"/>
    </font>
    <font>
      <b/>
      <sz val="16"/>
      <color indexed="8"/>
      <name val="PT Bold Heading"/>
      <charset val="178"/>
    </font>
    <font>
      <b/>
      <sz val="12"/>
      <color theme="1"/>
      <name val="Arial"/>
      <family val="2"/>
    </font>
    <font>
      <sz val="16"/>
      <name val="MCS Taybah S_U normal."/>
      <charset val="178"/>
    </font>
    <font>
      <b/>
      <sz val="20"/>
      <name val="MCS Taybah S_U normal."/>
      <charset val="178"/>
    </font>
    <font>
      <sz val="20"/>
      <name val="MCS Taybah S_U normal."/>
      <charset val="178"/>
    </font>
    <font>
      <sz val="18"/>
      <name val="MCS Taybah S_U normal."/>
      <charset val="178"/>
    </font>
    <font>
      <b/>
      <u/>
      <sz val="14"/>
      <name val="PT Bold Heading"/>
      <charset val="178"/>
    </font>
    <font>
      <b/>
      <sz val="14"/>
      <name val="PT Bold Heading"/>
      <charset val="178"/>
    </font>
    <font>
      <b/>
      <u/>
      <sz val="16"/>
      <name val="Monotype Koufi"/>
      <charset val="178"/>
    </font>
    <font>
      <b/>
      <u/>
      <sz val="15"/>
      <name val="Arial"/>
      <family val="2"/>
    </font>
    <font>
      <b/>
      <u/>
      <sz val="13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2"/>
      <color indexed="8"/>
      <name val="PT Bold Heading"/>
      <charset val="178"/>
    </font>
    <font>
      <b/>
      <sz val="20"/>
      <name val="Monotype Koufi"/>
      <charset val="178"/>
    </font>
    <font>
      <b/>
      <sz val="20"/>
      <name val="PT Bold Heading"/>
      <charset val="178"/>
    </font>
    <font>
      <sz val="14"/>
      <name val="Arial"/>
      <family val="2"/>
    </font>
    <font>
      <sz val="12"/>
      <name val="Arial"/>
      <family val="2"/>
    </font>
    <font>
      <b/>
      <sz val="14"/>
      <name val="MCS Taybah S_U normal."/>
      <charset val="178"/>
    </font>
    <font>
      <sz val="18"/>
      <name val="Arial"/>
      <family val="2"/>
    </font>
    <font>
      <b/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14"/>
      <name val="Arial"/>
      <family val="2"/>
      <charset val="178"/>
    </font>
    <font>
      <b/>
      <sz val="10"/>
      <name val="Arial"/>
      <family val="2"/>
      <charset val="178"/>
    </font>
    <font>
      <b/>
      <sz val="10"/>
      <name val="PT Bold Heading"/>
      <charset val="178"/>
    </font>
    <font>
      <b/>
      <sz val="10"/>
      <color indexed="8"/>
      <name val="PT Bold Heading"/>
      <charset val="178"/>
    </font>
    <font>
      <b/>
      <sz val="10"/>
      <name val="MCS Taybah S_U normal."/>
      <charset val="178"/>
    </font>
    <font>
      <b/>
      <sz val="16"/>
      <color theme="2" tint="-0.749992370372631"/>
      <name val="Arial"/>
      <family val="2"/>
      <charset val="178"/>
    </font>
    <font>
      <b/>
      <sz val="16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b/>
      <sz val="11"/>
      <name val="Arial"/>
      <family val="2"/>
      <charset val="178"/>
      <scheme val="minor"/>
    </font>
    <font>
      <b/>
      <sz val="20"/>
      <name val="Arial"/>
      <family val="2"/>
      <charset val="178"/>
      <scheme val="minor"/>
    </font>
    <font>
      <b/>
      <sz val="14"/>
      <name val="Arial"/>
      <family val="2"/>
      <charset val="178"/>
      <scheme val="minor"/>
    </font>
    <font>
      <b/>
      <sz val="12"/>
      <name val="Arial"/>
      <family val="2"/>
      <charset val="178"/>
      <scheme val="minor"/>
    </font>
    <font>
      <b/>
      <sz val="12"/>
      <name val="Arial"/>
      <family val="2"/>
      <scheme val="minor"/>
    </font>
    <font>
      <b/>
      <u/>
      <sz val="14"/>
      <name val="Monotype Koufi"/>
      <charset val="178"/>
    </font>
    <font>
      <b/>
      <sz val="13"/>
      <name val="Arial"/>
      <family val="2"/>
    </font>
    <font>
      <b/>
      <sz val="14"/>
      <name val="MCS Jeddah S_U normal."/>
      <charset val="178"/>
    </font>
    <font>
      <b/>
      <u/>
      <sz val="1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2"/>
      <color rgb="FF000000"/>
      <name val="Arial"/>
      <family val="2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6"/>
      <name val="PT Bold Heading"/>
      <charset val="178"/>
    </font>
    <font>
      <sz val="14"/>
      <name val="PT Bold Heading"/>
      <charset val="178"/>
    </font>
    <font>
      <sz val="14"/>
      <color indexed="8"/>
      <name val="PT Bold Heading"/>
      <charset val="178"/>
    </font>
    <font>
      <b/>
      <sz val="18"/>
      <name val="MCS Taybah S_U normal."/>
      <charset val="178"/>
    </font>
    <font>
      <b/>
      <sz val="16"/>
      <name val="MCS Taybah S_U normal."/>
      <charset val="178"/>
    </font>
    <font>
      <b/>
      <sz val="26"/>
      <color rgb="FF000000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48"/>
      <color rgb="FF000000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6"/>
      <color rgb="FF000000"/>
      <name val="MCS Taybah S_U normal."/>
      <charset val="178"/>
    </font>
    <font>
      <b/>
      <sz val="20"/>
      <color theme="1"/>
      <name val="Arial"/>
      <family val="2"/>
    </font>
    <font>
      <b/>
      <sz val="20"/>
      <color rgb="FF000000"/>
      <name val="MCS Taybah S_U normal."/>
      <charset val="178"/>
    </font>
    <font>
      <sz val="26"/>
      <name val="MCS Taybah S_U normal.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medium">
        <color auto="1"/>
      </top>
      <bottom style="medium">
        <color auto="1"/>
      </bottom>
      <diagonal/>
    </border>
    <border>
      <left/>
      <right style="thick">
        <color theme="1"/>
      </right>
      <top style="thick">
        <color theme="1"/>
      </top>
      <bottom style="thin">
        <color auto="1"/>
      </bottom>
      <diagonal/>
    </border>
    <border>
      <left/>
      <right style="thick">
        <color theme="1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615">
    <xf numFmtId="0" fontId="0" fillId="0" borderId="0" xfId="0"/>
    <xf numFmtId="0" fontId="2" fillId="0" borderId="0" xfId="0" applyFont="1" applyAlignment="1">
      <alignment horizontal="center" vertical="center" shrinkToFit="1" readingOrder="2"/>
    </xf>
    <xf numFmtId="0" fontId="3" fillId="0" borderId="0" xfId="0" applyFont="1" applyAlignment="1">
      <alignment horizontal="center" vertical="center" shrinkToFit="1" readingOrder="2"/>
    </xf>
    <xf numFmtId="0" fontId="3" fillId="0" borderId="0" xfId="0" applyFont="1" applyBorder="1" applyAlignment="1">
      <alignment horizontal="center" vertical="center" shrinkToFit="1" readingOrder="2"/>
    </xf>
    <xf numFmtId="49" fontId="2" fillId="0" borderId="13" xfId="0" applyNumberFormat="1" applyFont="1" applyBorder="1" applyAlignment="1">
      <alignment horizontal="center" vertical="center" shrinkToFit="1" readingOrder="2"/>
    </xf>
    <xf numFmtId="1" fontId="2" fillId="0" borderId="12" xfId="0" applyNumberFormat="1" applyFont="1" applyBorder="1" applyAlignment="1">
      <alignment horizontal="center" vertical="center" shrinkToFit="1" readingOrder="2"/>
    </xf>
    <xf numFmtId="0" fontId="2" fillId="0" borderId="15" xfId="0" applyFont="1" applyBorder="1" applyAlignment="1">
      <alignment horizontal="center" vertical="center" shrinkToFit="1" readingOrder="2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 shrinkToFit="1" readingOrder="2"/>
    </xf>
    <xf numFmtId="0" fontId="2" fillId="0" borderId="1" xfId="0" applyFont="1" applyBorder="1" applyAlignment="1">
      <alignment horizontal="center" vertical="center" shrinkToFit="1"/>
    </xf>
    <xf numFmtId="49" fontId="17" fillId="0" borderId="16" xfId="0" applyNumberFormat="1" applyFont="1" applyBorder="1" applyAlignment="1">
      <alignment horizontal="center" vertical="center" shrinkToFit="1"/>
    </xf>
    <xf numFmtId="16" fontId="2" fillId="0" borderId="16" xfId="0" applyNumberFormat="1" applyFont="1" applyBorder="1" applyAlignment="1">
      <alignment horizontal="center" vertical="center" shrinkToFit="1"/>
    </xf>
    <xf numFmtId="0" fontId="3" fillId="0" borderId="15" xfId="0" applyFont="1" applyBorder="1"/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shrinkToFit="1"/>
    </xf>
    <xf numFmtId="164" fontId="6" fillId="0" borderId="0" xfId="0" applyNumberFormat="1" applyFont="1" applyAlignment="1">
      <alignment horizontal="center" vertical="center" shrinkToFit="1" readingOrder="2"/>
    </xf>
    <xf numFmtId="0" fontId="5" fillId="0" borderId="26" xfId="0" applyFont="1" applyBorder="1" applyAlignment="1">
      <alignment horizontal="right" vertical="center" shrinkToFit="1" readingOrder="2"/>
    </xf>
    <xf numFmtId="0" fontId="6" fillId="0" borderId="27" xfId="0" applyFont="1" applyBorder="1" applyAlignment="1">
      <alignment horizontal="center" vertical="center" shrinkToFit="1" readingOrder="2"/>
    </xf>
    <xf numFmtId="0" fontId="0" fillId="0" borderId="28" xfId="0" applyBorder="1" applyAlignment="1">
      <alignment horizontal="center" vertical="center" shrinkToFit="1" readingOrder="2"/>
    </xf>
    <xf numFmtId="0" fontId="3" fillId="0" borderId="0" xfId="0" applyFont="1" applyAlignment="1">
      <alignment horizontal="right" vertical="center" shrinkToFit="1" readingOrder="2"/>
    </xf>
    <xf numFmtId="0" fontId="2" fillId="0" borderId="17" xfId="0" applyFont="1" applyFill="1" applyBorder="1" applyAlignment="1">
      <alignment horizontal="center" vertical="center" shrinkToFit="1" readingOrder="2"/>
    </xf>
    <xf numFmtId="0" fontId="9" fillId="0" borderId="0" xfId="1" applyFont="1" applyFill="1" applyBorder="1" applyAlignment="1">
      <alignment vertical="center" shrinkToFit="1" readingOrder="2"/>
    </xf>
    <xf numFmtId="0" fontId="2" fillId="0" borderId="0" xfId="1" applyFont="1" applyFill="1" applyBorder="1" applyAlignment="1">
      <alignment horizontal="center" vertical="center" shrinkToFit="1" readingOrder="2"/>
    </xf>
    <xf numFmtId="0" fontId="2" fillId="0" borderId="0" xfId="0" applyFont="1" applyBorder="1" applyAlignment="1">
      <alignment horizontal="center" vertical="center" shrinkToFit="1" readingOrder="2"/>
    </xf>
    <xf numFmtId="0" fontId="9" fillId="0" borderId="0" xfId="1" applyFont="1" applyFill="1" applyBorder="1" applyAlignment="1">
      <alignment horizontal="center" vertical="center" shrinkToFit="1" readingOrder="2"/>
    </xf>
    <xf numFmtId="0" fontId="2" fillId="2" borderId="56" xfId="1" applyFont="1" applyFill="1" applyBorder="1" applyAlignment="1">
      <alignment horizontal="center" vertical="center" shrinkToFit="1" readingOrder="2"/>
    </xf>
    <xf numFmtId="0" fontId="2" fillId="0" borderId="44" xfId="0" applyFont="1" applyBorder="1" applyAlignment="1">
      <alignment horizontal="center" vertical="center" shrinkToFit="1" readingOrder="2"/>
    </xf>
    <xf numFmtId="0" fontId="3" fillId="0" borderId="44" xfId="1" applyFont="1" applyBorder="1" applyAlignment="1">
      <alignment horizontal="center" vertical="center" shrinkToFit="1" readingOrder="2"/>
    </xf>
    <xf numFmtId="0" fontId="13" fillId="0" borderId="0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horizontal="center" vertical="center" shrinkToFit="1" readingOrder="2"/>
    </xf>
    <xf numFmtId="0" fontId="2" fillId="2" borderId="3" xfId="0" applyFont="1" applyFill="1" applyBorder="1" applyAlignment="1">
      <alignment horizontal="center" vertical="center" shrinkToFit="1" readingOrder="2"/>
    </xf>
    <xf numFmtId="0" fontId="2" fillId="2" borderId="4" xfId="0" applyFont="1" applyFill="1" applyBorder="1" applyAlignment="1">
      <alignment horizontal="center" vertical="center" shrinkToFit="1" readingOrder="2"/>
    </xf>
    <xf numFmtId="0" fontId="18" fillId="0" borderId="15" xfId="0" applyFont="1" applyFill="1" applyBorder="1" applyAlignment="1">
      <alignment horizontal="right" vertical="center" shrinkToFit="1" readingOrder="2"/>
    </xf>
    <xf numFmtId="0" fontId="18" fillId="0" borderId="14" xfId="0" applyFont="1" applyFill="1" applyBorder="1" applyAlignment="1">
      <alignment horizontal="center" vertical="center" shrinkToFit="1" readingOrder="2"/>
    </xf>
    <xf numFmtId="0" fontId="18" fillId="0" borderId="1" xfId="0" applyFont="1" applyFill="1" applyBorder="1" applyAlignment="1">
      <alignment horizontal="center" vertical="center" shrinkToFit="1" readingOrder="2"/>
    </xf>
    <xf numFmtId="0" fontId="18" fillId="0" borderId="16" xfId="0" applyFont="1" applyFill="1" applyBorder="1" applyAlignment="1">
      <alignment horizontal="center" vertical="center" shrinkToFit="1" readingOrder="2"/>
    </xf>
    <xf numFmtId="1" fontId="18" fillId="0" borderId="14" xfId="0" applyNumberFormat="1" applyFont="1" applyFill="1" applyBorder="1" applyAlignment="1">
      <alignment horizontal="center" vertical="center" shrinkToFit="1" readingOrder="2"/>
    </xf>
    <xf numFmtId="1" fontId="18" fillId="0" borderId="1" xfId="0" applyNumberFormat="1" applyFont="1" applyFill="1" applyBorder="1" applyAlignment="1">
      <alignment horizontal="center" vertical="center" shrinkToFit="1" readingOrder="2"/>
    </xf>
    <xf numFmtId="49" fontId="18" fillId="0" borderId="16" xfId="0" applyNumberFormat="1" applyFont="1" applyFill="1" applyBorder="1" applyAlignment="1">
      <alignment horizontal="center" vertical="center" shrinkToFit="1" readingOrder="2"/>
    </xf>
    <xf numFmtId="49" fontId="18" fillId="0" borderId="13" xfId="0" applyNumberFormat="1" applyFont="1" applyFill="1" applyBorder="1" applyAlignment="1">
      <alignment horizontal="center" vertical="center" shrinkToFit="1" readingOrder="2"/>
    </xf>
    <xf numFmtId="0" fontId="18" fillId="0" borderId="6" xfId="0" applyFont="1" applyFill="1" applyBorder="1" applyAlignment="1">
      <alignment horizontal="center" vertical="center" shrinkToFit="1"/>
    </xf>
    <xf numFmtId="0" fontId="18" fillId="0" borderId="7" xfId="0" applyFont="1" applyFill="1" applyBorder="1" applyAlignment="1">
      <alignment horizontal="center" vertical="center" shrinkToFit="1"/>
    </xf>
    <xf numFmtId="1" fontId="19" fillId="0" borderId="12" xfId="0" applyNumberFormat="1" applyFont="1" applyFill="1" applyBorder="1" applyAlignment="1">
      <alignment horizontal="center" vertical="center" shrinkToFit="1" readingOrder="2"/>
    </xf>
    <xf numFmtId="49" fontId="19" fillId="0" borderId="13" xfId="0" applyNumberFormat="1" applyFont="1" applyFill="1" applyBorder="1" applyAlignment="1">
      <alignment horizontal="center" vertical="center" shrinkToFit="1" readingOrder="2"/>
    </xf>
    <xf numFmtId="0" fontId="19" fillId="0" borderId="17" xfId="0" applyFont="1" applyFill="1" applyBorder="1" applyAlignment="1">
      <alignment horizontal="center" vertical="center" shrinkToFit="1" readingOrder="2"/>
    </xf>
    <xf numFmtId="0" fontId="19" fillId="0" borderId="1" xfId="0" applyFont="1" applyFill="1" applyBorder="1" applyAlignment="1">
      <alignment horizontal="center" vertical="center" shrinkToFit="1" readingOrder="2"/>
    </xf>
    <xf numFmtId="0" fontId="19" fillId="0" borderId="16" xfId="0" applyFont="1" applyFill="1" applyBorder="1" applyAlignment="1">
      <alignment horizontal="center" vertical="center" shrinkToFit="1" readingOrder="2"/>
    </xf>
    <xf numFmtId="0" fontId="19" fillId="0" borderId="14" xfId="0" applyFont="1" applyFill="1" applyBorder="1" applyAlignment="1">
      <alignment horizontal="center" vertical="center" shrinkToFit="1" readingOrder="2"/>
    </xf>
    <xf numFmtId="0" fontId="19" fillId="0" borderId="13" xfId="0" applyFont="1" applyFill="1" applyBorder="1" applyAlignment="1">
      <alignment horizontal="center" vertical="center" shrinkToFit="1" readingOrder="2"/>
    </xf>
    <xf numFmtId="0" fontId="19" fillId="0" borderId="57" xfId="0" applyFont="1" applyFill="1" applyBorder="1" applyAlignment="1">
      <alignment horizontal="center" vertical="center" shrinkToFit="1" readingOrder="2"/>
    </xf>
    <xf numFmtId="0" fontId="20" fillId="0" borderId="12" xfId="0" applyFont="1" applyFill="1" applyBorder="1" applyAlignment="1">
      <alignment horizontal="center" vertical="center" shrinkToFit="1" readingOrder="2"/>
    </xf>
    <xf numFmtId="0" fontId="20" fillId="0" borderId="1" xfId="0" applyFont="1" applyFill="1" applyBorder="1" applyAlignment="1">
      <alignment horizontal="center" vertical="center" shrinkToFit="1" readingOrder="2"/>
    </xf>
    <xf numFmtId="0" fontId="20" fillId="0" borderId="16" xfId="0" applyFont="1" applyFill="1" applyBorder="1" applyAlignment="1">
      <alignment horizontal="center" vertical="center" shrinkToFit="1" readingOrder="2"/>
    </xf>
    <xf numFmtId="0" fontId="20" fillId="0" borderId="14" xfId="0" applyFont="1" applyFill="1" applyBorder="1" applyAlignment="1">
      <alignment horizontal="center" vertical="center" shrinkToFit="1" readingOrder="2"/>
    </xf>
    <xf numFmtId="0" fontId="20" fillId="0" borderId="13" xfId="0" applyFont="1" applyFill="1" applyBorder="1" applyAlignment="1">
      <alignment horizontal="center" vertical="center" shrinkToFit="1" readingOrder="2"/>
    </xf>
    <xf numFmtId="0" fontId="19" fillId="0" borderId="44" xfId="0" applyFont="1" applyFill="1" applyBorder="1" applyAlignment="1">
      <alignment horizontal="center" vertical="center" shrinkToFit="1" readingOrder="2"/>
    </xf>
    <xf numFmtId="0" fontId="20" fillId="0" borderId="0" xfId="0" applyFont="1"/>
    <xf numFmtId="0" fontId="21" fillId="2" borderId="47" xfId="6" applyFont="1" applyFill="1" applyBorder="1" applyAlignment="1">
      <alignment horizontal="center" vertical="center" shrinkToFit="1" readingOrder="2"/>
    </xf>
    <xf numFmtId="0" fontId="21" fillId="2" borderId="25" xfId="6" applyFont="1" applyFill="1" applyBorder="1" applyAlignment="1">
      <alignment horizontal="center" vertical="center" shrinkToFit="1" readingOrder="2"/>
    </xf>
    <xf numFmtId="0" fontId="21" fillId="2" borderId="54" xfId="6" applyFont="1" applyFill="1" applyBorder="1" applyAlignment="1">
      <alignment horizontal="center" vertical="center" shrinkToFit="1" readingOrder="2"/>
    </xf>
    <xf numFmtId="0" fontId="21" fillId="2" borderId="48" xfId="6" applyFont="1" applyFill="1" applyBorder="1" applyAlignment="1">
      <alignment horizontal="center" vertical="center" shrinkToFit="1" readingOrder="2"/>
    </xf>
    <xf numFmtId="0" fontId="21" fillId="2" borderId="47" xfId="1" applyFont="1" applyFill="1" applyBorder="1" applyAlignment="1">
      <alignment horizontal="center" vertical="center" shrinkToFit="1" readingOrder="2"/>
    </xf>
    <xf numFmtId="0" fontId="21" fillId="2" borderId="49" xfId="1" applyFont="1" applyFill="1" applyBorder="1" applyAlignment="1">
      <alignment horizontal="center" vertical="center" shrinkToFit="1" readingOrder="2"/>
    </xf>
    <xf numFmtId="0" fontId="21" fillId="2" borderId="50" xfId="1" applyFont="1" applyFill="1" applyBorder="1" applyAlignment="1">
      <alignment horizontal="center" vertical="center" shrinkToFit="1" readingOrder="2"/>
    </xf>
    <xf numFmtId="0" fontId="1" fillId="0" borderId="0" xfId="1" applyAlignment="1">
      <alignment horizontal="center" vertical="center" shrinkToFit="1" readingOrder="2"/>
    </xf>
    <xf numFmtId="0" fontId="6" fillId="0" borderId="0" xfId="1" applyFont="1" applyAlignment="1">
      <alignment horizontal="center" vertical="center" shrinkToFit="1" readingOrder="2"/>
    </xf>
    <xf numFmtId="0" fontId="3" fillId="0" borderId="0" xfId="1" applyFont="1" applyAlignment="1">
      <alignment horizontal="center" vertical="center" shrinkToFit="1" readingOrder="2"/>
    </xf>
    <xf numFmtId="0" fontId="5" fillId="0" borderId="0" xfId="1" applyFont="1" applyAlignment="1">
      <alignment horizontal="right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3" fillId="0" borderId="0" xfId="1" applyFont="1" applyBorder="1" applyAlignment="1">
      <alignment horizontal="center" vertical="center" shrinkToFit="1" readingOrder="2"/>
    </xf>
    <xf numFmtId="0" fontId="6" fillId="0" borderId="2" xfId="1" applyFont="1" applyBorder="1" applyAlignment="1">
      <alignment horizontal="center" vertical="center" shrinkToFit="1" readingOrder="2"/>
    </xf>
    <xf numFmtId="0" fontId="1" fillId="0" borderId="21" xfId="1" applyBorder="1" applyAlignment="1">
      <alignment horizontal="center" vertical="center" shrinkToFit="1" readingOrder="2"/>
    </xf>
    <xf numFmtId="0" fontId="3" fillId="0" borderId="20" xfId="1" applyFont="1" applyBorder="1" applyAlignment="1">
      <alignment horizontal="center" vertical="center" shrinkToFit="1" readingOrder="2"/>
    </xf>
    <xf numFmtId="0" fontId="5" fillId="0" borderId="14" xfId="1" applyFont="1" applyBorder="1" applyAlignment="1">
      <alignment horizontal="center" vertical="center" shrinkToFit="1" readingOrder="2"/>
    </xf>
    <xf numFmtId="0" fontId="5" fillId="0" borderId="1" xfId="1" applyFont="1" applyBorder="1" applyAlignment="1">
      <alignment horizontal="center" vertical="center" shrinkToFit="1" readingOrder="2"/>
    </xf>
    <xf numFmtId="0" fontId="5" fillId="0" borderId="16" xfId="1" applyFont="1" applyBorder="1" applyAlignment="1">
      <alignment horizontal="center" vertical="center" shrinkToFit="1" readingOrder="2"/>
    </xf>
    <xf numFmtId="0" fontId="5" fillId="0" borderId="13" xfId="1" applyFont="1" applyBorder="1" applyAlignment="1">
      <alignment horizontal="center" vertical="center" shrinkToFit="1" readingOrder="2"/>
    </xf>
    <xf numFmtId="49" fontId="5" fillId="0" borderId="13" xfId="1" applyNumberFormat="1" applyFont="1" applyBorder="1" applyAlignment="1">
      <alignment horizontal="center" vertical="center" shrinkToFit="1" readingOrder="2"/>
    </xf>
    <xf numFmtId="1" fontId="5" fillId="0" borderId="12" xfId="1" applyNumberFormat="1" applyFont="1" applyBorder="1" applyAlignment="1">
      <alignment horizontal="center" vertical="center" shrinkToFit="1" readingOrder="2"/>
    </xf>
    <xf numFmtId="1" fontId="5" fillId="0" borderId="1" xfId="1" applyNumberFormat="1" applyFont="1" applyBorder="1" applyAlignment="1">
      <alignment horizontal="center" vertical="center" shrinkToFit="1" readingOrder="2"/>
    </xf>
    <xf numFmtId="1" fontId="5" fillId="0" borderId="20" xfId="1" applyNumberFormat="1" applyFont="1" applyBorder="1" applyAlignment="1">
      <alignment horizontal="center" vertical="center" shrinkToFit="1" readingOrder="2"/>
    </xf>
    <xf numFmtId="49" fontId="5" fillId="0" borderId="70" xfId="1" applyNumberFormat="1" applyFont="1" applyBorder="1" applyAlignment="1">
      <alignment horizontal="center" vertical="center" shrinkToFit="1" readingOrder="2"/>
    </xf>
    <xf numFmtId="0" fontId="1" fillId="0" borderId="15" xfId="1" applyFill="1" applyBorder="1" applyAlignment="1">
      <alignment horizontal="center" vertical="center" shrinkToFit="1" readingOrder="2"/>
    </xf>
    <xf numFmtId="0" fontId="1" fillId="0" borderId="15" xfId="1" applyBorder="1" applyAlignment="1">
      <alignment horizontal="center" vertical="center" shrinkToFit="1" readingOrder="2"/>
    </xf>
    <xf numFmtId="0" fontId="3" fillId="0" borderId="69" xfId="1" applyFont="1" applyFill="1" applyBorder="1" applyAlignment="1">
      <alignment horizontal="right" vertical="center" shrinkToFit="1" readingOrder="2"/>
    </xf>
    <xf numFmtId="0" fontId="2" fillId="2" borderId="74" xfId="0" applyFont="1" applyFill="1" applyBorder="1" applyAlignment="1">
      <alignment horizontal="center" vertical="center" shrinkToFit="1" readingOrder="2"/>
    </xf>
    <xf numFmtId="0" fontId="3" fillId="2" borderId="75" xfId="0" applyFont="1" applyFill="1" applyBorder="1" applyAlignment="1">
      <alignment horizontal="center" vertical="center" shrinkToFit="1" readingOrder="2"/>
    </xf>
    <xf numFmtId="0" fontId="3" fillId="2" borderId="76" xfId="0" applyFont="1" applyFill="1" applyBorder="1" applyAlignment="1">
      <alignment horizontal="center" vertical="center" shrinkToFit="1" readingOrder="2"/>
    </xf>
    <xf numFmtId="164" fontId="2" fillId="2" borderId="76" xfId="0" applyNumberFormat="1" applyFont="1" applyFill="1" applyBorder="1" applyAlignment="1">
      <alignment horizontal="center" vertical="center" shrinkToFit="1" readingOrder="2"/>
    </xf>
    <xf numFmtId="0" fontId="6" fillId="0" borderId="0" xfId="0" applyFont="1" applyAlignment="1">
      <alignment horizontal="center" vertical="center" shrinkToFit="1" readingOrder="2"/>
    </xf>
    <xf numFmtId="0" fontId="5" fillId="0" borderId="0" xfId="0" applyFont="1" applyAlignment="1">
      <alignment horizontal="right" vertical="center" shrinkToFit="1" readingOrder="2"/>
    </xf>
    <xf numFmtId="0" fontId="0" fillId="0" borderId="0" xfId="0" applyBorder="1"/>
    <xf numFmtId="49" fontId="5" fillId="0" borderId="14" xfId="1" applyNumberFormat="1" applyFont="1" applyBorder="1" applyAlignment="1">
      <alignment horizontal="center" vertical="center" shrinkToFit="1" readingOrder="2"/>
    </xf>
    <xf numFmtId="0" fontId="31" fillId="0" borderId="0" xfId="0" applyFont="1" applyAlignment="1">
      <alignment horizontal="center" vertical="center"/>
    </xf>
    <xf numFmtId="0" fontId="5" fillId="0" borderId="44" xfId="1" applyFont="1" applyBorder="1" applyAlignment="1">
      <alignment horizontal="center" vertical="center" shrinkToFit="1" readingOrder="2"/>
    </xf>
    <xf numFmtId="1" fontId="2" fillId="0" borderId="0" xfId="0" applyNumberFormat="1" applyFont="1" applyBorder="1" applyAlignment="1">
      <alignment horizontal="center" vertical="center" shrinkToFit="1" readingOrder="2"/>
    </xf>
    <xf numFmtId="1" fontId="2" fillId="0" borderId="0" xfId="1" applyNumberFormat="1" applyFont="1" applyFill="1" applyBorder="1" applyAlignment="1">
      <alignment horizontal="center" vertical="center" shrinkToFit="1" readingOrder="2"/>
    </xf>
    <xf numFmtId="1" fontId="6" fillId="0" borderId="0" xfId="0" applyNumberFormat="1" applyFont="1" applyAlignment="1">
      <alignment horizontal="center" vertical="center" shrinkToFit="1" readingOrder="2"/>
    </xf>
    <xf numFmtId="1" fontId="6" fillId="0" borderId="27" xfId="0" applyNumberFormat="1" applyFont="1" applyBorder="1" applyAlignment="1">
      <alignment horizontal="center" vertical="center" shrinkToFit="1" readingOrder="2"/>
    </xf>
    <xf numFmtId="1" fontId="0" fillId="0" borderId="28" xfId="0" applyNumberFormat="1" applyBorder="1" applyAlignment="1">
      <alignment horizontal="center" vertical="center" shrinkToFit="1" readingOrder="2"/>
    </xf>
    <xf numFmtId="1" fontId="0" fillId="0" borderId="0" xfId="0" applyNumberFormat="1"/>
    <xf numFmtId="1" fontId="5" fillId="0" borderId="0" xfId="0" applyNumberFormat="1" applyFont="1" applyAlignment="1">
      <alignment horizontal="right" vertical="center" shrinkToFit="1" readingOrder="2"/>
    </xf>
    <xf numFmtId="1" fontId="3" fillId="0" borderId="0" xfId="0" applyNumberFormat="1" applyFont="1" applyAlignment="1">
      <alignment horizontal="right" vertical="center" shrinkToFit="1" readingOrder="2"/>
    </xf>
    <xf numFmtId="0" fontId="28" fillId="4" borderId="19" xfId="1" applyFont="1" applyFill="1" applyBorder="1" applyAlignment="1">
      <alignment horizontal="center" vertical="center" wrapText="1" readingOrder="2"/>
    </xf>
    <xf numFmtId="0" fontId="7" fillId="4" borderId="8" xfId="1" applyFont="1" applyFill="1" applyBorder="1" applyAlignment="1">
      <alignment horizontal="center" vertical="center" wrapText="1" readingOrder="2"/>
    </xf>
    <xf numFmtId="0" fontId="1" fillId="4" borderId="0" xfId="1" applyFill="1" applyAlignment="1">
      <alignment horizontal="center" vertical="center" shrinkToFit="1" readingOrder="2"/>
    </xf>
    <xf numFmtId="0" fontId="26" fillId="4" borderId="18" xfId="1" applyFont="1" applyFill="1" applyBorder="1" applyAlignment="1">
      <alignment horizontal="center" vertical="center" wrapText="1" readingOrder="2"/>
    </xf>
    <xf numFmtId="0" fontId="7" fillId="4" borderId="9" xfId="1" applyFont="1" applyFill="1" applyBorder="1" applyAlignment="1">
      <alignment horizontal="center" vertical="center" wrapText="1" readingOrder="2"/>
    </xf>
    <xf numFmtId="0" fontId="2" fillId="4" borderId="65" xfId="1" applyFont="1" applyFill="1" applyBorder="1" applyAlignment="1">
      <alignment horizontal="center" vertical="center" shrinkToFit="1" readingOrder="2"/>
    </xf>
    <xf numFmtId="0" fontId="2" fillId="4" borderId="66" xfId="1" applyFont="1" applyFill="1" applyBorder="1" applyAlignment="1">
      <alignment horizontal="center" vertical="center" shrinkToFit="1" readingOrder="2"/>
    </xf>
    <xf numFmtId="0" fontId="3" fillId="4" borderId="76" xfId="0" applyFont="1" applyFill="1" applyBorder="1" applyAlignment="1">
      <alignment horizontal="center" vertical="center" shrinkToFit="1" readingOrder="2"/>
    </xf>
    <xf numFmtId="0" fontId="3" fillId="4" borderId="75" xfId="0" applyFont="1" applyFill="1" applyBorder="1" applyAlignment="1">
      <alignment horizontal="center" vertical="center" shrinkToFit="1" readingOrder="2"/>
    </xf>
    <xf numFmtId="0" fontId="2" fillId="4" borderId="67" xfId="1" applyFont="1" applyFill="1" applyBorder="1" applyAlignment="1">
      <alignment horizontal="center" vertical="center" shrinkToFit="1" readingOrder="2"/>
    </xf>
    <xf numFmtId="0" fontId="2" fillId="4" borderId="5" xfId="1" applyFont="1" applyFill="1" applyBorder="1" applyAlignment="1">
      <alignment horizontal="center" vertical="center" shrinkToFit="1" readingOrder="2"/>
    </xf>
    <xf numFmtId="0" fontId="2" fillId="4" borderId="3" xfId="1" applyFont="1" applyFill="1" applyBorder="1" applyAlignment="1">
      <alignment horizontal="center" vertical="center" shrinkToFit="1" readingOrder="2"/>
    </xf>
    <xf numFmtId="0" fontId="2" fillId="4" borderId="4" xfId="1" applyFont="1" applyFill="1" applyBorder="1" applyAlignment="1">
      <alignment horizontal="center" vertical="center" shrinkToFit="1" readingOrder="2"/>
    </xf>
    <xf numFmtId="0" fontId="2" fillId="4" borderId="11" xfId="1" applyFont="1" applyFill="1" applyBorder="1" applyAlignment="1">
      <alignment horizontal="center" vertical="center" shrinkToFit="1" readingOrder="2"/>
    </xf>
    <xf numFmtId="0" fontId="2" fillId="4" borderId="10" xfId="1" applyFont="1" applyFill="1" applyBorder="1" applyAlignment="1">
      <alignment horizontal="center" vertical="center" shrinkToFit="1" readingOrder="2"/>
    </xf>
    <xf numFmtId="0" fontId="1" fillId="4" borderId="21" xfId="1" applyFill="1" applyBorder="1" applyAlignment="1">
      <alignment horizontal="center" vertical="center" shrinkToFit="1" readingOrder="2"/>
    </xf>
    <xf numFmtId="1" fontId="6" fillId="0" borderId="0" xfId="0" applyNumberFormat="1" applyFont="1" applyAlignment="1">
      <alignment horizontal="left" vertical="center" shrinkToFit="1" readingOrder="2"/>
    </xf>
    <xf numFmtId="0" fontId="0" fillId="0" borderId="0" xfId="0" applyAlignment="1">
      <alignment horizontal="left"/>
    </xf>
    <xf numFmtId="1" fontId="35" fillId="0" borderId="0" xfId="0" applyNumberFormat="1" applyFont="1"/>
    <xf numFmtId="0" fontId="35" fillId="0" borderId="0" xfId="0" applyFont="1"/>
    <xf numFmtId="1" fontId="2" fillId="0" borderId="26" xfId="0" applyNumberFormat="1" applyFont="1" applyBorder="1" applyAlignment="1">
      <alignment horizontal="right" vertical="center" shrinkToFit="1" readingOrder="2"/>
    </xf>
    <xf numFmtId="1" fontId="2" fillId="0" borderId="0" xfId="0" applyNumberFormat="1" applyFont="1" applyBorder="1" applyAlignment="1">
      <alignment horizontal="right" vertical="center" shrinkToFit="1" readingOrder="2"/>
    </xf>
    <xf numFmtId="0" fontId="36" fillId="0" borderId="0" xfId="0" applyFont="1"/>
    <xf numFmtId="1" fontId="5" fillId="0" borderId="0" xfId="0" applyNumberFormat="1" applyFont="1" applyBorder="1" applyAlignment="1">
      <alignment horizontal="center" vertical="center" shrinkToFit="1" readingOrder="2"/>
    </xf>
    <xf numFmtId="1" fontId="5" fillId="0" borderId="0" xfId="0" applyNumberFormat="1" applyFont="1" applyAlignment="1">
      <alignment horizontal="center" vertical="center" shrinkToFit="1" readingOrder="2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1" fontId="37" fillId="0" borderId="83" xfId="0" applyNumberFormat="1" applyFont="1" applyFill="1" applyBorder="1" applyAlignment="1">
      <alignment horizontal="center" vertical="center" shrinkToFit="1" readingOrder="2"/>
    </xf>
    <xf numFmtId="0" fontId="42" fillId="0" borderId="0" xfId="0" applyFont="1"/>
    <xf numFmtId="1" fontId="42" fillId="0" borderId="0" xfId="1" applyNumberFormat="1" applyFont="1" applyFill="1" applyBorder="1" applyAlignment="1">
      <alignment horizontal="center" vertical="center" shrinkToFit="1" readingOrder="2"/>
    </xf>
    <xf numFmtId="1" fontId="42" fillId="0" borderId="0" xfId="1" applyNumberFormat="1" applyFont="1" applyFill="1" applyBorder="1" applyAlignment="1">
      <alignment vertical="center" shrinkToFit="1" readingOrder="2"/>
    </xf>
    <xf numFmtId="1" fontId="43" fillId="0" borderId="0" xfId="0" applyNumberFormat="1" applyFont="1" applyFill="1" applyBorder="1" applyAlignment="1">
      <alignment vertical="center" shrinkToFit="1"/>
    </xf>
    <xf numFmtId="1" fontId="45" fillId="2" borderId="47" xfId="6" applyNumberFormat="1" applyFont="1" applyFill="1" applyBorder="1" applyAlignment="1">
      <alignment horizontal="center" vertical="center" shrinkToFit="1" readingOrder="2"/>
    </xf>
    <xf numFmtId="1" fontId="45" fillId="2" borderId="25" xfId="6" applyNumberFormat="1" applyFont="1" applyFill="1" applyBorder="1" applyAlignment="1">
      <alignment horizontal="center" vertical="center" shrinkToFit="1" readingOrder="2"/>
    </xf>
    <xf numFmtId="1" fontId="45" fillId="2" borderId="54" xfId="6" applyNumberFormat="1" applyFont="1" applyFill="1" applyBorder="1" applyAlignment="1">
      <alignment horizontal="center" vertical="center" shrinkToFit="1" readingOrder="2"/>
    </xf>
    <xf numFmtId="1" fontId="45" fillId="2" borderId="48" xfId="6" applyNumberFormat="1" applyFont="1" applyFill="1" applyBorder="1" applyAlignment="1">
      <alignment horizontal="center" vertical="center" shrinkToFit="1" readingOrder="2"/>
    </xf>
    <xf numFmtId="1" fontId="45" fillId="0" borderId="83" xfId="0" applyNumberFormat="1" applyFont="1" applyFill="1" applyBorder="1" applyAlignment="1">
      <alignment horizontal="center" vertical="center" shrinkToFit="1" readingOrder="2"/>
    </xf>
    <xf numFmtId="1" fontId="42" fillId="3" borderId="83" xfId="0" applyNumberFormat="1" applyFont="1" applyFill="1" applyBorder="1" applyAlignment="1" applyProtection="1">
      <alignment horizontal="center" vertical="center" shrinkToFit="1" readingOrder="2"/>
      <protection hidden="1"/>
    </xf>
    <xf numFmtId="1" fontId="45" fillId="4" borderId="83" xfId="0" applyNumberFormat="1" applyFont="1" applyFill="1" applyBorder="1" applyAlignment="1">
      <alignment horizontal="center" vertical="center" shrinkToFit="1" readingOrder="2"/>
    </xf>
    <xf numFmtId="1" fontId="41" fillId="0" borderId="0" xfId="1" applyNumberFormat="1" applyFont="1" applyFill="1" applyBorder="1" applyAlignment="1">
      <alignment horizontal="center" vertical="center" shrinkToFit="1" readingOrder="2"/>
    </xf>
    <xf numFmtId="1" fontId="5" fillId="0" borderId="0" xfId="0" applyNumberFormat="1" applyFont="1" applyAlignment="1">
      <alignment horizontal="center" vertical="center"/>
    </xf>
    <xf numFmtId="1" fontId="39" fillId="0" borderId="83" xfId="0" applyNumberFormat="1" applyFont="1" applyFill="1" applyBorder="1" applyAlignment="1">
      <alignment horizontal="center" vertical="center" shrinkToFit="1" readingOrder="2"/>
    </xf>
    <xf numFmtId="1" fontId="46" fillId="0" borderId="83" xfId="7" applyNumberFormat="1" applyFont="1" applyFill="1" applyBorder="1" applyAlignment="1" applyProtection="1">
      <alignment horizontal="right" vertical="center" shrinkToFit="1" readingOrder="2"/>
      <protection locked="0" hidden="1"/>
    </xf>
    <xf numFmtId="1" fontId="47" fillId="0" borderId="83" xfId="0" applyNumberFormat="1" applyFont="1" applyFill="1" applyBorder="1" applyAlignment="1">
      <alignment horizontal="center" vertical="center" shrinkToFit="1" readingOrder="2"/>
    </xf>
    <xf numFmtId="0" fontId="48" fillId="3" borderId="83" xfId="0" applyFont="1" applyFill="1" applyBorder="1" applyAlignment="1">
      <alignment horizontal="center" vertical="center" readingOrder="2"/>
    </xf>
    <xf numFmtId="0" fontId="48" fillId="3" borderId="83" xfId="0" applyNumberFormat="1" applyFont="1" applyFill="1" applyBorder="1" applyAlignment="1">
      <alignment horizontal="center" vertical="center" readingOrder="2"/>
    </xf>
    <xf numFmtId="1" fontId="49" fillId="0" borderId="83" xfId="0" applyNumberFormat="1" applyFont="1" applyFill="1" applyBorder="1" applyAlignment="1">
      <alignment horizontal="center" vertical="center" shrinkToFit="1"/>
    </xf>
    <xf numFmtId="1" fontId="47" fillId="0" borderId="83" xfId="0" applyNumberFormat="1" applyFont="1" applyFill="1" applyBorder="1" applyAlignment="1">
      <alignment horizontal="center" vertical="center" shrinkToFit="1"/>
    </xf>
    <xf numFmtId="1" fontId="50" fillId="0" borderId="83" xfId="0" applyNumberFormat="1" applyFont="1" applyFill="1" applyBorder="1" applyAlignment="1">
      <alignment horizontal="center" vertical="center" shrinkToFit="1" readingOrder="2"/>
    </xf>
    <xf numFmtId="1" fontId="51" fillId="0" borderId="83" xfId="0" applyNumberFormat="1" applyFont="1" applyFill="1" applyBorder="1" applyAlignment="1">
      <alignment horizontal="center" vertical="center" shrinkToFit="1" readingOrder="2"/>
    </xf>
    <xf numFmtId="1" fontId="52" fillId="0" borderId="83" xfId="0" applyNumberFormat="1" applyFont="1" applyFill="1" applyBorder="1" applyAlignment="1">
      <alignment horizontal="center" vertical="center" shrinkToFit="1" readingOrder="2"/>
    </xf>
    <xf numFmtId="0" fontId="39" fillId="0" borderId="83" xfId="0" applyFont="1" applyBorder="1" applyAlignment="1">
      <alignment horizontal="right" vertical="center"/>
    </xf>
    <xf numFmtId="0" fontId="39" fillId="0" borderId="83" xfId="0" applyFont="1" applyBorder="1" applyAlignment="1">
      <alignment horizontal="center"/>
    </xf>
    <xf numFmtId="0" fontId="39" fillId="0" borderId="84" xfId="0" applyFont="1" applyBorder="1" applyAlignment="1">
      <alignment horizontal="center"/>
    </xf>
    <xf numFmtId="0" fontId="39" fillId="0" borderId="84" xfId="0" applyFont="1" applyBorder="1" applyAlignment="1">
      <alignment horizontal="right" vertical="center"/>
    </xf>
    <xf numFmtId="1" fontId="47" fillId="0" borderId="84" xfId="0" applyNumberFormat="1" applyFont="1" applyFill="1" applyBorder="1" applyAlignment="1">
      <alignment horizontal="center" vertical="center" shrinkToFit="1" readingOrder="2"/>
    </xf>
    <xf numFmtId="0" fontId="48" fillId="3" borderId="84" xfId="0" applyFont="1" applyFill="1" applyBorder="1" applyAlignment="1">
      <alignment horizontal="center" vertical="center" readingOrder="2"/>
    </xf>
    <xf numFmtId="0" fontId="48" fillId="3" borderId="84" xfId="0" applyNumberFormat="1" applyFont="1" applyFill="1" applyBorder="1" applyAlignment="1">
      <alignment horizontal="center" vertical="center" readingOrder="2"/>
    </xf>
    <xf numFmtId="1" fontId="49" fillId="0" borderId="84" xfId="0" applyNumberFormat="1" applyFont="1" applyFill="1" applyBorder="1" applyAlignment="1">
      <alignment horizontal="center" vertical="center" shrinkToFit="1"/>
    </xf>
    <xf numFmtId="1" fontId="47" fillId="0" borderId="84" xfId="0" applyNumberFormat="1" applyFont="1" applyFill="1" applyBorder="1" applyAlignment="1">
      <alignment horizontal="center" vertical="center" shrinkToFit="1"/>
    </xf>
    <xf numFmtId="1" fontId="50" fillId="0" borderId="84" xfId="0" applyNumberFormat="1" applyFont="1" applyFill="1" applyBorder="1" applyAlignment="1">
      <alignment horizontal="center" vertical="center" shrinkToFit="1" readingOrder="2"/>
    </xf>
    <xf numFmtId="1" fontId="51" fillId="0" borderId="84" xfId="0" applyNumberFormat="1" applyFont="1" applyFill="1" applyBorder="1" applyAlignment="1">
      <alignment horizontal="center" vertical="center" shrinkToFit="1" readingOrder="2"/>
    </xf>
    <xf numFmtId="1" fontId="52" fillId="0" borderId="84" xfId="0" applyNumberFormat="1" applyFont="1" applyFill="1" applyBorder="1" applyAlignment="1">
      <alignment horizontal="center" vertical="center" shrinkToFit="1" readingOrder="2"/>
    </xf>
    <xf numFmtId="1" fontId="3" fillId="0" borderId="27" xfId="0" applyNumberFormat="1" applyFont="1" applyBorder="1" applyAlignment="1">
      <alignment horizontal="center" vertical="center" shrinkToFit="1" readingOrder="2"/>
    </xf>
    <xf numFmtId="0" fontId="53" fillId="0" borderId="15" xfId="0" applyFont="1" applyFill="1" applyBorder="1" applyAlignment="1">
      <alignment horizontal="right" vertical="center" shrinkToFit="1" readingOrder="2"/>
    </xf>
    <xf numFmtId="0" fontId="53" fillId="0" borderId="14" xfId="0" applyFont="1" applyFill="1" applyBorder="1" applyAlignment="1">
      <alignment horizontal="center" vertical="center" shrinkToFit="1" readingOrder="2"/>
    </xf>
    <xf numFmtId="0" fontId="53" fillId="0" borderId="1" xfId="0" applyFont="1" applyFill="1" applyBorder="1" applyAlignment="1">
      <alignment horizontal="center" vertical="center" shrinkToFit="1" readingOrder="2"/>
    </xf>
    <xf numFmtId="0" fontId="53" fillId="0" borderId="82" xfId="0" applyFont="1" applyFill="1" applyBorder="1" applyAlignment="1">
      <alignment horizontal="center" vertical="center" shrinkToFit="1" readingOrder="2"/>
    </xf>
    <xf numFmtId="0" fontId="53" fillId="0" borderId="13" xfId="0" applyFont="1" applyFill="1" applyBorder="1" applyAlignment="1">
      <alignment horizontal="center" vertical="center" shrinkToFit="1" readingOrder="2"/>
    </xf>
    <xf numFmtId="1" fontId="53" fillId="0" borderId="14" xfId="0" applyNumberFormat="1" applyFont="1" applyFill="1" applyBorder="1" applyAlignment="1">
      <alignment horizontal="center" vertical="center" shrinkToFit="1" readingOrder="2"/>
    </xf>
    <xf numFmtId="1" fontId="53" fillId="0" borderId="1" xfId="0" applyNumberFormat="1" applyFont="1" applyFill="1" applyBorder="1" applyAlignment="1">
      <alignment horizontal="center" vertical="center" shrinkToFit="1" readingOrder="2"/>
    </xf>
    <xf numFmtId="49" fontId="53" fillId="0" borderId="16" xfId="0" applyNumberFormat="1" applyFont="1" applyFill="1" applyBorder="1" applyAlignment="1">
      <alignment horizontal="center" vertical="center" shrinkToFit="1" readingOrder="2"/>
    </xf>
    <xf numFmtId="0" fontId="53" fillId="0" borderId="16" xfId="0" applyFont="1" applyFill="1" applyBorder="1" applyAlignment="1">
      <alignment horizontal="center" vertical="center" shrinkToFit="1" readingOrder="2"/>
    </xf>
    <xf numFmtId="0" fontId="53" fillId="0" borderId="69" xfId="1" applyFont="1" applyFill="1" applyBorder="1" applyAlignment="1">
      <alignment horizontal="right" vertical="center" shrinkToFit="1" readingOrder="2"/>
    </xf>
    <xf numFmtId="0" fontId="53" fillId="0" borderId="14" xfId="1" applyFont="1" applyBorder="1" applyAlignment="1">
      <alignment horizontal="center" vertical="center" shrinkToFit="1" readingOrder="2"/>
    </xf>
    <xf numFmtId="0" fontId="53" fillId="0" borderId="1" xfId="1" applyFont="1" applyBorder="1" applyAlignment="1">
      <alignment horizontal="center" vertical="center" shrinkToFit="1" readingOrder="2"/>
    </xf>
    <xf numFmtId="0" fontId="53" fillId="0" borderId="16" xfId="1" applyFont="1" applyBorder="1" applyAlignment="1">
      <alignment horizontal="center" vertical="center" shrinkToFit="1" readingOrder="2"/>
    </xf>
    <xf numFmtId="0" fontId="53" fillId="0" borderId="13" xfId="1" applyFont="1" applyBorder="1" applyAlignment="1">
      <alignment horizontal="center" vertical="center" shrinkToFit="1" readingOrder="2"/>
    </xf>
    <xf numFmtId="49" fontId="53" fillId="0" borderId="13" xfId="1" applyNumberFormat="1" applyFont="1" applyBorder="1" applyAlignment="1">
      <alignment horizontal="center" vertical="center" shrinkToFit="1" readingOrder="2"/>
    </xf>
    <xf numFmtId="1" fontId="53" fillId="0" borderId="12" xfId="1" applyNumberFormat="1" applyFont="1" applyBorder="1" applyAlignment="1">
      <alignment horizontal="center" vertical="center" shrinkToFit="1" readingOrder="2"/>
    </xf>
    <xf numFmtId="1" fontId="53" fillId="0" borderId="1" xfId="1" applyNumberFormat="1" applyFont="1" applyBorder="1" applyAlignment="1">
      <alignment horizontal="center" vertical="center" shrinkToFit="1" readingOrder="2"/>
    </xf>
    <xf numFmtId="49" fontId="53" fillId="0" borderId="14" xfId="1" applyNumberFormat="1" applyFont="1" applyBorder="1" applyAlignment="1">
      <alignment horizontal="center" vertical="center" shrinkToFit="1" readingOrder="2"/>
    </xf>
    <xf numFmtId="0" fontId="53" fillId="0" borderId="12" xfId="0" applyFont="1" applyFill="1" applyBorder="1" applyAlignment="1">
      <alignment horizontal="center" vertical="center" shrinkToFit="1" readingOrder="2"/>
    </xf>
    <xf numFmtId="1" fontId="6" fillId="3" borderId="83" xfId="0" applyNumberFormat="1" applyFont="1" applyFill="1" applyBorder="1" applyAlignment="1">
      <alignment horizontal="right" vertical="center"/>
    </xf>
    <xf numFmtId="1" fontId="2" fillId="0" borderId="20" xfId="1" applyNumberFormat="1" applyFont="1" applyBorder="1" applyAlignment="1">
      <alignment horizontal="center" vertical="center" shrinkToFit="1" readingOrder="2"/>
    </xf>
    <xf numFmtId="0" fontId="2" fillId="0" borderId="20" xfId="1" applyFont="1" applyBorder="1" applyAlignment="1">
      <alignment horizontal="center" vertical="center" shrinkToFit="1" readingOrder="2"/>
    </xf>
    <xf numFmtId="0" fontId="42" fillId="0" borderId="83" xfId="0" applyFont="1" applyBorder="1" applyAlignment="1">
      <alignment horizontal="center"/>
    </xf>
    <xf numFmtId="0" fontId="5" fillId="0" borderId="0" xfId="1" applyFont="1" applyAlignment="1">
      <alignment horizontal="right" vertical="center" shrinkToFit="1" readingOrder="2"/>
    </xf>
    <xf numFmtId="0" fontId="3" fillId="0" borderId="0" xfId="0" applyFont="1" applyFill="1" applyBorder="1" applyAlignment="1">
      <alignment horizontal="center" vertical="center" shrinkToFit="1" readingOrder="2"/>
    </xf>
    <xf numFmtId="0" fontId="3" fillId="0" borderId="0" xfId="1" applyFont="1" applyFill="1" applyBorder="1" applyAlignment="1">
      <alignment horizontal="center" vertical="center" shrinkToFit="1" readingOrder="2"/>
    </xf>
    <xf numFmtId="0" fontId="55" fillId="0" borderId="0" xfId="1" applyFont="1" applyAlignment="1">
      <alignment horizontal="right" vertical="center" shrinkToFit="1" readingOrder="2"/>
    </xf>
    <xf numFmtId="0" fontId="56" fillId="0" borderId="0" xfId="1" applyFont="1" applyBorder="1" applyAlignment="1">
      <alignment vertical="center" shrinkToFit="1" readingOrder="2"/>
    </xf>
    <xf numFmtId="0" fontId="1" fillId="0" borderId="0" xfId="1" applyAlignment="1">
      <alignment readingOrder="2"/>
    </xf>
    <xf numFmtId="0" fontId="57" fillId="0" borderId="19" xfId="1" applyFont="1" applyBorder="1" applyAlignment="1">
      <alignment horizontal="center" vertical="center" wrapText="1" readingOrder="2"/>
    </xf>
    <xf numFmtId="0" fontId="7" fillId="0" borderId="8" xfId="1" applyFont="1" applyBorder="1" applyAlignment="1">
      <alignment horizontal="center" vertical="center" wrapText="1" readingOrder="2"/>
    </xf>
    <xf numFmtId="0" fontId="26" fillId="0" borderId="18" xfId="1" applyFont="1" applyBorder="1" applyAlignment="1">
      <alignment horizontal="center" vertical="center" wrapText="1" readingOrder="2"/>
    </xf>
    <xf numFmtId="0" fontId="7" fillId="0" borderId="9" xfId="1" applyFont="1" applyBorder="1" applyAlignment="1">
      <alignment horizontal="center" vertical="center" wrapText="1" readingOrder="2"/>
    </xf>
    <xf numFmtId="0" fontId="2" fillId="0" borderId="65" xfId="1" applyFont="1" applyBorder="1" applyAlignment="1">
      <alignment horizontal="center" vertical="center" shrinkToFit="1" readingOrder="2"/>
    </xf>
    <xf numFmtId="0" fontId="2" fillId="0" borderId="66" xfId="1" applyFont="1" applyBorder="1" applyAlignment="1">
      <alignment horizontal="center" vertical="center" shrinkToFit="1" readingOrder="2"/>
    </xf>
    <xf numFmtId="0" fontId="2" fillId="0" borderId="85" xfId="1" applyFont="1" applyBorder="1" applyAlignment="1">
      <alignment horizontal="center" vertical="center" shrinkToFit="1" readingOrder="2"/>
    </xf>
    <xf numFmtId="0" fontId="2" fillId="0" borderId="67" xfId="1" applyFont="1" applyBorder="1" applyAlignment="1">
      <alignment horizontal="center" vertical="center" shrinkToFit="1" readingOrder="2"/>
    </xf>
    <xf numFmtId="0" fontId="2" fillId="0" borderId="5" xfId="1" applyFont="1" applyBorder="1" applyAlignment="1">
      <alignment horizontal="center" vertical="center" shrinkToFit="1" readingOrder="2"/>
    </xf>
    <xf numFmtId="0" fontId="2" fillId="0" borderId="3" xfId="1" applyFont="1" applyBorder="1" applyAlignment="1">
      <alignment horizontal="center" vertical="center" shrinkToFit="1" readingOrder="2"/>
    </xf>
    <xf numFmtId="0" fontId="2" fillId="0" borderId="4" xfId="1" applyFont="1" applyBorder="1" applyAlignment="1">
      <alignment horizontal="center" vertical="center" shrinkToFit="1" readingOrder="2"/>
    </xf>
    <xf numFmtId="0" fontId="3" fillId="0" borderId="11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58" fillId="0" borderId="86" xfId="1" applyNumberFormat="1" applyFont="1" applyFill="1" applyBorder="1" applyAlignment="1">
      <alignment horizontal="center" vertical="center"/>
    </xf>
    <xf numFmtId="0" fontId="59" fillId="0" borderId="87" xfId="1" applyNumberFormat="1" applyFont="1" applyFill="1" applyBorder="1" applyAlignment="1">
      <alignment horizontal="right" vertical="center"/>
    </xf>
    <xf numFmtId="0" fontId="59" fillId="0" borderId="88" xfId="1" applyNumberFormat="1" applyFont="1" applyFill="1" applyBorder="1" applyAlignment="1">
      <alignment horizontal="center" vertical="center"/>
    </xf>
    <xf numFmtId="0" fontId="60" fillId="0" borderId="89" xfId="1" applyNumberFormat="1" applyFont="1" applyFill="1" applyBorder="1" applyAlignment="1">
      <alignment horizontal="center" vertical="center"/>
    </xf>
    <xf numFmtId="0" fontId="60" fillId="0" borderId="90" xfId="1" applyNumberFormat="1" applyFont="1" applyFill="1" applyBorder="1" applyAlignment="1">
      <alignment horizontal="center" vertical="center"/>
    </xf>
    <xf numFmtId="0" fontId="61" fillId="0" borderId="91" xfId="1" applyNumberFormat="1" applyFont="1" applyFill="1" applyBorder="1" applyAlignment="1">
      <alignment horizontal="center" vertical="center"/>
    </xf>
    <xf numFmtId="0" fontId="60" fillId="0" borderId="92" xfId="1" applyNumberFormat="1" applyFont="1" applyFill="1" applyBorder="1" applyAlignment="1">
      <alignment horizontal="center" vertical="center"/>
    </xf>
    <xf numFmtId="0" fontId="60" fillId="0" borderId="86" xfId="1" applyNumberFormat="1" applyFont="1" applyFill="1" applyBorder="1" applyAlignment="1">
      <alignment horizontal="center" vertical="center"/>
    </xf>
    <xf numFmtId="49" fontId="60" fillId="0" borderId="91" xfId="1" applyNumberFormat="1" applyFont="1" applyFill="1" applyBorder="1" applyAlignment="1">
      <alignment horizontal="center" vertical="center"/>
    </xf>
    <xf numFmtId="1" fontId="60" fillId="0" borderId="93" xfId="1" applyNumberFormat="1" applyFont="1" applyFill="1" applyBorder="1" applyAlignment="1">
      <alignment horizontal="center" vertical="center"/>
    </xf>
    <xf numFmtId="1" fontId="60" fillId="0" borderId="89" xfId="1" applyNumberFormat="1" applyFont="1" applyFill="1" applyBorder="1" applyAlignment="1">
      <alignment horizontal="center" vertical="center"/>
    </xf>
    <xf numFmtId="49" fontId="60" fillId="0" borderId="94" xfId="1" applyNumberFormat="1" applyFont="1" applyFill="1" applyBorder="1" applyAlignment="1">
      <alignment horizontal="center" vertical="center"/>
    </xf>
    <xf numFmtId="1" fontId="60" fillId="0" borderId="86" xfId="1" applyNumberFormat="1" applyFont="1" applyFill="1" applyBorder="1" applyAlignment="1">
      <alignment horizontal="center" vertical="center"/>
    </xf>
    <xf numFmtId="0" fontId="62" fillId="0" borderId="0" xfId="1" applyFont="1"/>
    <xf numFmtId="0" fontId="18" fillId="0" borderId="15" xfId="1" applyFont="1" applyFill="1" applyBorder="1" applyAlignment="1">
      <alignment horizontal="right" vertical="center" shrinkToFit="1" readingOrder="2"/>
    </xf>
    <xf numFmtId="0" fontId="18" fillId="0" borderId="14" xfId="1" applyFont="1" applyFill="1" applyBorder="1" applyAlignment="1">
      <alignment horizontal="center" vertical="center" shrinkToFit="1" readingOrder="2"/>
    </xf>
    <xf numFmtId="0" fontId="63" fillId="0" borderId="1" xfId="1" applyFont="1" applyFill="1" applyBorder="1" applyAlignment="1">
      <alignment horizontal="center" vertical="center" shrinkToFit="1" readingOrder="2"/>
    </xf>
    <xf numFmtId="0" fontId="63" fillId="0" borderId="16" xfId="1" applyFont="1" applyFill="1" applyBorder="1" applyAlignment="1">
      <alignment horizontal="center" vertical="center" shrinkToFit="1" readingOrder="2"/>
    </xf>
    <xf numFmtId="0" fontId="63" fillId="0" borderId="13" xfId="1" applyFont="1" applyFill="1" applyBorder="1" applyAlignment="1">
      <alignment horizontal="center" vertical="center" shrinkToFit="1" readingOrder="2"/>
    </xf>
    <xf numFmtId="0" fontId="63" fillId="0" borderId="6" xfId="1" applyFont="1" applyFill="1" applyBorder="1" applyAlignment="1">
      <alignment horizontal="center" vertical="center" shrinkToFit="1"/>
    </xf>
    <xf numFmtId="0" fontId="63" fillId="0" borderId="7" xfId="1" applyFont="1" applyFill="1" applyBorder="1" applyAlignment="1">
      <alignment horizontal="center" vertical="center" shrinkToFit="1"/>
    </xf>
    <xf numFmtId="1" fontId="63" fillId="0" borderId="14" xfId="1" applyNumberFormat="1" applyFont="1" applyFill="1" applyBorder="1" applyAlignment="1">
      <alignment horizontal="center" vertical="center" shrinkToFit="1" readingOrder="2"/>
    </xf>
    <xf numFmtId="1" fontId="63" fillId="0" borderId="1" xfId="1" applyNumberFormat="1" applyFont="1" applyFill="1" applyBorder="1" applyAlignment="1">
      <alignment horizontal="center" vertical="center" shrinkToFit="1" readingOrder="2"/>
    </xf>
    <xf numFmtId="49" fontId="63" fillId="0" borderId="16" xfId="1" applyNumberFormat="1" applyFont="1" applyFill="1" applyBorder="1" applyAlignment="1">
      <alignment horizontal="center" vertical="center" shrinkToFit="1" readingOrder="2"/>
    </xf>
    <xf numFmtId="49" fontId="63" fillId="0" borderId="13" xfId="1" applyNumberFormat="1" applyFont="1" applyFill="1" applyBorder="1" applyAlignment="1">
      <alignment horizontal="center" vertical="center" shrinkToFit="1" readingOrder="2"/>
    </xf>
    <xf numFmtId="1" fontId="63" fillId="0" borderId="12" xfId="1" applyNumberFormat="1" applyFont="1" applyFill="1" applyBorder="1" applyAlignment="1">
      <alignment horizontal="center" vertical="center" shrinkToFit="1" readingOrder="2"/>
    </xf>
    <xf numFmtId="1" fontId="64" fillId="0" borderId="20" xfId="1" applyNumberFormat="1" applyFont="1" applyBorder="1" applyAlignment="1">
      <alignment horizontal="center" vertical="center" shrinkToFit="1" readingOrder="2"/>
    </xf>
    <xf numFmtId="0" fontId="18" fillId="0" borderId="1" xfId="1" applyFont="1" applyFill="1" applyBorder="1" applyAlignment="1">
      <alignment horizontal="center" vertical="center" shrinkToFit="1" readingOrder="2"/>
    </xf>
    <xf numFmtId="0" fontId="18" fillId="0" borderId="16" xfId="1" applyFont="1" applyFill="1" applyBorder="1" applyAlignment="1">
      <alignment horizontal="center" vertical="center" shrinkToFit="1" readingOrder="2"/>
    </xf>
    <xf numFmtId="0" fontId="20" fillId="0" borderId="13" xfId="1" applyFont="1" applyFill="1" applyBorder="1" applyAlignment="1">
      <alignment horizontal="center" vertical="center" shrinkToFit="1" readingOrder="2"/>
    </xf>
    <xf numFmtId="0" fontId="18" fillId="0" borderId="6" xfId="1" applyFont="1" applyFill="1" applyBorder="1" applyAlignment="1">
      <alignment horizontal="center" vertical="center" shrinkToFit="1"/>
    </xf>
    <xf numFmtId="0" fontId="18" fillId="0" borderId="7" xfId="1" applyFont="1" applyFill="1" applyBorder="1" applyAlignment="1">
      <alignment horizontal="center" vertical="center" shrinkToFit="1"/>
    </xf>
    <xf numFmtId="1" fontId="18" fillId="0" borderId="14" xfId="1" applyNumberFormat="1" applyFont="1" applyFill="1" applyBorder="1" applyAlignment="1">
      <alignment horizontal="center" vertical="center" shrinkToFit="1" readingOrder="2"/>
    </xf>
    <xf numFmtId="1" fontId="18" fillId="0" borderId="1" xfId="1" applyNumberFormat="1" applyFont="1" applyFill="1" applyBorder="1" applyAlignment="1">
      <alignment horizontal="center" vertical="center" shrinkToFit="1" readingOrder="2"/>
    </xf>
    <xf numFmtId="49" fontId="18" fillId="0" borderId="16" xfId="1" applyNumberFormat="1" applyFont="1" applyFill="1" applyBorder="1" applyAlignment="1">
      <alignment horizontal="center" vertical="center" shrinkToFit="1" readingOrder="2"/>
    </xf>
    <xf numFmtId="49" fontId="18" fillId="0" borderId="13" xfId="1" applyNumberFormat="1" applyFont="1" applyFill="1" applyBorder="1" applyAlignment="1">
      <alignment horizontal="center" vertical="center" shrinkToFit="1" readingOrder="2"/>
    </xf>
    <xf numFmtId="1" fontId="20" fillId="0" borderId="12" xfId="1" applyNumberFormat="1" applyFont="1" applyFill="1" applyBorder="1" applyAlignment="1">
      <alignment horizontal="center" vertical="center" shrinkToFit="1" readingOrder="2"/>
    </xf>
    <xf numFmtId="0" fontId="5" fillId="0" borderId="15" xfId="1" applyFont="1" applyBorder="1" applyAlignment="1">
      <alignment horizontal="center" vertical="center" shrinkToFit="1" readingOrder="2"/>
    </xf>
    <xf numFmtId="0" fontId="5" fillId="0" borderId="20" xfId="1" applyFont="1" applyBorder="1" applyAlignment="1">
      <alignment horizontal="center" vertical="center" shrinkToFit="1" readingOrder="2"/>
    </xf>
    <xf numFmtId="49" fontId="5" fillId="0" borderId="95" xfId="1" applyNumberFormat="1" applyFont="1" applyBorder="1" applyAlignment="1">
      <alignment horizontal="center" vertical="center" shrinkToFit="1" readingOrder="2"/>
    </xf>
    <xf numFmtId="0" fontId="5" fillId="0" borderId="96" xfId="1" applyFont="1" applyBorder="1" applyAlignment="1">
      <alignment horizontal="center" vertical="center" shrinkToFit="1" readingOrder="2"/>
    </xf>
    <xf numFmtId="0" fontId="65" fillId="0" borderId="97" xfId="1" applyFont="1" applyBorder="1" applyAlignment="1">
      <alignment horizontal="center" vertical="center" shrinkToFit="1" readingOrder="2"/>
    </xf>
    <xf numFmtId="0" fontId="65" fillId="0" borderId="1" xfId="1" applyFont="1" applyBorder="1" applyAlignment="1">
      <alignment vertical="center" shrinkToFit="1" readingOrder="2"/>
    </xf>
    <xf numFmtId="0" fontId="65" fillId="0" borderId="1" xfId="1" applyFont="1" applyBorder="1" applyAlignment="1">
      <alignment horizontal="center" vertical="center" shrinkToFit="1" readingOrder="2"/>
    </xf>
    <xf numFmtId="0" fontId="65" fillId="0" borderId="12" xfId="1" applyFont="1" applyBorder="1" applyAlignment="1">
      <alignment horizontal="center" vertical="center" shrinkToFit="1" readingOrder="2"/>
    </xf>
    <xf numFmtId="0" fontId="66" fillId="0" borderId="97" xfId="1" applyFont="1" applyBorder="1" applyAlignment="1">
      <alignment horizontal="center" vertical="center" shrinkToFit="1" readingOrder="2"/>
    </xf>
    <xf numFmtId="0" fontId="66" fillId="0" borderId="15" xfId="1" applyFont="1" applyBorder="1" applyAlignment="1">
      <alignment horizontal="center" vertical="center" shrinkToFit="1" readingOrder="2"/>
    </xf>
    <xf numFmtId="0" fontId="67" fillId="0" borderId="69" xfId="1" applyFont="1" applyBorder="1" applyAlignment="1">
      <alignment horizontal="center"/>
    </xf>
    <xf numFmtId="0" fontId="68" fillId="0" borderId="1" xfId="1" applyFont="1" applyBorder="1" applyAlignment="1">
      <alignment shrinkToFit="1"/>
    </xf>
    <xf numFmtId="0" fontId="69" fillId="0" borderId="98" xfId="1" applyFont="1" applyBorder="1"/>
    <xf numFmtId="0" fontId="69" fillId="0" borderId="99" xfId="1" applyFont="1" applyBorder="1" applyAlignment="1">
      <alignment horizontal="center" vertical="center" shrinkToFit="1"/>
    </xf>
    <xf numFmtId="0" fontId="27" fillId="0" borderId="20" xfId="1" applyFont="1" applyFill="1" applyBorder="1" applyAlignment="1">
      <alignment horizontal="center" vertical="center" shrinkToFit="1"/>
    </xf>
    <xf numFmtId="0" fontId="27" fillId="0" borderId="83" xfId="1" applyFont="1" applyFill="1" applyBorder="1" applyAlignment="1">
      <alignment horizontal="right" vertical="center" shrinkToFit="1"/>
    </xf>
    <xf numFmtId="0" fontId="27" fillId="0" borderId="83" xfId="1" applyFont="1" applyBorder="1" applyAlignment="1">
      <alignment horizontal="center" vertical="center" shrinkToFit="1"/>
    </xf>
    <xf numFmtId="0" fontId="27" fillId="0" borderId="83" xfId="1" applyFont="1" applyFill="1" applyBorder="1" applyAlignment="1">
      <alignment horizontal="center" vertical="center" shrinkToFit="1"/>
    </xf>
    <xf numFmtId="0" fontId="27" fillId="0" borderId="69" xfId="1" applyFont="1" applyFill="1" applyBorder="1" applyAlignment="1">
      <alignment horizontal="center" vertical="center" shrinkToFit="1"/>
    </xf>
    <xf numFmtId="0" fontId="27" fillId="0" borderId="69" xfId="1" applyFont="1" applyBorder="1" applyAlignment="1">
      <alignment horizontal="center" vertical="center" shrinkToFit="1"/>
    </xf>
    <xf numFmtId="0" fontId="27" fillId="0" borderId="83" xfId="1" applyFont="1" applyBorder="1" applyAlignment="1">
      <alignment shrinkToFit="1"/>
    </xf>
    <xf numFmtId="0" fontId="27" fillId="0" borderId="96" xfId="1" applyFont="1" applyFill="1" applyBorder="1" applyAlignment="1">
      <alignment horizontal="center" shrinkToFit="1"/>
    </xf>
    <xf numFmtId="0" fontId="2" fillId="0" borderId="83" xfId="1" applyFont="1" applyBorder="1" applyAlignment="1">
      <alignment horizontal="center" vertical="center" shrinkToFit="1" readingOrder="2"/>
    </xf>
    <xf numFmtId="0" fontId="55" fillId="0" borderId="83" xfId="1" applyFont="1" applyBorder="1" applyAlignment="1">
      <alignment horizontal="right" vertical="center" shrinkToFit="1" readingOrder="2"/>
    </xf>
    <xf numFmtId="0" fontId="2" fillId="0" borderId="100" xfId="1" applyFont="1" applyBorder="1" applyAlignment="1">
      <alignment horizontal="center" vertical="center" shrinkToFit="1" readingOrder="2"/>
    </xf>
    <xf numFmtId="0" fontId="2" fillId="0" borderId="1" xfId="1" applyFont="1" applyBorder="1" applyAlignment="1">
      <alignment horizontal="center" vertical="center" shrinkToFit="1" readingOrder="2"/>
    </xf>
    <xf numFmtId="0" fontId="2" fillId="0" borderId="16" xfId="1" applyFont="1" applyBorder="1" applyAlignment="1">
      <alignment horizontal="center" vertical="center" shrinkToFit="1" readingOrder="2"/>
    </xf>
    <xf numFmtId="0" fontId="2" fillId="0" borderId="95" xfId="1" applyFont="1" applyBorder="1" applyAlignment="1">
      <alignment horizontal="center" vertical="center" shrinkToFit="1" readingOrder="2"/>
    </xf>
    <xf numFmtId="0" fontId="2" fillId="0" borderId="15" xfId="1" applyFont="1" applyBorder="1" applyAlignment="1">
      <alignment horizontal="center" vertical="center" shrinkToFit="1" readingOrder="2"/>
    </xf>
    <xf numFmtId="1" fontId="70" fillId="0" borderId="100" xfId="1" applyNumberFormat="1" applyFont="1" applyBorder="1" applyAlignment="1">
      <alignment horizontal="center" vertical="center" shrinkToFit="1" readingOrder="2"/>
    </xf>
    <xf numFmtId="1" fontId="70" fillId="0" borderId="1" xfId="1" applyNumberFormat="1" applyFont="1" applyBorder="1" applyAlignment="1">
      <alignment horizontal="center" vertical="center" shrinkToFit="1" readingOrder="2"/>
    </xf>
    <xf numFmtId="49" fontId="70" fillId="0" borderId="95" xfId="1" applyNumberFormat="1" applyFont="1" applyBorder="1" applyAlignment="1">
      <alignment horizontal="center" vertical="center" shrinkToFit="1" readingOrder="2"/>
    </xf>
    <xf numFmtId="0" fontId="1" fillId="0" borderId="95" xfId="1" applyBorder="1" applyAlignment="1">
      <alignment readingOrder="2"/>
    </xf>
    <xf numFmtId="0" fontId="2" fillId="0" borderId="101" xfId="1" applyFont="1" applyBorder="1" applyAlignment="1">
      <alignment horizontal="center" vertical="center" shrinkToFit="1" readingOrder="2"/>
    </xf>
    <xf numFmtId="0" fontId="55" fillId="0" borderId="101" xfId="1" applyFont="1" applyBorder="1" applyAlignment="1">
      <alignment horizontal="right" vertical="center" shrinkToFit="1" readingOrder="2"/>
    </xf>
    <xf numFmtId="0" fontId="2" fillId="0" borderId="102" xfId="1" applyFont="1" applyBorder="1" applyAlignment="1">
      <alignment horizontal="center" vertical="center" shrinkToFit="1" readingOrder="2"/>
    </xf>
    <xf numFmtId="0" fontId="2" fillId="0" borderId="103" xfId="1" applyFont="1" applyBorder="1" applyAlignment="1">
      <alignment horizontal="center" vertical="center" shrinkToFit="1" readingOrder="2"/>
    </xf>
    <xf numFmtId="0" fontId="2" fillId="0" borderId="104" xfId="1" applyFont="1" applyBorder="1" applyAlignment="1">
      <alignment horizontal="center" vertical="center" shrinkToFit="1" readingOrder="2"/>
    </xf>
    <xf numFmtId="0" fontId="2" fillId="0" borderId="105" xfId="1" applyFont="1" applyBorder="1" applyAlignment="1">
      <alignment horizontal="center" vertical="center" shrinkToFit="1" readingOrder="2"/>
    </xf>
    <xf numFmtId="0" fontId="2" fillId="0" borderId="25" xfId="1" applyFont="1" applyBorder="1" applyAlignment="1">
      <alignment horizontal="center" vertical="center" shrinkToFit="1" readingOrder="2"/>
    </xf>
    <xf numFmtId="1" fontId="70" fillId="0" borderId="102" xfId="1" applyNumberFormat="1" applyFont="1" applyBorder="1" applyAlignment="1">
      <alignment horizontal="center" vertical="center" shrinkToFit="1" readingOrder="2"/>
    </xf>
    <xf numFmtId="1" fontId="70" fillId="0" borderId="103" xfId="1" applyNumberFormat="1" applyFont="1" applyBorder="1" applyAlignment="1">
      <alignment horizontal="center" vertical="center" shrinkToFit="1" readingOrder="2"/>
    </xf>
    <xf numFmtId="49" fontId="70" fillId="0" borderId="105" xfId="1" applyNumberFormat="1" applyFont="1" applyBorder="1" applyAlignment="1">
      <alignment horizontal="center" vertical="center" shrinkToFit="1" readingOrder="2"/>
    </xf>
    <xf numFmtId="0" fontId="1" fillId="0" borderId="105" xfId="1" applyBorder="1" applyAlignment="1">
      <alignment readingOrder="2"/>
    </xf>
    <xf numFmtId="0" fontId="2" fillId="0" borderId="106" xfId="1" applyFont="1" applyBorder="1" applyAlignment="1">
      <alignment horizontal="center" vertical="center" shrinkToFit="1" readingOrder="2"/>
    </xf>
    <xf numFmtId="0" fontId="55" fillId="0" borderId="106" xfId="1" applyFont="1" applyBorder="1" applyAlignment="1">
      <alignment horizontal="right" vertical="center" shrinkToFit="1" readingOrder="2"/>
    </xf>
    <xf numFmtId="0" fontId="2" fillId="0" borderId="107" xfId="1" applyFont="1" applyBorder="1" applyAlignment="1">
      <alignment horizontal="center" vertical="center" shrinkToFit="1" readingOrder="2"/>
    </xf>
    <xf numFmtId="0" fontId="2" fillId="0" borderId="108" xfId="1" applyFont="1" applyBorder="1" applyAlignment="1">
      <alignment horizontal="center" vertical="center" shrinkToFit="1" readingOrder="2"/>
    </xf>
    <xf numFmtId="0" fontId="2" fillId="0" borderId="109" xfId="1" applyFont="1" applyBorder="1" applyAlignment="1">
      <alignment horizontal="center" vertical="center" shrinkToFit="1" readingOrder="2"/>
    </xf>
    <xf numFmtId="0" fontId="2" fillId="0" borderId="110" xfId="1" applyFont="1" applyBorder="1" applyAlignment="1">
      <alignment horizontal="center" vertical="center" shrinkToFit="1" readingOrder="2"/>
    </xf>
    <xf numFmtId="0" fontId="2" fillId="0" borderId="21" xfId="1" applyFont="1" applyBorder="1" applyAlignment="1">
      <alignment horizontal="center" vertical="center" shrinkToFit="1" readingOrder="2"/>
    </xf>
    <xf numFmtId="1" fontId="70" fillId="0" borderId="107" xfId="1" applyNumberFormat="1" applyFont="1" applyBorder="1" applyAlignment="1">
      <alignment horizontal="center" vertical="center" shrinkToFit="1" readingOrder="2"/>
    </xf>
    <xf numFmtId="1" fontId="70" fillId="0" borderId="108" xfId="1" applyNumberFormat="1" applyFont="1" applyBorder="1" applyAlignment="1">
      <alignment horizontal="center" vertical="center" shrinkToFit="1" readingOrder="2"/>
    </xf>
    <xf numFmtId="49" fontId="70" fillId="0" borderId="110" xfId="1" applyNumberFormat="1" applyFont="1" applyBorder="1" applyAlignment="1">
      <alignment horizontal="center" vertical="center" shrinkToFit="1" readingOrder="2"/>
    </xf>
    <xf numFmtId="0" fontId="1" fillId="0" borderId="110" xfId="1" applyBorder="1" applyAlignment="1">
      <alignment readingOrder="2"/>
    </xf>
    <xf numFmtId="0" fontId="2" fillId="0" borderId="111" xfId="1" applyFont="1" applyBorder="1" applyAlignment="1">
      <alignment horizontal="center" vertical="center" shrinkToFit="1" readingOrder="2"/>
    </xf>
    <xf numFmtId="0" fontId="27" fillId="0" borderId="106" xfId="1" applyFont="1" applyBorder="1" applyAlignment="1">
      <alignment horizontal="center" vertical="center" shrinkToFit="1" readingOrder="2"/>
    </xf>
    <xf numFmtId="0" fontId="2" fillId="0" borderId="112" xfId="1" applyFont="1" applyBorder="1" applyAlignment="1">
      <alignment horizontal="center" vertical="center" shrinkToFit="1" readingOrder="2"/>
    </xf>
    <xf numFmtId="0" fontId="2" fillId="0" borderId="26" xfId="1" applyFont="1" applyBorder="1" applyAlignment="1">
      <alignment horizontal="center" vertical="center" shrinkToFit="1" readingOrder="2"/>
    </xf>
    <xf numFmtId="0" fontId="27" fillId="0" borderId="0" xfId="1" applyFont="1" applyAlignment="1">
      <alignment horizontal="center" vertical="center" shrinkToFit="1" readingOrder="2"/>
    </xf>
    <xf numFmtId="0" fontId="2" fillId="0" borderId="113" xfId="1" applyFont="1" applyBorder="1" applyAlignment="1">
      <alignment horizontal="center" vertical="center" shrinkToFit="1" readingOrder="2"/>
    </xf>
    <xf numFmtId="0" fontId="27" fillId="0" borderId="83" xfId="1" applyFont="1" applyBorder="1" applyAlignment="1">
      <alignment horizontal="center" vertical="center" shrinkToFit="1" readingOrder="2"/>
    </xf>
    <xf numFmtId="0" fontId="2" fillId="0" borderId="114" xfId="1" applyFont="1" applyBorder="1" applyAlignment="1">
      <alignment horizontal="center" vertical="center" shrinkToFit="1" readingOrder="2"/>
    </xf>
    <xf numFmtId="0" fontId="27" fillId="0" borderId="101" xfId="1" applyFont="1" applyBorder="1" applyAlignment="1">
      <alignment horizontal="center" vertical="center" shrinkToFit="1" readingOrder="2"/>
    </xf>
    <xf numFmtId="0" fontId="1" fillId="0" borderId="0" xfId="1"/>
    <xf numFmtId="164" fontId="6" fillId="0" borderId="0" xfId="1" applyNumberFormat="1" applyFont="1" applyAlignment="1">
      <alignment horizontal="center" vertical="center" shrinkToFit="1" readingOrder="2"/>
    </xf>
    <xf numFmtId="0" fontId="6" fillId="0" borderId="27" xfId="1" applyFont="1" applyBorder="1" applyAlignment="1">
      <alignment horizontal="center" vertical="center" shrinkToFit="1" readingOrder="2"/>
    </xf>
    <xf numFmtId="0" fontId="1" fillId="0" borderId="28" xfId="1" applyBorder="1" applyAlignment="1">
      <alignment horizontal="center" vertical="center" shrinkToFit="1" readingOrder="2"/>
    </xf>
    <xf numFmtId="0" fontId="5" fillId="0" borderId="26" xfId="1" applyFont="1" applyBorder="1" applyAlignment="1">
      <alignment horizontal="right" vertical="center" shrinkToFit="1" readingOrder="2"/>
    </xf>
    <xf numFmtId="0" fontId="3" fillId="0" borderId="0" xfId="1" applyFont="1" applyAlignment="1">
      <alignment horizontal="right" vertical="center" shrinkToFit="1" readingOrder="2"/>
    </xf>
    <xf numFmtId="0" fontId="13" fillId="0" borderId="0" xfId="1" applyFont="1" applyFill="1" applyBorder="1" applyAlignment="1">
      <alignment vertical="center" shrinkToFit="1"/>
    </xf>
    <xf numFmtId="0" fontId="74" fillId="2" borderId="47" xfId="6" applyFont="1" applyFill="1" applyBorder="1" applyAlignment="1">
      <alignment horizontal="center" vertical="center" shrinkToFit="1" readingOrder="2"/>
    </xf>
    <xf numFmtId="0" fontId="74" fillId="2" borderId="25" xfId="6" applyFont="1" applyFill="1" applyBorder="1" applyAlignment="1">
      <alignment horizontal="center" vertical="center" shrinkToFit="1" readingOrder="2"/>
    </xf>
    <xf numFmtId="0" fontId="74" fillId="2" borderId="54" xfId="6" applyFont="1" applyFill="1" applyBorder="1" applyAlignment="1">
      <alignment horizontal="center" vertical="center" shrinkToFit="1" readingOrder="2"/>
    </xf>
    <xf numFmtId="0" fontId="74" fillId="2" borderId="48" xfId="6" applyFont="1" applyFill="1" applyBorder="1" applyAlignment="1">
      <alignment horizontal="center" vertical="center" shrinkToFit="1" readingOrder="2"/>
    </xf>
    <xf numFmtId="0" fontId="37" fillId="2" borderId="48" xfId="6" applyFont="1" applyFill="1" applyBorder="1" applyAlignment="1">
      <alignment horizontal="center" vertical="center" shrinkToFit="1" readingOrder="2"/>
    </xf>
    <xf numFmtId="0" fontId="2" fillId="2" borderId="78" xfId="1" applyFont="1" applyFill="1" applyBorder="1" applyAlignment="1">
      <alignment horizontal="center" vertical="center" shrinkToFit="1" readingOrder="2"/>
    </xf>
    <xf numFmtId="0" fontId="3" fillId="2" borderId="79" xfId="1" applyFont="1" applyFill="1" applyBorder="1" applyAlignment="1">
      <alignment horizontal="center" vertical="center" shrinkToFit="1" readingOrder="2"/>
    </xf>
    <xf numFmtId="0" fontId="3" fillId="2" borderId="80" xfId="1" applyFont="1" applyFill="1" applyBorder="1" applyAlignment="1">
      <alignment horizontal="center" vertical="center" shrinkToFit="1" readingOrder="2"/>
    </xf>
    <xf numFmtId="164" fontId="2" fillId="2" borderId="80" xfId="1" applyNumberFormat="1" applyFont="1" applyFill="1" applyBorder="1" applyAlignment="1">
      <alignment horizontal="center" vertical="center" shrinkToFit="1" readingOrder="2"/>
    </xf>
    <xf numFmtId="0" fontId="2" fillId="2" borderId="79" xfId="1" applyFont="1" applyFill="1" applyBorder="1" applyAlignment="1">
      <alignment horizontal="center" vertical="center" shrinkToFit="1" readingOrder="2"/>
    </xf>
    <xf numFmtId="0" fontId="2" fillId="2" borderId="81" xfId="1" applyFont="1" applyFill="1" applyBorder="1" applyAlignment="1">
      <alignment horizontal="center" vertical="center" shrinkToFit="1" readingOrder="2"/>
    </xf>
    <xf numFmtId="0" fontId="74" fillId="2" borderId="47" xfId="1" applyFont="1" applyFill="1" applyBorder="1" applyAlignment="1">
      <alignment horizontal="center" vertical="center" shrinkToFit="1" readingOrder="2"/>
    </xf>
    <xf numFmtId="0" fontId="74" fillId="2" borderId="49" xfId="1" applyFont="1" applyFill="1" applyBorder="1" applyAlignment="1">
      <alignment horizontal="center" vertical="center" shrinkToFit="1" readingOrder="2"/>
    </xf>
    <xf numFmtId="0" fontId="74" fillId="2" borderId="50" xfId="1" applyFont="1" applyFill="1" applyBorder="1" applyAlignment="1">
      <alignment horizontal="center" vertical="center" shrinkToFit="1" readingOrder="2"/>
    </xf>
    <xf numFmtId="0" fontId="75" fillId="2" borderId="50" xfId="1" applyFont="1" applyFill="1" applyBorder="1" applyAlignment="1">
      <alignment horizontal="center" vertical="center" shrinkToFit="1" readingOrder="2"/>
    </xf>
    <xf numFmtId="0" fontId="2" fillId="0" borderId="44" xfId="1" applyFont="1" applyBorder="1" applyAlignment="1">
      <alignment horizontal="center" vertical="center" shrinkToFit="1" readingOrder="2"/>
    </xf>
    <xf numFmtId="0" fontId="1" fillId="0" borderId="0" xfId="1" applyBorder="1"/>
    <xf numFmtId="0" fontId="2" fillId="0" borderId="17" xfId="1" applyFont="1" applyFill="1" applyBorder="1" applyAlignment="1">
      <alignment horizontal="center" vertical="center" shrinkToFit="1" readingOrder="2"/>
    </xf>
    <xf numFmtId="0" fontId="75" fillId="0" borderId="15" xfId="1" applyFont="1" applyFill="1" applyBorder="1" applyAlignment="1">
      <alignment horizontal="center" vertical="center" shrinkToFit="1" readingOrder="2"/>
    </xf>
    <xf numFmtId="0" fontId="75" fillId="0" borderId="14" xfId="1" applyFont="1" applyFill="1" applyBorder="1" applyAlignment="1">
      <alignment horizontal="center" vertical="center" shrinkToFit="1" readingOrder="2"/>
    </xf>
    <xf numFmtId="0" fontId="75" fillId="0" borderId="1" xfId="1" applyFont="1" applyFill="1" applyBorder="1" applyAlignment="1">
      <alignment horizontal="center" vertical="center" shrinkToFit="1" readingOrder="2"/>
    </xf>
    <xf numFmtId="0" fontId="75" fillId="0" borderId="16" xfId="1" applyFont="1" applyFill="1" applyBorder="1" applyAlignment="1">
      <alignment horizontal="center" vertical="center" shrinkToFit="1" readingOrder="2"/>
    </xf>
    <xf numFmtId="0" fontId="19" fillId="0" borderId="13" xfId="1" applyFont="1" applyFill="1" applyBorder="1" applyAlignment="1">
      <alignment horizontal="center" vertical="center" shrinkToFit="1" readingOrder="2"/>
    </xf>
    <xf numFmtId="0" fontId="75" fillId="0" borderId="20" xfId="1" applyFont="1" applyFill="1" applyBorder="1" applyAlignment="1">
      <alignment horizontal="center" vertical="center" shrinkToFit="1"/>
    </xf>
    <xf numFmtId="0" fontId="75" fillId="0" borderId="96" xfId="1" applyFont="1" applyFill="1" applyBorder="1" applyAlignment="1">
      <alignment horizontal="center" vertical="center" shrinkToFit="1"/>
    </xf>
    <xf numFmtId="1" fontId="75" fillId="0" borderId="14" xfId="1" applyNumberFormat="1" applyFont="1" applyFill="1" applyBorder="1" applyAlignment="1">
      <alignment horizontal="center" vertical="center" shrinkToFit="1" readingOrder="2"/>
    </xf>
    <xf numFmtId="1" fontId="75" fillId="0" borderId="1" xfId="1" applyNumberFormat="1" applyFont="1" applyFill="1" applyBorder="1" applyAlignment="1">
      <alignment horizontal="center" vertical="center" shrinkToFit="1" readingOrder="2"/>
    </xf>
    <xf numFmtId="49" fontId="75" fillId="0" borderId="16" xfId="1" applyNumberFormat="1" applyFont="1" applyFill="1" applyBorder="1" applyAlignment="1">
      <alignment horizontal="center" vertical="center" shrinkToFit="1" readingOrder="2"/>
    </xf>
    <xf numFmtId="49" fontId="75" fillId="0" borderId="13" xfId="1" applyNumberFormat="1" applyFont="1" applyFill="1" applyBorder="1" applyAlignment="1">
      <alignment horizontal="center" vertical="center" shrinkToFit="1" readingOrder="2"/>
    </xf>
    <xf numFmtId="1" fontId="19" fillId="0" borderId="12" xfId="1" applyNumberFormat="1" applyFont="1" applyFill="1" applyBorder="1" applyAlignment="1">
      <alignment horizontal="center" vertical="center" shrinkToFit="1" readingOrder="2"/>
    </xf>
    <xf numFmtId="49" fontId="19" fillId="0" borderId="13" xfId="1" applyNumberFormat="1" applyFont="1" applyFill="1" applyBorder="1" applyAlignment="1">
      <alignment horizontal="center" vertical="center" shrinkToFit="1" readingOrder="2"/>
    </xf>
    <xf numFmtId="0" fontId="19" fillId="0" borderId="17" xfId="1" applyFont="1" applyFill="1" applyBorder="1" applyAlignment="1">
      <alignment horizontal="center" vertical="center" shrinkToFit="1" readingOrder="2"/>
    </xf>
    <xf numFmtId="0" fontId="19" fillId="0" borderId="12" xfId="1" applyFont="1" applyFill="1" applyBorder="1" applyAlignment="1">
      <alignment horizontal="center" vertical="center" shrinkToFit="1" readingOrder="2"/>
    </xf>
    <xf numFmtId="0" fontId="19" fillId="0" borderId="1" xfId="1" applyFont="1" applyFill="1" applyBorder="1" applyAlignment="1">
      <alignment horizontal="center" vertical="center" shrinkToFit="1" readingOrder="2"/>
    </xf>
    <xf numFmtId="0" fontId="19" fillId="0" borderId="16" xfId="1" applyFont="1" applyFill="1" applyBorder="1" applyAlignment="1">
      <alignment horizontal="center" vertical="center" shrinkToFit="1" readingOrder="2"/>
    </xf>
    <xf numFmtId="0" fontId="19" fillId="0" borderId="14" xfId="1" applyFont="1" applyFill="1" applyBorder="1" applyAlignment="1">
      <alignment horizontal="center" vertical="center" shrinkToFit="1" readingOrder="2"/>
    </xf>
    <xf numFmtId="0" fontId="19" fillId="0" borderId="57" xfId="1" applyFont="1" applyFill="1" applyBorder="1" applyAlignment="1">
      <alignment horizontal="center" vertical="center" shrinkToFit="1" readingOrder="2"/>
    </xf>
    <xf numFmtId="0" fontId="19" fillId="0" borderId="56" xfId="1" applyFont="1" applyFill="1" applyBorder="1" applyAlignment="1">
      <alignment horizontal="center" vertical="center" shrinkToFit="1" readingOrder="2"/>
    </xf>
    <xf numFmtId="0" fontId="20" fillId="0" borderId="25" xfId="1" applyFont="1" applyBorder="1"/>
    <xf numFmtId="0" fontId="1" fillId="0" borderId="25" xfId="1" applyBorder="1"/>
    <xf numFmtId="0" fontId="75" fillId="0" borderId="6" xfId="1" applyFont="1" applyFill="1" applyBorder="1" applyAlignment="1">
      <alignment horizontal="center" vertical="center" shrinkToFit="1"/>
    </xf>
    <xf numFmtId="0" fontId="75" fillId="0" borderId="7" xfId="1" applyFont="1" applyFill="1" applyBorder="1" applyAlignment="1">
      <alignment horizontal="center" vertical="center" shrinkToFit="1"/>
    </xf>
    <xf numFmtId="0" fontId="19" fillId="0" borderId="44" xfId="1" applyFont="1" applyFill="1" applyBorder="1" applyAlignment="1">
      <alignment horizontal="center" vertical="center" shrinkToFit="1" readingOrder="2"/>
    </xf>
    <xf numFmtId="0" fontId="20" fillId="0" borderId="0" xfId="1" applyFont="1"/>
    <xf numFmtId="49" fontId="75" fillId="0" borderId="13" xfId="1" applyNumberFormat="1" applyFont="1" applyFill="1" applyBorder="1" applyAlignment="1">
      <alignment horizontal="right" vertical="center" shrinkToFit="1" readingOrder="2"/>
    </xf>
    <xf numFmtId="0" fontId="3" fillId="0" borderId="15" xfId="1" applyFont="1" applyBorder="1" applyAlignment="1">
      <alignment horizontal="center"/>
    </xf>
    <xf numFmtId="0" fontId="2" fillId="0" borderId="14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16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49" fontId="17" fillId="0" borderId="16" xfId="1" applyNumberFormat="1" applyFont="1" applyBorder="1" applyAlignment="1">
      <alignment horizontal="center" vertical="center" shrinkToFit="1"/>
    </xf>
    <xf numFmtId="1" fontId="2" fillId="0" borderId="12" xfId="1" applyNumberFormat="1" applyFont="1" applyBorder="1" applyAlignment="1">
      <alignment horizontal="center" vertical="center" shrinkToFit="1" readingOrder="2"/>
    </xf>
    <xf numFmtId="49" fontId="2" fillId="0" borderId="13" xfId="1" applyNumberFormat="1" applyFont="1" applyBorder="1" applyAlignment="1">
      <alignment horizontal="center" vertical="center" shrinkToFit="1" readingOrder="2"/>
    </xf>
    <xf numFmtId="16" fontId="2" fillId="0" borderId="16" xfId="1" applyNumberFormat="1" applyFont="1" applyBorder="1" applyAlignment="1">
      <alignment horizontal="center" vertical="center" shrinkToFit="1"/>
    </xf>
    <xf numFmtId="0" fontId="2" fillId="0" borderId="17" xfId="1" applyFont="1" applyBorder="1" applyAlignment="1">
      <alignment horizontal="center"/>
    </xf>
    <xf numFmtId="0" fontId="2" fillId="0" borderId="21" xfId="1" applyFont="1" applyBorder="1" applyAlignment="1">
      <alignment horizontal="center" vertical="center" shrinkToFit="1"/>
    </xf>
    <xf numFmtId="0" fontId="20" fillId="0" borderId="1" xfId="1" applyFont="1" applyFill="1" applyBorder="1" applyAlignment="1">
      <alignment horizontal="center" vertical="center" shrinkToFit="1" readingOrder="2"/>
    </xf>
    <xf numFmtId="0" fontId="1" fillId="0" borderId="0" xfId="1" applyAlignment="1">
      <alignment horizontal="center"/>
    </xf>
    <xf numFmtId="1" fontId="39" fillId="0" borderId="115" xfId="0" applyNumberFormat="1" applyFont="1" applyFill="1" applyBorder="1" applyAlignment="1">
      <alignment horizontal="center" vertical="center" shrinkToFit="1" readingOrder="2"/>
    </xf>
    <xf numFmtId="1" fontId="50" fillId="0" borderId="115" xfId="0" applyNumberFormat="1" applyFont="1" applyFill="1" applyBorder="1" applyAlignment="1">
      <alignment horizontal="center" vertical="center" shrinkToFit="1" readingOrder="2"/>
    </xf>
    <xf numFmtId="1" fontId="45" fillId="0" borderId="115" xfId="0" applyNumberFormat="1" applyFont="1" applyFill="1" applyBorder="1" applyAlignment="1">
      <alignment horizontal="center" vertical="center" shrinkToFit="1" readingOrder="2"/>
    </xf>
    <xf numFmtId="1" fontId="42" fillId="3" borderId="115" xfId="0" applyNumberFormat="1" applyFont="1" applyFill="1" applyBorder="1" applyAlignment="1" applyProtection="1">
      <alignment horizontal="center" vertical="center" shrinkToFit="1" readingOrder="2"/>
      <protection hidden="1"/>
    </xf>
    <xf numFmtId="1" fontId="45" fillId="4" borderId="115" xfId="0" applyNumberFormat="1" applyFont="1" applyFill="1" applyBorder="1" applyAlignment="1">
      <alignment horizontal="center" vertical="center" shrinkToFit="1" readingOrder="2"/>
    </xf>
    <xf numFmtId="1" fontId="37" fillId="0" borderId="115" xfId="0" applyNumberFormat="1" applyFont="1" applyFill="1" applyBorder="1" applyAlignment="1">
      <alignment horizontal="center" vertical="center" shrinkToFit="1" readingOrder="2"/>
    </xf>
    <xf numFmtId="1" fontId="2" fillId="2" borderId="5" xfId="0" applyNumberFormat="1" applyFont="1" applyFill="1" applyBorder="1" applyAlignment="1">
      <alignment horizontal="center" vertical="center" shrinkToFit="1" readingOrder="2"/>
    </xf>
    <xf numFmtId="1" fontId="3" fillId="2" borderId="3" xfId="0" applyNumberFormat="1" applyFont="1" applyFill="1" applyBorder="1" applyAlignment="1">
      <alignment horizontal="center" vertical="center" shrinkToFit="1" readingOrder="2"/>
    </xf>
    <xf numFmtId="1" fontId="3" fillId="2" borderId="116" xfId="0" applyNumberFormat="1" applyFont="1" applyFill="1" applyBorder="1" applyAlignment="1">
      <alignment horizontal="center" vertical="center" shrinkToFit="1" readingOrder="2"/>
    </xf>
    <xf numFmtId="1" fontId="2" fillId="2" borderId="116" xfId="0" applyNumberFormat="1" applyFont="1" applyFill="1" applyBorder="1" applyAlignment="1">
      <alignment horizontal="center" vertical="center" shrinkToFit="1" readingOrder="2"/>
    </xf>
    <xf numFmtId="1" fontId="2" fillId="2" borderId="3" xfId="0" applyNumberFormat="1" applyFont="1" applyFill="1" applyBorder="1" applyAlignment="1">
      <alignment horizontal="center" vertical="center" shrinkToFit="1" readingOrder="2"/>
    </xf>
    <xf numFmtId="1" fontId="2" fillId="2" borderId="4" xfId="0" applyNumberFormat="1" applyFont="1" applyFill="1" applyBorder="1" applyAlignment="1">
      <alignment horizontal="center" vertical="center" shrinkToFit="1" readingOrder="2"/>
    </xf>
    <xf numFmtId="1" fontId="3" fillId="2" borderId="4" xfId="0" applyNumberFormat="1" applyFont="1" applyFill="1" applyBorder="1" applyAlignment="1">
      <alignment horizontal="center" vertical="center" shrinkToFit="1" readingOrder="2"/>
    </xf>
    <xf numFmtId="1" fontId="45" fillId="2" borderId="119" xfId="1" applyNumberFormat="1" applyFont="1" applyFill="1" applyBorder="1" applyAlignment="1">
      <alignment horizontal="center" vertical="center" shrinkToFit="1" readingOrder="2"/>
    </xf>
    <xf numFmtId="1" fontId="45" fillId="2" borderId="120" xfId="1" applyNumberFormat="1" applyFont="1" applyFill="1" applyBorder="1" applyAlignment="1">
      <alignment horizontal="center" vertical="center" shrinkToFit="1" readingOrder="2"/>
    </xf>
    <xf numFmtId="1" fontId="45" fillId="2" borderId="121" xfId="1" applyNumberFormat="1" applyFont="1" applyFill="1" applyBorder="1" applyAlignment="1">
      <alignment horizontal="center" vertical="center" shrinkToFit="1" readingOrder="2"/>
    </xf>
    <xf numFmtId="0" fontId="76" fillId="0" borderId="122" xfId="0" applyFont="1" applyBorder="1" applyAlignment="1">
      <alignment horizontal="right" vertical="center" shrinkToFit="1" readingOrder="2"/>
    </xf>
    <xf numFmtId="1" fontId="47" fillId="0" borderId="106" xfId="0" applyNumberFormat="1" applyFont="1" applyBorder="1" applyAlignment="1">
      <alignment horizontal="center" vertical="center" shrinkToFit="1" readingOrder="2"/>
    </xf>
    <xf numFmtId="0" fontId="48" fillId="3" borderId="106" xfId="0" applyFont="1" applyFill="1" applyBorder="1" applyAlignment="1">
      <alignment horizontal="center" vertical="center" readingOrder="2"/>
    </xf>
    <xf numFmtId="1" fontId="49" fillId="0" borderId="106" xfId="0" applyNumberFormat="1" applyFont="1" applyBorder="1" applyAlignment="1">
      <alignment horizontal="center" vertical="center" shrinkToFit="1"/>
    </xf>
    <xf numFmtId="1" fontId="47" fillId="0" borderId="106" xfId="0" applyNumberFormat="1" applyFont="1" applyBorder="1" applyAlignment="1">
      <alignment horizontal="center" vertical="center" shrinkToFit="1"/>
    </xf>
    <xf numFmtId="1" fontId="50" fillId="0" borderId="106" xfId="0" applyNumberFormat="1" applyFont="1" applyBorder="1" applyAlignment="1">
      <alignment horizontal="center" vertical="center" shrinkToFit="1" readingOrder="2"/>
    </xf>
    <xf numFmtId="1" fontId="6" fillId="0" borderId="106" xfId="0" applyNumberFormat="1" applyFont="1" applyBorder="1" applyAlignment="1">
      <alignment horizontal="center" vertical="center" shrinkToFit="1" readingOrder="2"/>
    </xf>
    <xf numFmtId="1" fontId="49" fillId="0" borderId="83" xfId="0" applyNumberFormat="1" applyFont="1" applyBorder="1" applyAlignment="1">
      <alignment horizontal="center" vertical="center" shrinkToFit="1"/>
    </xf>
    <xf numFmtId="1" fontId="47" fillId="0" borderId="83" xfId="0" applyNumberFormat="1" applyFont="1" applyBorder="1" applyAlignment="1">
      <alignment horizontal="center" vertical="center" shrinkToFit="1"/>
    </xf>
    <xf numFmtId="1" fontId="47" fillId="0" borderId="83" xfId="0" applyNumberFormat="1" applyFont="1" applyBorder="1" applyAlignment="1">
      <alignment horizontal="center" vertical="center" shrinkToFit="1" readingOrder="2"/>
    </xf>
    <xf numFmtId="1" fontId="50" fillId="0" borderId="83" xfId="0" applyNumberFormat="1" applyFont="1" applyBorder="1" applyAlignment="1">
      <alignment horizontal="center" vertical="center" shrinkToFit="1" readingOrder="2"/>
    </xf>
    <xf numFmtId="1" fontId="6" fillId="0" borderId="83" xfId="0" applyNumberFormat="1" applyFont="1" applyBorder="1" applyAlignment="1">
      <alignment horizontal="center" vertical="center" shrinkToFit="1" readingOrder="2"/>
    </xf>
    <xf numFmtId="0" fontId="77" fillId="0" borderId="123" xfId="0" applyFont="1" applyBorder="1" applyAlignment="1" applyProtection="1">
      <alignment horizontal="right" vertical="center" shrinkToFit="1" readingOrder="2"/>
      <protection hidden="1"/>
    </xf>
    <xf numFmtId="0" fontId="78" fillId="0" borderId="122" xfId="0" applyFont="1" applyBorder="1" applyAlignment="1">
      <alignment horizontal="right" vertical="center" shrinkToFit="1" readingOrder="2"/>
    </xf>
    <xf numFmtId="0" fontId="79" fillId="0" borderId="123" xfId="0" applyFont="1" applyBorder="1" applyAlignment="1" applyProtection="1">
      <alignment horizontal="right" vertical="center" shrinkToFit="1" readingOrder="2"/>
      <protection hidden="1"/>
    </xf>
    <xf numFmtId="0" fontId="80" fillId="0" borderId="122" xfId="0" applyFont="1" applyBorder="1" applyAlignment="1">
      <alignment horizontal="right" vertical="center" shrinkToFit="1" readingOrder="2"/>
    </xf>
    <xf numFmtId="0" fontId="81" fillId="0" borderId="124" xfId="0" applyFont="1" applyBorder="1" applyAlignment="1">
      <alignment horizontal="right" vertical="center" shrinkToFit="1" readingOrder="2"/>
    </xf>
    <xf numFmtId="0" fontId="82" fillId="0" borderId="17" xfId="0" applyFont="1" applyBorder="1" applyAlignment="1">
      <alignment horizontal="right" vertical="center" wrapText="1" readingOrder="2"/>
    </xf>
    <xf numFmtId="1" fontId="46" fillId="0" borderId="83" xfId="7" applyNumberFormat="1" applyFont="1" applyBorder="1" applyAlignment="1" applyProtection="1">
      <alignment horizontal="right" vertical="center" shrinkToFit="1" readingOrder="2"/>
      <protection locked="0" hidden="1"/>
    </xf>
    <xf numFmtId="1" fontId="83" fillId="5" borderId="125" xfId="0" applyNumberFormat="1" applyFont="1" applyFill="1" applyBorder="1" applyAlignment="1" applyProtection="1">
      <alignment horizontal="center" vertical="center" shrinkToFit="1" readingOrder="2"/>
      <protection hidden="1"/>
    </xf>
    <xf numFmtId="1" fontId="83" fillId="5" borderId="126" xfId="0" applyNumberFormat="1" applyFont="1" applyFill="1" applyBorder="1" applyAlignment="1" applyProtection="1">
      <alignment horizontal="center" vertical="center" shrinkToFit="1" readingOrder="2"/>
      <protection hidden="1"/>
    </xf>
    <xf numFmtId="1" fontId="47" fillId="0" borderId="115" xfId="0" applyNumberFormat="1" applyFont="1" applyBorder="1" applyAlignment="1">
      <alignment horizontal="center" vertical="center" shrinkToFit="1" readingOrder="2"/>
    </xf>
    <xf numFmtId="1" fontId="10" fillId="0" borderId="0" xfId="0" applyNumberFormat="1" applyFont="1" applyBorder="1" applyAlignment="1">
      <alignment horizontal="left" vertical="center" shrinkToFit="1" readingOrder="2"/>
    </xf>
    <xf numFmtId="1" fontId="32" fillId="2" borderId="53" xfId="1" applyNumberFormat="1" applyFont="1" applyFill="1" applyBorder="1" applyAlignment="1">
      <alignment horizontal="center" textRotation="90" shrinkToFit="1"/>
    </xf>
    <xf numFmtId="1" fontId="32" fillId="2" borderId="40" xfId="1" applyNumberFormat="1" applyFont="1" applyFill="1" applyBorder="1" applyAlignment="1">
      <alignment horizontal="center" textRotation="90" shrinkToFit="1"/>
    </xf>
    <xf numFmtId="1" fontId="32" fillId="2" borderId="118" xfId="1" applyNumberFormat="1" applyFont="1" applyFill="1" applyBorder="1" applyAlignment="1">
      <alignment horizontal="center" textRotation="90" shrinkToFit="1"/>
    </xf>
    <xf numFmtId="1" fontId="23" fillId="0" borderId="0" xfId="0" applyNumberFormat="1" applyFont="1" applyFill="1" applyBorder="1" applyAlignment="1">
      <alignment horizontal="left" vertical="center" shrinkToFit="1"/>
    </xf>
    <xf numFmtId="1" fontId="44" fillId="2" borderId="53" xfId="1" applyNumberFormat="1" applyFont="1" applyFill="1" applyBorder="1" applyAlignment="1">
      <alignment horizontal="center" vertical="top" textRotation="90" shrinkToFit="1" readingOrder="2"/>
    </xf>
    <xf numFmtId="1" fontId="44" fillId="2" borderId="40" xfId="1" applyNumberFormat="1" applyFont="1" applyFill="1" applyBorder="1" applyAlignment="1">
      <alignment horizontal="center" vertical="top" textRotation="90" shrinkToFit="1" readingOrder="2"/>
    </xf>
    <xf numFmtId="1" fontId="44" fillId="2" borderId="118" xfId="1" applyNumberFormat="1" applyFont="1" applyFill="1" applyBorder="1" applyAlignment="1">
      <alignment horizontal="center" vertical="top" textRotation="90" shrinkToFit="1" readingOrder="2"/>
    </xf>
    <xf numFmtId="1" fontId="44" fillId="2" borderId="33" xfId="1" applyNumberFormat="1" applyFont="1" applyFill="1" applyBorder="1" applyAlignment="1">
      <alignment horizontal="center" shrinkToFit="1" readingOrder="2"/>
    </xf>
    <xf numFmtId="1" fontId="5" fillId="0" borderId="0" xfId="1" applyNumberFormat="1" applyFont="1" applyFill="1" applyBorder="1" applyAlignment="1">
      <alignment horizontal="right" vertical="center" shrinkToFit="1" readingOrder="2"/>
    </xf>
    <xf numFmtId="1" fontId="33" fillId="0" borderId="63" xfId="0" applyNumberFormat="1" applyFont="1" applyBorder="1" applyAlignment="1">
      <alignment horizontal="center" vertical="center" shrinkToFit="1" readingOrder="2"/>
    </xf>
    <xf numFmtId="1" fontId="33" fillId="0" borderId="0" xfId="0" applyNumberFormat="1" applyFont="1" applyBorder="1" applyAlignment="1">
      <alignment horizontal="center" vertical="center" shrinkToFit="1" readingOrder="2"/>
    </xf>
    <xf numFmtId="1" fontId="43" fillId="2" borderId="45" xfId="6" applyNumberFormat="1" applyFont="1" applyFill="1" applyBorder="1" applyAlignment="1">
      <alignment horizontal="center" shrinkToFit="1" readingOrder="2"/>
    </xf>
    <xf numFmtId="1" fontId="43" fillId="2" borderId="31" xfId="6" applyNumberFormat="1" applyFont="1" applyFill="1" applyBorder="1" applyAlignment="1">
      <alignment horizontal="center" shrinkToFit="1" readingOrder="2"/>
    </xf>
    <xf numFmtId="1" fontId="43" fillId="2" borderId="52" xfId="6" applyNumberFormat="1" applyFont="1" applyFill="1" applyBorder="1" applyAlignment="1">
      <alignment horizontal="center" shrinkToFit="1" readingOrder="2"/>
    </xf>
    <xf numFmtId="1" fontId="43" fillId="2" borderId="46" xfId="6" applyNumberFormat="1" applyFont="1" applyFill="1" applyBorder="1" applyAlignment="1">
      <alignment horizontal="center" shrinkToFit="1" readingOrder="2"/>
    </xf>
    <xf numFmtId="1" fontId="43" fillId="2" borderId="32" xfId="6" applyNumberFormat="1" applyFont="1" applyFill="1" applyBorder="1" applyAlignment="1">
      <alignment horizontal="center" shrinkToFit="1" readingOrder="2"/>
    </xf>
    <xf numFmtId="1" fontId="41" fillId="0" borderId="0" xfId="0" applyNumberFormat="1" applyFont="1" applyAlignment="1">
      <alignment horizontal="right" vertical="center" shrinkToFit="1" readingOrder="2"/>
    </xf>
    <xf numFmtId="1" fontId="44" fillId="2" borderId="71" xfId="1" applyNumberFormat="1" applyFont="1" applyFill="1" applyBorder="1" applyAlignment="1">
      <alignment horizontal="center" shrinkToFit="1" readingOrder="2"/>
    </xf>
    <xf numFmtId="1" fontId="41" fillId="0" borderId="0" xfId="0" applyNumberFormat="1" applyFont="1" applyAlignment="1">
      <alignment horizontal="left" vertical="center" shrinkToFit="1" readingOrder="2"/>
    </xf>
    <xf numFmtId="1" fontId="30" fillId="0" borderId="0" xfId="0" applyNumberFormat="1" applyFont="1" applyAlignment="1">
      <alignment horizontal="left" vertical="center" shrinkToFit="1" readingOrder="2"/>
    </xf>
    <xf numFmtId="1" fontId="9" fillId="0" borderId="0" xfId="0" applyNumberFormat="1" applyFont="1" applyAlignment="1">
      <alignment horizontal="right" vertical="center" shrinkToFit="1" readingOrder="2"/>
    </xf>
    <xf numFmtId="1" fontId="5" fillId="0" borderId="0" xfId="0" applyNumberFormat="1" applyFont="1" applyAlignment="1">
      <alignment horizontal="left" vertical="center" shrinkToFit="1" readingOrder="2"/>
    </xf>
    <xf numFmtId="1" fontId="5" fillId="0" borderId="0" xfId="0" applyNumberFormat="1" applyFont="1" applyAlignment="1">
      <alignment horizontal="right" vertical="center" shrinkToFit="1" readingOrder="2"/>
    </xf>
    <xf numFmtId="1" fontId="40" fillId="0" borderId="0" xfId="1" applyNumberFormat="1" applyFont="1" applyFill="1" applyBorder="1" applyAlignment="1">
      <alignment horizontal="center" vertical="center" shrinkToFit="1" readingOrder="2"/>
    </xf>
    <xf numFmtId="1" fontId="2" fillId="2" borderId="19" xfId="0" applyNumberFormat="1" applyFont="1" applyFill="1" applyBorder="1" applyAlignment="1">
      <alignment horizontal="center" vertical="center" shrinkToFit="1" readingOrder="2"/>
    </xf>
    <xf numFmtId="1" fontId="2" fillId="2" borderId="18" xfId="0" applyNumberFormat="1" applyFont="1" applyFill="1" applyBorder="1" applyAlignment="1">
      <alignment horizontal="center" vertical="center" shrinkToFit="1" readingOrder="2"/>
    </xf>
    <xf numFmtId="1" fontId="2" fillId="2" borderId="11" xfId="0" applyNumberFormat="1" applyFont="1" applyFill="1" applyBorder="1" applyAlignment="1">
      <alignment horizontal="center" vertical="center" shrinkToFit="1" readingOrder="2"/>
    </xf>
    <xf numFmtId="1" fontId="9" fillId="2" borderId="8" xfId="0" applyNumberFormat="1" applyFont="1" applyFill="1" applyBorder="1" applyAlignment="1">
      <alignment horizontal="center" vertical="center" shrinkToFit="1" readingOrder="2"/>
    </xf>
    <xf numFmtId="1" fontId="9" fillId="2" borderId="9" xfId="0" applyNumberFormat="1" applyFont="1" applyFill="1" applyBorder="1" applyAlignment="1">
      <alignment horizontal="center" vertical="center" shrinkToFit="1" readingOrder="2"/>
    </xf>
    <xf numFmtId="1" fontId="9" fillId="2" borderId="10" xfId="0" applyNumberFormat="1" applyFont="1" applyFill="1" applyBorder="1" applyAlignment="1">
      <alignment horizontal="center" vertical="center" shrinkToFit="1" readingOrder="2"/>
    </xf>
    <xf numFmtId="1" fontId="3" fillId="2" borderId="36" xfId="0" applyNumberFormat="1" applyFont="1" applyFill="1" applyBorder="1" applyAlignment="1">
      <alignment horizontal="center" vertical="center" shrinkToFit="1" readingOrder="2"/>
    </xf>
    <xf numFmtId="1" fontId="3" fillId="2" borderId="37" xfId="0" applyNumberFormat="1" applyFont="1" applyFill="1" applyBorder="1" applyAlignment="1">
      <alignment horizontal="center" vertical="center" shrinkToFit="1" readingOrder="2"/>
    </xf>
    <xf numFmtId="1" fontId="3" fillId="2" borderId="35" xfId="0" applyNumberFormat="1" applyFont="1" applyFill="1" applyBorder="1" applyAlignment="1">
      <alignment horizontal="center" vertical="center" shrinkToFit="1" readingOrder="2"/>
    </xf>
    <xf numFmtId="1" fontId="3" fillId="2" borderId="51" xfId="0" applyNumberFormat="1" applyFont="1" applyFill="1" applyBorder="1" applyAlignment="1">
      <alignment horizontal="center" vertical="center" shrinkToFit="1" readingOrder="2"/>
    </xf>
    <xf numFmtId="1" fontId="3" fillId="2" borderId="30" xfId="0" applyNumberFormat="1" applyFont="1" applyFill="1" applyBorder="1" applyAlignment="1">
      <alignment horizontal="center" vertical="center" shrinkToFit="1" readingOrder="2"/>
    </xf>
    <xf numFmtId="1" fontId="3" fillId="2" borderId="34" xfId="0" applyNumberFormat="1" applyFont="1" applyFill="1" applyBorder="1" applyAlignment="1">
      <alignment horizontal="center" vertical="center" shrinkToFit="1" readingOrder="2"/>
    </xf>
    <xf numFmtId="1" fontId="5" fillId="2" borderId="51" xfId="0" applyNumberFormat="1" applyFont="1" applyFill="1" applyBorder="1" applyAlignment="1">
      <alignment horizontal="center" vertical="center" wrapText="1" readingOrder="2"/>
    </xf>
    <xf numFmtId="1" fontId="5" fillId="2" borderId="30" xfId="0" applyNumberFormat="1" applyFont="1" applyFill="1" applyBorder="1" applyAlignment="1">
      <alignment horizontal="center" vertical="center" wrapText="1" readingOrder="2"/>
    </xf>
    <xf numFmtId="1" fontId="5" fillId="2" borderId="34" xfId="0" applyNumberFormat="1" applyFont="1" applyFill="1" applyBorder="1" applyAlignment="1">
      <alignment horizontal="center" vertical="center" wrapText="1" readingOrder="2"/>
    </xf>
    <xf numFmtId="1" fontId="2" fillId="2" borderId="38" xfId="0" applyNumberFormat="1" applyFont="1" applyFill="1" applyBorder="1" applyAlignment="1">
      <alignment horizontal="left" vertical="center" textRotation="90" shrinkToFit="1" readingOrder="2"/>
    </xf>
    <xf numFmtId="1" fontId="2" fillId="2" borderId="41" xfId="0" applyNumberFormat="1" applyFont="1" applyFill="1" applyBorder="1" applyAlignment="1">
      <alignment horizontal="left" vertical="center" textRotation="90" shrinkToFit="1" readingOrder="2"/>
    </xf>
    <xf numFmtId="1" fontId="2" fillId="2" borderId="117" xfId="0" applyNumberFormat="1" applyFont="1" applyFill="1" applyBorder="1" applyAlignment="1">
      <alignment horizontal="left" vertical="center" textRotation="90" shrinkToFit="1" readingOrder="2"/>
    </xf>
    <xf numFmtId="1" fontId="2" fillId="2" borderId="39" xfId="0" applyNumberFormat="1" applyFont="1" applyFill="1" applyBorder="1" applyAlignment="1">
      <alignment horizontal="center" vertical="center" textRotation="90" shrinkToFit="1" readingOrder="2"/>
    </xf>
    <xf numFmtId="1" fontId="2" fillId="2" borderId="42" xfId="0" applyNumberFormat="1" applyFont="1" applyFill="1" applyBorder="1" applyAlignment="1">
      <alignment horizontal="center" vertical="center" textRotation="90" shrinkToFit="1" readingOrder="2"/>
    </xf>
    <xf numFmtId="1" fontId="2" fillId="2" borderId="43" xfId="0" applyNumberFormat="1" applyFont="1" applyFill="1" applyBorder="1" applyAlignment="1">
      <alignment horizontal="center" vertical="center" textRotation="90" shrinkToFit="1" readingOrder="2"/>
    </xf>
    <xf numFmtId="1" fontId="7" fillId="2" borderId="36" xfId="0" applyNumberFormat="1" applyFont="1" applyFill="1" applyBorder="1" applyAlignment="1">
      <alignment horizontal="center" vertical="center" wrapText="1" readingOrder="2"/>
    </xf>
    <xf numFmtId="1" fontId="7" fillId="2" borderId="37" xfId="0" applyNumberFormat="1" applyFont="1" applyFill="1" applyBorder="1" applyAlignment="1">
      <alignment horizontal="center" vertical="center" wrapText="1" readingOrder="2"/>
    </xf>
    <xf numFmtId="1" fontId="7" fillId="2" borderId="35" xfId="0" applyNumberFormat="1" applyFont="1" applyFill="1" applyBorder="1" applyAlignment="1">
      <alignment horizontal="center" vertical="center" wrapText="1" readingOrder="2"/>
    </xf>
    <xf numFmtId="1" fontId="5" fillId="0" borderId="0" xfId="0" applyNumberFormat="1" applyFont="1" applyAlignment="1">
      <alignment horizontal="center" vertical="center" shrinkToFit="1" readingOrder="2"/>
    </xf>
    <xf numFmtId="1" fontId="9" fillId="0" borderId="0" xfId="0" applyNumberFormat="1" applyFont="1" applyAlignment="1">
      <alignment horizontal="left" vertical="center" shrinkToFit="1" readingOrder="2"/>
    </xf>
    <xf numFmtId="0" fontId="26" fillId="4" borderId="41" xfId="1" applyFont="1" applyFill="1" applyBorder="1" applyAlignment="1">
      <alignment horizontal="center" vertical="center" wrapText="1" readingOrder="2"/>
    </xf>
    <xf numFmtId="0" fontId="26" fillId="4" borderId="64" xfId="1" applyFont="1" applyFill="1" applyBorder="1" applyAlignment="1">
      <alignment horizontal="center" vertical="center" wrapText="1" readingOrder="2"/>
    </xf>
    <xf numFmtId="0" fontId="26" fillId="4" borderId="42" xfId="1" applyFont="1" applyFill="1" applyBorder="1" applyAlignment="1">
      <alignment horizontal="center" vertical="center" wrapText="1" readingOrder="2"/>
    </xf>
    <xf numFmtId="0" fontId="22" fillId="0" borderId="29" xfId="1" applyFont="1" applyBorder="1" applyAlignment="1">
      <alignment horizontal="center" vertical="center" shrinkToFit="1" readingOrder="2"/>
    </xf>
    <xf numFmtId="0" fontId="2" fillId="4" borderId="19" xfId="1" applyFont="1" applyFill="1" applyBorder="1" applyAlignment="1">
      <alignment horizontal="center" vertical="center" shrinkToFit="1" readingOrder="2"/>
    </xf>
    <xf numFmtId="0" fontId="2" fillId="4" borderId="18" xfId="1" applyFont="1" applyFill="1" applyBorder="1" applyAlignment="1">
      <alignment horizontal="center" vertical="center" shrinkToFit="1" readingOrder="2"/>
    </xf>
    <xf numFmtId="0" fontId="2" fillId="4" borderId="11" xfId="1" applyFont="1" applyFill="1" applyBorder="1" applyAlignment="1">
      <alignment horizontal="center" vertical="center" shrinkToFit="1" readingOrder="2"/>
    </xf>
    <xf numFmtId="0" fontId="25" fillId="4" borderId="8" xfId="1" applyFont="1" applyFill="1" applyBorder="1" applyAlignment="1">
      <alignment horizontal="center" vertical="center" shrinkToFit="1" readingOrder="2"/>
    </xf>
    <xf numFmtId="0" fontId="25" fillId="4" borderId="9" xfId="1" applyFont="1" applyFill="1" applyBorder="1" applyAlignment="1">
      <alignment horizontal="center" vertical="center" shrinkToFit="1" readingOrder="2"/>
    </xf>
    <xf numFmtId="0" fontId="25" fillId="4" borderId="10" xfId="1" applyFont="1" applyFill="1" applyBorder="1" applyAlignment="1">
      <alignment horizontal="center" vertical="center" shrinkToFit="1" readingOrder="2"/>
    </xf>
    <xf numFmtId="0" fontId="26" fillId="4" borderId="37" xfId="1" applyFont="1" applyFill="1" applyBorder="1" applyAlignment="1">
      <alignment horizontal="center" vertical="center" shrinkToFit="1" readingOrder="2"/>
    </xf>
    <xf numFmtId="0" fontId="26" fillId="4" borderId="59" xfId="1" applyFont="1" applyFill="1" applyBorder="1" applyAlignment="1">
      <alignment horizontal="center" vertical="center" shrinkToFit="1" readingOrder="2"/>
    </xf>
    <xf numFmtId="0" fontId="26" fillId="4" borderId="30" xfId="1" applyFont="1" applyFill="1" applyBorder="1" applyAlignment="1">
      <alignment horizontal="center" vertical="center" shrinkToFit="1" readingOrder="2"/>
    </xf>
    <xf numFmtId="0" fontId="26" fillId="4" borderId="62" xfId="1" applyFont="1" applyFill="1" applyBorder="1" applyAlignment="1">
      <alignment horizontal="center" vertical="center" shrinkToFit="1" readingOrder="2"/>
    </xf>
    <xf numFmtId="0" fontId="27" fillId="4" borderId="60" xfId="1" applyFont="1" applyFill="1" applyBorder="1" applyAlignment="1">
      <alignment horizontal="center" vertical="center" textRotation="90" shrinkToFit="1" readingOrder="2"/>
    </xf>
    <xf numFmtId="0" fontId="27" fillId="4" borderId="63" xfId="1" applyFont="1" applyFill="1" applyBorder="1" applyAlignment="1">
      <alignment horizontal="center" vertical="center" textRotation="90" shrinkToFit="1" readingOrder="2"/>
    </xf>
    <xf numFmtId="0" fontId="27" fillId="4" borderId="68" xfId="1" applyFont="1" applyFill="1" applyBorder="1" applyAlignment="1">
      <alignment horizontal="center" vertical="center" textRotation="90" shrinkToFit="1" readingOrder="2"/>
    </xf>
    <xf numFmtId="0" fontId="7" fillId="4" borderId="36" xfId="1" applyFont="1" applyFill="1" applyBorder="1" applyAlignment="1">
      <alignment horizontal="center" vertical="center" wrapText="1" readingOrder="2"/>
    </xf>
    <xf numFmtId="0" fontId="7" fillId="4" borderId="37" xfId="1" applyFont="1" applyFill="1" applyBorder="1" applyAlignment="1">
      <alignment horizontal="center" vertical="center" wrapText="1" readingOrder="2"/>
    </xf>
    <xf numFmtId="0" fontId="7" fillId="4" borderId="35" xfId="1" applyFont="1" applyFill="1" applyBorder="1" applyAlignment="1">
      <alignment horizontal="center" vertical="center" wrapText="1" readingOrder="2"/>
    </xf>
    <xf numFmtId="0" fontId="29" fillId="4" borderId="38" xfId="1" applyFont="1" applyFill="1" applyBorder="1" applyAlignment="1">
      <alignment horizontal="center" vertical="center" wrapText="1" readingOrder="2"/>
    </xf>
    <xf numFmtId="0" fontId="29" fillId="4" borderId="61" xfId="1" applyFont="1" applyFill="1" applyBorder="1" applyAlignment="1">
      <alignment horizontal="center" vertical="center" wrapText="1" readingOrder="2"/>
    </xf>
    <xf numFmtId="0" fontId="29" fillId="4" borderId="39" xfId="1" applyFont="1" applyFill="1" applyBorder="1" applyAlignment="1">
      <alignment horizontal="center" vertical="center" wrapText="1" readingOrder="2"/>
    </xf>
    <xf numFmtId="0" fontId="26" fillId="4" borderId="38" xfId="1" applyFont="1" applyFill="1" applyBorder="1" applyAlignment="1">
      <alignment horizontal="center" vertical="center" wrapText="1" readingOrder="2"/>
    </xf>
    <xf numFmtId="0" fontId="26" fillId="4" borderId="61" xfId="1" applyFont="1" applyFill="1" applyBorder="1" applyAlignment="1">
      <alignment horizontal="center" vertical="center" wrapText="1" readingOrder="2"/>
    </xf>
    <xf numFmtId="0" fontId="26" fillId="4" borderId="39" xfId="1" applyFont="1" applyFill="1" applyBorder="1" applyAlignment="1">
      <alignment horizontal="center" vertical="center" wrapText="1" readingOrder="2"/>
    </xf>
    <xf numFmtId="0" fontId="7" fillId="4" borderId="44" xfId="1" applyFont="1" applyFill="1" applyBorder="1" applyAlignment="1">
      <alignment horizontal="center" vertical="center" wrapText="1" readingOrder="2"/>
    </xf>
    <xf numFmtId="0" fontId="7" fillId="4" borderId="0" xfId="1" applyFont="1" applyFill="1" applyBorder="1" applyAlignment="1">
      <alignment horizontal="center" vertical="center" wrapText="1" readingOrder="2"/>
    </xf>
    <xf numFmtId="0" fontId="7" fillId="4" borderId="22" xfId="1" applyFont="1" applyFill="1" applyBorder="1" applyAlignment="1">
      <alignment horizontal="center" vertical="center" wrapText="1" readingOrder="2"/>
    </xf>
    <xf numFmtId="0" fontId="3" fillId="0" borderId="0" xfId="1" applyFont="1" applyAlignment="1">
      <alignment horizontal="left" vertical="center" shrinkToFit="1" readingOrder="2"/>
    </xf>
    <xf numFmtId="0" fontId="5" fillId="0" borderId="0" xfId="1" applyFont="1" applyAlignment="1">
      <alignment horizontal="right" vertical="center" shrinkToFit="1" readingOrder="2"/>
    </xf>
    <xf numFmtId="0" fontId="5" fillId="0" borderId="0" xfId="1" applyFont="1" applyAlignment="1">
      <alignment horizontal="center" vertical="center" shrinkToFit="1" readingOrder="2"/>
    </xf>
    <xf numFmtId="1" fontId="3" fillId="0" borderId="0" xfId="0" applyNumberFormat="1" applyFont="1" applyAlignment="1">
      <alignment horizontal="right" vertical="center" shrinkToFit="1" readingOrder="2"/>
    </xf>
    <xf numFmtId="0" fontId="16" fillId="2" borderId="58" xfId="1" applyFont="1" applyFill="1" applyBorder="1" applyAlignment="1">
      <alignment horizontal="center" vertical="center" textRotation="90" shrinkToFit="1" readingOrder="2"/>
    </xf>
    <xf numFmtId="0" fontId="16" fillId="2" borderId="40" xfId="1" applyFont="1" applyFill="1" applyBorder="1" applyAlignment="1">
      <alignment horizontal="center" vertical="center" textRotation="90" shrinkToFit="1" readingOrder="2"/>
    </xf>
    <xf numFmtId="0" fontId="16" fillId="2" borderId="23" xfId="1" applyFont="1" applyFill="1" applyBorder="1" applyAlignment="1">
      <alignment horizontal="center" vertical="center" textRotation="90" shrinkToFit="1" readingOrder="2"/>
    </xf>
    <xf numFmtId="0" fontId="16" fillId="2" borderId="55" xfId="1" applyFont="1" applyFill="1" applyBorder="1" applyAlignment="1">
      <alignment horizontal="center" vertical="center" textRotation="90" shrinkToFit="1"/>
    </xf>
    <xf numFmtId="0" fontId="16" fillId="2" borderId="0" xfId="1" applyFont="1" applyFill="1" applyBorder="1" applyAlignment="1">
      <alignment horizontal="center" vertical="center" textRotation="90" shrinkToFit="1"/>
    </xf>
    <xf numFmtId="0" fontId="3" fillId="2" borderId="51" xfId="1" applyFont="1" applyFill="1" applyBorder="1" applyAlignment="1">
      <alignment horizontal="center" vertical="center" wrapText="1" readingOrder="2"/>
    </xf>
    <xf numFmtId="0" fontId="3" fillId="2" borderId="30" xfId="1" applyFont="1" applyFill="1" applyBorder="1" applyAlignment="1">
      <alignment horizontal="center" vertical="center" wrapText="1" readingOrder="2"/>
    </xf>
    <xf numFmtId="0" fontId="3" fillId="2" borderId="34" xfId="1" applyFont="1" applyFill="1" applyBorder="1" applyAlignment="1">
      <alignment horizontal="center" vertical="center" wrapText="1" readingOrder="2"/>
    </xf>
    <xf numFmtId="0" fontId="72" fillId="2" borderId="45" xfId="6" applyFont="1" applyFill="1" applyBorder="1" applyAlignment="1">
      <alignment horizontal="center" vertical="center" shrinkToFit="1" readingOrder="2"/>
    </xf>
    <xf numFmtId="0" fontId="72" fillId="2" borderId="31" xfId="6" applyFont="1" applyFill="1" applyBorder="1" applyAlignment="1">
      <alignment horizontal="center" vertical="center" shrinkToFit="1" readingOrder="2"/>
    </xf>
    <xf numFmtId="0" fontId="72" fillId="2" borderId="46" xfId="6" applyFont="1" applyFill="1" applyBorder="1" applyAlignment="1">
      <alignment horizontal="center" vertical="center" shrinkToFit="1" readingOrder="2"/>
    </xf>
    <xf numFmtId="0" fontId="73" fillId="2" borderId="33" xfId="1" applyFont="1" applyFill="1" applyBorder="1" applyAlignment="1">
      <alignment horizontal="center" vertical="center" shrinkToFit="1" readingOrder="2"/>
    </xf>
    <xf numFmtId="0" fontId="73" fillId="2" borderId="71" xfId="1" applyFont="1" applyFill="1" applyBorder="1" applyAlignment="1">
      <alignment horizontal="center" vertical="center" shrinkToFit="1" readingOrder="2"/>
    </xf>
    <xf numFmtId="0" fontId="7" fillId="2" borderId="36" xfId="1" applyFont="1" applyFill="1" applyBorder="1" applyAlignment="1">
      <alignment horizontal="center" vertical="center" wrapText="1" readingOrder="2"/>
    </xf>
    <xf numFmtId="0" fontId="7" fillId="2" borderId="37" xfId="1" applyFont="1" applyFill="1" applyBorder="1" applyAlignment="1">
      <alignment horizontal="center" vertical="center" wrapText="1" readingOrder="2"/>
    </xf>
    <xf numFmtId="0" fontId="7" fillId="2" borderId="35" xfId="1" applyFont="1" applyFill="1" applyBorder="1" applyAlignment="1">
      <alignment horizontal="center" vertical="center" wrapText="1" readingOrder="2"/>
    </xf>
    <xf numFmtId="0" fontId="3" fillId="2" borderId="53" xfId="1" applyFont="1" applyFill="1" applyBorder="1" applyAlignment="1">
      <alignment horizontal="center" vertical="center" shrinkToFit="1" readingOrder="2"/>
    </xf>
    <xf numFmtId="0" fontId="3" fillId="2" borderId="40" xfId="1" applyFont="1" applyFill="1" applyBorder="1" applyAlignment="1">
      <alignment horizontal="center" vertical="center" shrinkToFit="1" readingOrder="2"/>
    </xf>
    <xf numFmtId="0" fontId="3" fillId="2" borderId="23" xfId="1" applyFont="1" applyFill="1" applyBorder="1" applyAlignment="1">
      <alignment horizontal="center" vertical="center" shrinkToFit="1" readingOrder="2"/>
    </xf>
    <xf numFmtId="0" fontId="72" fillId="2" borderId="52" xfId="6" applyFont="1" applyFill="1" applyBorder="1" applyAlignment="1">
      <alignment horizontal="center" vertical="center" shrinkToFit="1" readingOrder="2"/>
    </xf>
    <xf numFmtId="0" fontId="72" fillId="2" borderId="32" xfId="6" applyFont="1" applyFill="1" applyBorder="1" applyAlignment="1">
      <alignment horizontal="center" vertical="center" shrinkToFit="1" readingOrder="2"/>
    </xf>
    <xf numFmtId="0" fontId="2" fillId="2" borderId="19" xfId="1" applyFont="1" applyFill="1" applyBorder="1" applyAlignment="1">
      <alignment horizontal="center" vertical="center" shrinkToFit="1" readingOrder="2"/>
    </xf>
    <xf numFmtId="0" fontId="2" fillId="2" borderId="18" xfId="1" applyFont="1" applyFill="1" applyBorder="1" applyAlignment="1">
      <alignment horizontal="center" vertical="center" shrinkToFit="1" readingOrder="2"/>
    </xf>
    <xf numFmtId="0" fontId="2" fillId="2" borderId="72" xfId="1" applyFont="1" applyFill="1" applyBorder="1" applyAlignment="1">
      <alignment horizontal="center" vertical="center" shrinkToFit="1" readingOrder="2"/>
    </xf>
    <xf numFmtId="0" fontId="3" fillId="2" borderId="8" xfId="1" applyFont="1" applyFill="1" applyBorder="1" applyAlignment="1">
      <alignment horizontal="center" vertical="center" shrinkToFit="1" readingOrder="2"/>
    </xf>
    <xf numFmtId="0" fontId="3" fillId="2" borderId="9" xfId="1" applyFont="1" applyFill="1" applyBorder="1" applyAlignment="1">
      <alignment horizontal="center" vertical="center" shrinkToFit="1" readingOrder="2"/>
    </xf>
    <xf numFmtId="0" fontId="3" fillId="2" borderId="73" xfId="1" applyFont="1" applyFill="1" applyBorder="1" applyAlignment="1">
      <alignment horizontal="center" vertical="center" shrinkToFit="1" readingOrder="2"/>
    </xf>
    <xf numFmtId="0" fontId="3" fillId="2" borderId="36" xfId="1" applyFont="1" applyFill="1" applyBorder="1" applyAlignment="1">
      <alignment horizontal="center" vertical="center" shrinkToFit="1" readingOrder="2"/>
    </xf>
    <xf numFmtId="0" fontId="3" fillId="2" borderId="37" xfId="1" applyFont="1" applyFill="1" applyBorder="1" applyAlignment="1">
      <alignment horizontal="center" vertical="center" shrinkToFit="1" readingOrder="2"/>
    </xf>
    <xf numFmtId="0" fontId="3" fillId="2" borderId="35" xfId="1" applyFont="1" applyFill="1" applyBorder="1" applyAlignment="1">
      <alignment horizontal="center" vertical="center" shrinkToFit="1" readingOrder="2"/>
    </xf>
    <xf numFmtId="0" fontId="3" fillId="2" borderId="51" xfId="1" applyFont="1" applyFill="1" applyBorder="1" applyAlignment="1">
      <alignment horizontal="center" vertical="center" shrinkToFit="1" readingOrder="2"/>
    </xf>
    <xf numFmtId="0" fontId="3" fillId="2" borderId="30" xfId="1" applyFont="1" applyFill="1" applyBorder="1" applyAlignment="1">
      <alignment horizontal="center" vertical="center" shrinkToFit="1" readingOrder="2"/>
    </xf>
    <xf numFmtId="0" fontId="3" fillId="2" borderId="34" xfId="1" applyFont="1" applyFill="1" applyBorder="1" applyAlignment="1">
      <alignment horizontal="center" vertical="center" shrinkToFit="1" readingOrder="2"/>
    </xf>
    <xf numFmtId="0" fontId="2" fillId="2" borderId="38" xfId="1" applyFont="1" applyFill="1" applyBorder="1" applyAlignment="1">
      <alignment horizontal="center" vertical="center" textRotation="90" shrinkToFit="1" readingOrder="2"/>
    </xf>
    <xf numFmtId="0" fontId="2" fillId="2" borderId="41" xfId="1" applyFont="1" applyFill="1" applyBorder="1" applyAlignment="1">
      <alignment horizontal="center" vertical="center" textRotation="90" shrinkToFit="1" readingOrder="2"/>
    </xf>
    <xf numFmtId="0" fontId="2" fillId="2" borderId="77" xfId="1" applyFont="1" applyFill="1" applyBorder="1" applyAlignment="1">
      <alignment horizontal="center" vertical="center" textRotation="90" shrinkToFit="1" readingOrder="2"/>
    </xf>
    <xf numFmtId="0" fontId="2" fillId="2" borderId="39" xfId="1" applyFont="1" applyFill="1" applyBorder="1" applyAlignment="1">
      <alignment horizontal="center" vertical="center" textRotation="90" shrinkToFit="1" readingOrder="2"/>
    </xf>
    <xf numFmtId="0" fontId="2" fillId="2" borderId="42" xfId="1" applyFont="1" applyFill="1" applyBorder="1" applyAlignment="1">
      <alignment horizontal="center" vertical="center" textRotation="90" shrinkToFit="1" readingOrder="2"/>
    </xf>
    <xf numFmtId="0" fontId="9" fillId="0" borderId="0" xfId="1" applyFont="1" applyAlignment="1">
      <alignment horizontal="left" vertical="center" shrinkToFit="1" readingOrder="2"/>
    </xf>
    <xf numFmtId="0" fontId="9" fillId="0" borderId="0" xfId="1" applyFont="1" applyFill="1" applyBorder="1" applyAlignment="1">
      <alignment horizontal="center" vertical="center" shrinkToFit="1" readingOrder="2"/>
    </xf>
    <xf numFmtId="0" fontId="11" fillId="0" borderId="0" xfId="1" applyFont="1" applyBorder="1" applyAlignment="1">
      <alignment horizontal="center" vertical="center" shrinkToFit="1" readingOrder="2"/>
    </xf>
    <xf numFmtId="0" fontId="11" fillId="0" borderId="24" xfId="1" applyFont="1" applyBorder="1" applyAlignment="1">
      <alignment horizontal="center" vertical="center" shrinkToFit="1" readingOrder="2"/>
    </xf>
    <xf numFmtId="0" fontId="10" fillId="0" borderId="24" xfId="1" applyFont="1" applyBorder="1" applyAlignment="1">
      <alignment horizontal="center" vertical="center" shrinkToFit="1" readingOrder="2"/>
    </xf>
    <xf numFmtId="0" fontId="71" fillId="0" borderId="0" xfId="1" applyFont="1" applyFill="1" applyBorder="1" applyAlignment="1">
      <alignment horizontal="center" vertical="center" shrinkToFit="1"/>
    </xf>
    <xf numFmtId="0" fontId="3" fillId="0" borderId="0" xfId="1" applyFont="1" applyFill="1" applyBorder="1" applyAlignment="1">
      <alignment horizontal="center" vertical="center" shrinkToFit="1" readingOrder="2"/>
    </xf>
    <xf numFmtId="0" fontId="9" fillId="0" borderId="0" xfId="1" applyFont="1" applyAlignment="1">
      <alignment horizontal="center" vertical="center" shrinkToFit="1" readingOrder="2"/>
    </xf>
    <xf numFmtId="0" fontId="26" fillId="0" borderId="41" xfId="1" applyFont="1" applyBorder="1" applyAlignment="1">
      <alignment horizontal="center" vertical="center" wrapText="1" readingOrder="2"/>
    </xf>
    <xf numFmtId="0" fontId="26" fillId="0" borderId="64" xfId="1" applyFont="1" applyBorder="1" applyAlignment="1">
      <alignment horizontal="center" vertical="center" wrapText="1" readingOrder="2"/>
    </xf>
    <xf numFmtId="0" fontId="26" fillId="0" borderId="42" xfId="1" applyFont="1" applyBorder="1" applyAlignment="1">
      <alignment horizontal="center" vertical="center" wrapText="1" readingOrder="2"/>
    </xf>
    <xf numFmtId="0" fontId="2" fillId="0" borderId="19" xfId="1" applyFont="1" applyBorder="1" applyAlignment="1">
      <alignment horizontal="center" vertical="center" shrinkToFit="1" readingOrder="2"/>
    </xf>
    <xf numFmtId="0" fontId="2" fillId="0" borderId="18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25" fillId="0" borderId="8" xfId="1" applyFont="1" applyBorder="1" applyAlignment="1">
      <alignment horizontal="center" vertical="center" shrinkToFit="1" readingOrder="2"/>
    </xf>
    <xf numFmtId="0" fontId="25" fillId="0" borderId="9" xfId="1" applyFont="1" applyBorder="1" applyAlignment="1">
      <alignment horizontal="center" vertical="center" shrinkToFit="1" readingOrder="2"/>
    </xf>
    <xf numFmtId="0" fontId="25" fillId="0" borderId="10" xfId="1" applyFont="1" applyBorder="1" applyAlignment="1">
      <alignment horizontal="center" vertical="center" shrinkToFit="1" readingOrder="2"/>
    </xf>
    <xf numFmtId="0" fontId="26" fillId="0" borderId="37" xfId="1" applyFont="1" applyBorder="1" applyAlignment="1">
      <alignment horizontal="center" vertical="center" shrinkToFit="1" readingOrder="2"/>
    </xf>
    <xf numFmtId="0" fontId="26" fillId="0" borderId="59" xfId="1" applyFont="1" applyBorder="1" applyAlignment="1">
      <alignment horizontal="center" vertical="center" shrinkToFit="1" readingOrder="2"/>
    </xf>
    <xf numFmtId="0" fontId="26" fillId="0" borderId="30" xfId="1" applyFont="1" applyBorder="1" applyAlignment="1">
      <alignment horizontal="center" vertical="center" shrinkToFit="1" readingOrder="2"/>
    </xf>
    <xf numFmtId="0" fontId="26" fillId="0" borderId="62" xfId="1" applyFont="1" applyBorder="1" applyAlignment="1">
      <alignment horizontal="center" vertical="center" shrinkToFit="1" readingOrder="2"/>
    </xf>
    <xf numFmtId="0" fontId="27" fillId="0" borderId="60" xfId="1" applyFont="1" applyBorder="1" applyAlignment="1">
      <alignment horizontal="center" vertical="center" textRotation="90" shrinkToFit="1" readingOrder="2"/>
    </xf>
    <xf numFmtId="0" fontId="27" fillId="0" borderId="63" xfId="1" applyFont="1" applyBorder="1" applyAlignment="1">
      <alignment horizontal="center" vertical="center" textRotation="90" shrinkToFit="1" readingOrder="2"/>
    </xf>
    <xf numFmtId="0" fontId="27" fillId="0" borderId="68" xfId="1" applyFont="1" applyBorder="1" applyAlignment="1">
      <alignment horizontal="center" vertical="center" textRotation="90" shrinkToFit="1" readingOrder="2"/>
    </xf>
    <xf numFmtId="0" fontId="7" fillId="0" borderId="36" xfId="1" applyFont="1" applyBorder="1" applyAlignment="1">
      <alignment horizontal="center" vertical="center" wrapText="1" readingOrder="2"/>
    </xf>
    <xf numFmtId="0" fontId="7" fillId="0" borderId="37" xfId="1" applyFont="1" applyBorder="1" applyAlignment="1">
      <alignment horizontal="center" vertical="center" wrapText="1" readingOrder="2"/>
    </xf>
    <xf numFmtId="0" fontId="7" fillId="0" borderId="35" xfId="1" applyFont="1" applyBorder="1" applyAlignment="1">
      <alignment horizontal="center" vertical="center" wrapText="1" readingOrder="2"/>
    </xf>
    <xf numFmtId="0" fontId="29" fillId="0" borderId="38" xfId="1" applyFont="1" applyBorder="1" applyAlignment="1">
      <alignment horizontal="center" vertical="center" wrapText="1" readingOrder="2"/>
    </xf>
    <xf numFmtId="0" fontId="29" fillId="0" borderId="61" xfId="1" applyFont="1" applyBorder="1" applyAlignment="1">
      <alignment horizontal="center" vertical="center" wrapText="1" readingOrder="2"/>
    </xf>
    <xf numFmtId="0" fontId="29" fillId="0" borderId="39" xfId="1" applyFont="1" applyBorder="1" applyAlignment="1">
      <alignment horizontal="center" vertical="center" wrapText="1" readingOrder="2"/>
    </xf>
    <xf numFmtId="0" fontId="26" fillId="0" borderId="38" xfId="1" applyFont="1" applyBorder="1" applyAlignment="1">
      <alignment horizontal="center" vertical="center" wrapText="1" readingOrder="2"/>
    </xf>
    <xf numFmtId="0" fontId="26" fillId="0" borderId="61" xfId="1" applyFont="1" applyBorder="1" applyAlignment="1">
      <alignment horizontal="center" vertical="center" wrapText="1" readingOrder="2"/>
    </xf>
    <xf numFmtId="0" fontId="26" fillId="0" borderId="39" xfId="1" applyFont="1" applyBorder="1" applyAlignment="1">
      <alignment horizontal="center" vertical="center" wrapText="1" readingOrder="2"/>
    </xf>
    <xf numFmtId="0" fontId="7" fillId="0" borderId="44" xfId="1" applyFont="1" applyBorder="1" applyAlignment="1">
      <alignment horizontal="center" vertical="center" wrapText="1" readingOrder="2"/>
    </xf>
    <xf numFmtId="0" fontId="7" fillId="0" borderId="0" xfId="1" applyFont="1" applyBorder="1" applyAlignment="1">
      <alignment horizontal="center" vertical="center" wrapText="1" readingOrder="2"/>
    </xf>
    <xf numFmtId="0" fontId="7" fillId="0" borderId="22" xfId="1" applyFont="1" applyBorder="1" applyAlignment="1">
      <alignment horizontal="center" vertical="center" wrapText="1" readingOrder="2"/>
    </xf>
    <xf numFmtId="0" fontId="6" fillId="0" borderId="0" xfId="1" applyFont="1" applyAlignment="1">
      <alignment horizontal="center" vertical="center" shrinkToFit="1" readingOrder="2"/>
    </xf>
    <xf numFmtId="0" fontId="7" fillId="2" borderId="51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center" vertical="center" wrapText="1" readingOrder="2"/>
    </xf>
    <xf numFmtId="0" fontId="7" fillId="2" borderId="34" xfId="0" applyFont="1" applyFill="1" applyBorder="1" applyAlignment="1">
      <alignment horizontal="center" vertical="center" wrapText="1" readingOrder="2"/>
    </xf>
    <xf numFmtId="0" fontId="14" fillId="2" borderId="45" xfId="6" applyFont="1" applyFill="1" applyBorder="1" applyAlignment="1">
      <alignment horizontal="center" vertical="center" shrinkToFit="1" readingOrder="2"/>
    </xf>
    <xf numFmtId="0" fontId="14" fillId="2" borderId="31" xfId="6" applyFont="1" applyFill="1" applyBorder="1" applyAlignment="1">
      <alignment horizontal="center" vertical="center" shrinkToFit="1" readingOrder="2"/>
    </xf>
    <xf numFmtId="0" fontId="14" fillId="2" borderId="46" xfId="6" applyFont="1" applyFill="1" applyBorder="1" applyAlignment="1">
      <alignment horizontal="center" vertical="center" shrinkToFit="1" readingOrder="2"/>
    </xf>
    <xf numFmtId="0" fontId="15" fillId="2" borderId="33" xfId="1" applyFont="1" applyFill="1" applyBorder="1" applyAlignment="1">
      <alignment horizontal="center" vertical="center" shrinkToFit="1" readingOrder="2"/>
    </xf>
    <xf numFmtId="0" fontId="15" fillId="2" borderId="71" xfId="1" applyFont="1" applyFill="1" applyBorder="1" applyAlignment="1">
      <alignment horizontal="center" vertical="center" shrinkToFit="1" readingOrder="2"/>
    </xf>
    <xf numFmtId="0" fontId="7" fillId="2" borderId="36" xfId="0" applyFont="1" applyFill="1" applyBorder="1" applyAlignment="1">
      <alignment horizontal="center" vertical="center" wrapText="1" readingOrder="2"/>
    </xf>
    <xf numFmtId="0" fontId="7" fillId="2" borderId="37" xfId="0" applyFont="1" applyFill="1" applyBorder="1" applyAlignment="1">
      <alignment horizontal="center" vertical="center" wrapText="1" readingOrder="2"/>
    </xf>
    <xf numFmtId="0" fontId="7" fillId="2" borderId="35" xfId="0" applyFont="1" applyFill="1" applyBorder="1" applyAlignment="1">
      <alignment horizontal="center" vertical="center" wrapText="1" readingOrder="2"/>
    </xf>
    <xf numFmtId="0" fontId="14" fillId="2" borderId="52" xfId="6" applyFont="1" applyFill="1" applyBorder="1" applyAlignment="1">
      <alignment horizontal="center" vertical="center" shrinkToFit="1" readingOrder="2"/>
    </xf>
    <xf numFmtId="0" fontId="14" fillId="2" borderId="32" xfId="6" applyFont="1" applyFill="1" applyBorder="1" applyAlignment="1">
      <alignment horizontal="center" vertical="center" shrinkToFit="1" readingOrder="2"/>
    </xf>
    <xf numFmtId="0" fontId="2" fillId="2" borderId="19" xfId="0" applyFont="1" applyFill="1" applyBorder="1" applyAlignment="1">
      <alignment horizontal="center" vertical="center" shrinkToFit="1" readingOrder="2"/>
    </xf>
    <xf numFmtId="0" fontId="2" fillId="2" borderId="18" xfId="0" applyFont="1" applyFill="1" applyBorder="1" applyAlignment="1">
      <alignment horizontal="center" vertical="center" shrinkToFit="1" readingOrder="2"/>
    </xf>
    <xf numFmtId="0" fontId="2" fillId="2" borderId="72" xfId="0" applyFont="1" applyFill="1" applyBorder="1" applyAlignment="1">
      <alignment horizontal="center" vertical="center" shrinkToFit="1" readingOrder="2"/>
    </xf>
    <xf numFmtId="0" fontId="3" fillId="2" borderId="8" xfId="0" applyFont="1" applyFill="1" applyBorder="1" applyAlignment="1">
      <alignment horizontal="center" vertical="center" shrinkToFit="1" readingOrder="2"/>
    </xf>
    <xf numFmtId="0" fontId="3" fillId="2" borderId="9" xfId="0" applyFont="1" applyFill="1" applyBorder="1" applyAlignment="1">
      <alignment horizontal="center" vertical="center" shrinkToFit="1" readingOrder="2"/>
    </xf>
    <xf numFmtId="0" fontId="3" fillId="2" borderId="73" xfId="0" applyFont="1" applyFill="1" applyBorder="1" applyAlignment="1">
      <alignment horizontal="center" vertical="center" shrinkToFit="1" readingOrder="2"/>
    </xf>
    <xf numFmtId="0" fontId="3" fillId="2" borderId="36" xfId="0" applyFont="1" applyFill="1" applyBorder="1" applyAlignment="1">
      <alignment horizontal="center" vertical="center" shrinkToFit="1" readingOrder="2"/>
    </xf>
    <xf numFmtId="0" fontId="3" fillId="2" borderId="37" xfId="0" applyFont="1" applyFill="1" applyBorder="1" applyAlignment="1">
      <alignment horizontal="center" vertical="center" shrinkToFit="1" readingOrder="2"/>
    </xf>
    <xf numFmtId="0" fontId="3" fillId="2" borderId="35" xfId="0" applyFont="1" applyFill="1" applyBorder="1" applyAlignment="1">
      <alignment horizontal="center" vertical="center" shrinkToFit="1" readingOrder="2"/>
    </xf>
    <xf numFmtId="0" fontId="3" fillId="2" borderId="51" xfId="0" applyFont="1" applyFill="1" applyBorder="1" applyAlignment="1">
      <alignment horizontal="center" vertical="center" shrinkToFit="1" readingOrder="2"/>
    </xf>
    <xf numFmtId="0" fontId="3" fillId="2" borderId="30" xfId="0" applyFont="1" applyFill="1" applyBorder="1" applyAlignment="1">
      <alignment horizontal="center" vertical="center" shrinkToFit="1" readingOrder="2"/>
    </xf>
    <xf numFmtId="0" fontId="3" fillId="2" borderId="34" xfId="0" applyFont="1" applyFill="1" applyBorder="1" applyAlignment="1">
      <alignment horizontal="center" vertical="center" shrinkToFit="1" readingOrder="2"/>
    </xf>
    <xf numFmtId="0" fontId="2" fillId="2" borderId="38" xfId="0" applyFont="1" applyFill="1" applyBorder="1" applyAlignment="1">
      <alignment horizontal="center" vertical="center" textRotation="90" shrinkToFit="1" readingOrder="2"/>
    </xf>
    <xf numFmtId="0" fontId="2" fillId="2" borderId="41" xfId="0" applyFont="1" applyFill="1" applyBorder="1" applyAlignment="1">
      <alignment horizontal="center" vertical="center" textRotation="90" shrinkToFit="1" readingOrder="2"/>
    </xf>
    <xf numFmtId="0" fontId="2" fillId="2" borderId="77" xfId="0" applyFont="1" applyFill="1" applyBorder="1" applyAlignment="1">
      <alignment horizontal="center" vertical="center" textRotation="90" shrinkToFit="1" readingOrder="2"/>
    </xf>
    <xf numFmtId="0" fontId="2" fillId="2" borderId="39" xfId="0" applyFont="1" applyFill="1" applyBorder="1" applyAlignment="1">
      <alignment horizontal="center" vertical="center" textRotation="90" shrinkToFit="1" readingOrder="2"/>
    </xf>
    <xf numFmtId="0" fontId="2" fillId="2" borderId="42" xfId="0" applyFont="1" applyFill="1" applyBorder="1" applyAlignment="1">
      <alignment horizontal="center" vertical="center" textRotation="90" shrinkToFit="1" readingOrder="2"/>
    </xf>
    <xf numFmtId="0" fontId="2" fillId="2" borderId="43" xfId="0" applyFont="1" applyFill="1" applyBorder="1" applyAlignment="1">
      <alignment horizontal="center" vertical="center" textRotation="90" shrinkToFit="1" readingOrder="2"/>
    </xf>
    <xf numFmtId="0" fontId="3" fillId="0" borderId="0" xfId="0" applyFont="1" applyAlignment="1">
      <alignment horizontal="left" vertical="center" shrinkToFit="1" readingOrder="2"/>
    </xf>
    <xf numFmtId="0" fontId="5" fillId="0" borderId="0" xfId="0" applyFont="1" applyAlignment="1">
      <alignment horizontal="right" vertical="center" shrinkToFit="1" readingOrder="2"/>
    </xf>
    <xf numFmtId="0" fontId="11" fillId="0" borderId="55" xfId="0" applyFont="1" applyBorder="1" applyAlignment="1">
      <alignment horizontal="center" vertical="top" shrinkToFit="1" readingOrder="2"/>
    </xf>
    <xf numFmtId="0" fontId="11" fillId="0" borderId="24" xfId="0" applyFont="1" applyBorder="1" applyAlignment="1">
      <alignment horizontal="center" vertical="top" shrinkToFit="1" readingOrder="2"/>
    </xf>
    <xf numFmtId="0" fontId="10" fillId="0" borderId="29" xfId="0" applyFont="1" applyBorder="1" applyAlignment="1">
      <alignment horizontal="center" vertical="center" shrinkToFit="1" readingOrder="2"/>
    </xf>
    <xf numFmtId="0" fontId="13" fillId="0" borderId="0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 readingOrder="2"/>
    </xf>
    <xf numFmtId="1" fontId="39" fillId="0" borderId="83" xfId="0" applyNumberFormat="1" applyFont="1" applyBorder="1" applyAlignment="1">
      <alignment horizontal="center" vertical="center" shrinkToFit="1" readingOrder="2"/>
    </xf>
    <xf numFmtId="1" fontId="45" fillId="0" borderId="83" xfId="0" applyNumberFormat="1" applyFont="1" applyBorder="1" applyAlignment="1">
      <alignment horizontal="center" vertical="center" shrinkToFit="1" readingOrder="2"/>
    </xf>
    <xf numFmtId="1" fontId="37" fillId="0" borderId="83" xfId="0" applyNumberFormat="1" applyFont="1" applyBorder="1" applyAlignment="1">
      <alignment horizontal="center" vertical="center" shrinkToFit="1" readingOrder="2"/>
    </xf>
  </cellXfs>
  <cellStyles count="8">
    <cellStyle name="Normal 2" xfId="1" xr:uid="{00000000-0005-0000-0000-000001000000}"/>
    <cellStyle name="Normal 2 10" xfId="2" xr:uid="{00000000-0005-0000-0000-000002000000}"/>
    <cellStyle name="Normal 2 2" xfId="3" xr:uid="{00000000-0005-0000-0000-000003000000}"/>
    <cellStyle name="Normal 2 2 2" xfId="7" xr:uid="{00000000-0005-0000-0000-000004000000}"/>
    <cellStyle name="Normal 2_كشوفات رصد الدرجات1" xfId="4" xr:uid="{00000000-0005-0000-0000-000005000000}"/>
    <cellStyle name="Normal 3" xfId="5" xr:uid="{00000000-0005-0000-0000-000006000000}"/>
    <cellStyle name="Normal 3 2" xfId="6" xr:uid="{00000000-0005-0000-0000-000007000000}"/>
    <cellStyle name="عادي" xfId="0" builtinId="0"/>
  </cellStyles>
  <dxfs count="14">
    <dxf>
      <font>
        <color theme="0" tint="-0.14996795556505021"/>
      </font>
    </dxf>
    <dxf>
      <font>
        <color theme="0" tint="-0.14996795556505021"/>
      </font>
    </dxf>
    <dxf>
      <font>
        <b/>
        <i/>
        <strike/>
        <color theme="1"/>
      </font>
      <fill>
        <patternFill>
          <bgColor rgb="FFFF00FF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31"/>
      </font>
      <fill>
        <patternFill>
          <bgColor indexed="8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color theme="0"/>
      </font>
    </dxf>
    <dxf>
      <fill>
        <patternFill>
          <bgColor rgb="FFFFFF99"/>
        </patternFill>
      </fill>
    </dxf>
    <dxf>
      <font>
        <color theme="0" tint="-0.1499679555650502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323597</xdr:colOff>
      <xdr:row>1</xdr:row>
      <xdr:rowOff>42334</xdr:rowOff>
    </xdr:from>
    <xdr:to>
      <xdr:col>11</xdr:col>
      <xdr:colOff>459523</xdr:colOff>
      <xdr:row>3</xdr:row>
      <xdr:rowOff>41897</xdr:rowOff>
    </xdr:to>
    <xdr:pic>
      <xdr:nvPicPr>
        <xdr:cNvPr id="5065" name="Picture 208" descr="SHAR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586453" y="289984"/>
          <a:ext cx="955075" cy="485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113767</xdr:colOff>
      <xdr:row>1</xdr:row>
      <xdr:rowOff>89298</xdr:rowOff>
    </xdr:from>
    <xdr:to>
      <xdr:col>37</xdr:col>
      <xdr:colOff>200252</xdr:colOff>
      <xdr:row>2</xdr:row>
      <xdr:rowOff>236055</xdr:rowOff>
    </xdr:to>
    <xdr:pic>
      <xdr:nvPicPr>
        <xdr:cNvPr id="5066" name="Picture 208" descr="SHAR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6650832" y="322131"/>
          <a:ext cx="880235" cy="390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238918</xdr:colOff>
      <xdr:row>1</xdr:row>
      <xdr:rowOff>52387</xdr:rowOff>
    </xdr:from>
    <xdr:to>
      <xdr:col>11</xdr:col>
      <xdr:colOff>348457</xdr:colOff>
      <xdr:row>3</xdr:row>
      <xdr:rowOff>152400</xdr:rowOff>
    </xdr:to>
    <xdr:pic>
      <xdr:nvPicPr>
        <xdr:cNvPr id="2" name="Picture 5" descr="SH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3893980" y="258762"/>
          <a:ext cx="974727" cy="496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346073</xdr:colOff>
      <xdr:row>1</xdr:row>
      <xdr:rowOff>57150</xdr:rowOff>
    </xdr:from>
    <xdr:to>
      <xdr:col>13</xdr:col>
      <xdr:colOff>473074</xdr:colOff>
      <xdr:row>4</xdr:row>
      <xdr:rowOff>19050</xdr:rowOff>
    </xdr:to>
    <xdr:pic>
      <xdr:nvPicPr>
        <xdr:cNvPr id="2" name="Picture 208" descr="SH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934726" y="276225"/>
          <a:ext cx="1250951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214843</xdr:colOff>
      <xdr:row>1</xdr:row>
      <xdr:rowOff>57148</xdr:rowOff>
    </xdr:from>
    <xdr:to>
      <xdr:col>37</xdr:col>
      <xdr:colOff>152401</xdr:colOff>
      <xdr:row>4</xdr:row>
      <xdr:rowOff>104773</xdr:rowOff>
    </xdr:to>
    <xdr:pic>
      <xdr:nvPicPr>
        <xdr:cNvPr id="3" name="Picture 208" descr="SH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7520724" y="276223"/>
          <a:ext cx="1061508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221455</xdr:colOff>
      <xdr:row>1</xdr:row>
      <xdr:rowOff>33337</xdr:rowOff>
    </xdr:from>
    <xdr:to>
      <xdr:col>14</xdr:col>
      <xdr:colOff>191294</xdr:colOff>
      <xdr:row>3</xdr:row>
      <xdr:rowOff>133350</xdr:rowOff>
    </xdr:to>
    <xdr:pic>
      <xdr:nvPicPr>
        <xdr:cNvPr id="2" name="Picture 5" descr="SH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836756" y="223837"/>
          <a:ext cx="979489" cy="500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307974</xdr:colOff>
      <xdr:row>1</xdr:row>
      <xdr:rowOff>4233</xdr:rowOff>
    </xdr:from>
    <xdr:to>
      <xdr:col>12</xdr:col>
      <xdr:colOff>175948</xdr:colOff>
      <xdr:row>4</xdr:row>
      <xdr:rowOff>125941</xdr:rowOff>
    </xdr:to>
    <xdr:pic>
      <xdr:nvPicPr>
        <xdr:cNvPr id="2" name="Picture 208" descr="SH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4202777" y="147108"/>
          <a:ext cx="1249099" cy="674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238125</xdr:colOff>
      <xdr:row>0</xdr:row>
      <xdr:rowOff>180975</xdr:rowOff>
    </xdr:from>
    <xdr:to>
      <xdr:col>38</xdr:col>
      <xdr:colOff>70910</xdr:colOff>
      <xdr:row>4</xdr:row>
      <xdr:rowOff>142875</xdr:rowOff>
    </xdr:to>
    <xdr:pic>
      <xdr:nvPicPr>
        <xdr:cNvPr id="3" name="Picture 208" descr="SH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5973440" y="142875"/>
          <a:ext cx="111866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G140"/>
  <sheetViews>
    <sheetView rightToLeft="1" tabSelected="1" view="pageBreakPreview" topLeftCell="A37" zoomScale="80" zoomScaleNormal="80" zoomScaleSheetLayoutView="80" zoomScalePageLayoutView="60" workbookViewId="0">
      <selection activeCell="B49" sqref="B49"/>
    </sheetView>
  </sheetViews>
  <sheetFormatPr defaultRowHeight="20.100000000000001" customHeight="1"/>
  <cols>
    <col min="1" max="1" width="6.21875" style="130" customWidth="1"/>
    <col min="2" max="2" width="41.77734375" style="131" customWidth="1"/>
    <col min="3" max="3" width="5.77734375" customWidth="1"/>
    <col min="4" max="4" width="5.21875" customWidth="1"/>
    <col min="5" max="6" width="4.44140625" customWidth="1"/>
    <col min="7" max="7" width="7.5546875" customWidth="1"/>
    <col min="8" max="8" width="4.44140625" style="122" customWidth="1"/>
    <col min="9" max="9" width="4.21875" customWidth="1"/>
    <col min="10" max="10" width="6.77734375" customWidth="1"/>
    <col min="11" max="11" width="5.44140625" customWidth="1"/>
    <col min="12" max="12" width="7.44140625" customWidth="1"/>
    <col min="13" max="13" width="10.21875" customWidth="1"/>
    <col min="14" max="14" width="9.21875" customWidth="1"/>
    <col min="15" max="16" width="5.77734375" customWidth="1"/>
    <col min="17" max="17" width="11.21875" style="124" customWidth="1"/>
    <col min="18" max="18" width="8.44140625" customWidth="1"/>
    <col min="19" max="19" width="6.5546875" customWidth="1"/>
    <col min="20" max="20" width="5.5546875" customWidth="1"/>
    <col min="21" max="21" width="10.21875" style="127" customWidth="1"/>
    <col min="22" max="22" width="16.21875" customWidth="1"/>
    <col min="23" max="23" width="10.21875" customWidth="1"/>
    <col min="24" max="24" width="6.77734375" customWidth="1"/>
    <col min="25" max="27" width="3.21875" style="133" customWidth="1"/>
    <col min="28" max="28" width="5.21875" style="133" customWidth="1"/>
    <col min="29" max="31" width="3.21875" style="133" customWidth="1"/>
    <col min="32" max="32" width="5" style="133" customWidth="1"/>
    <col min="33" max="35" width="3.21875" style="133" customWidth="1"/>
    <col min="36" max="36" width="5.21875" style="133" customWidth="1"/>
    <col min="37" max="39" width="3.21875" style="133" customWidth="1"/>
    <col min="40" max="40" width="5" style="133" customWidth="1"/>
    <col min="41" max="43" width="3.21875" style="133" customWidth="1"/>
    <col min="44" max="44" width="5" style="133" customWidth="1"/>
    <col min="45" max="47" width="3.21875" style="133" customWidth="1"/>
    <col min="48" max="48" width="5" style="133" customWidth="1"/>
    <col min="49" max="51" width="3.21875" style="133" customWidth="1"/>
    <col min="52" max="52" width="5" style="133" customWidth="1"/>
    <col min="53" max="55" width="3.21875" style="133" customWidth="1"/>
    <col min="56" max="56" width="5" style="133" customWidth="1"/>
    <col min="57" max="57" width="8.21875" style="133" customWidth="1"/>
    <col min="58" max="58" width="6.77734375" customWidth="1"/>
    <col min="59" max="59" width="3.44140625" customWidth="1"/>
  </cols>
  <sheetData>
    <row r="1" spans="1:59" ht="18" customHeight="1" thickBot="1">
      <c r="A1" s="464" t="s">
        <v>66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97"/>
      <c r="Y1" s="134"/>
      <c r="Z1" s="135"/>
      <c r="AA1" s="134"/>
      <c r="AB1" s="134"/>
      <c r="AC1" s="134"/>
      <c r="AD1" s="134"/>
      <c r="AE1" s="134"/>
      <c r="AF1" s="439" t="s">
        <v>68</v>
      </c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98"/>
      <c r="BG1" s="24"/>
    </row>
    <row r="2" spans="1:59" ht="20.100000000000001" customHeight="1" thickBot="1">
      <c r="A2" s="99"/>
      <c r="B2" s="129" t="s">
        <v>10</v>
      </c>
      <c r="C2" s="99"/>
      <c r="D2" s="99"/>
      <c r="E2" s="99"/>
      <c r="F2" s="99"/>
      <c r="G2" s="99"/>
      <c r="H2" s="121"/>
      <c r="I2" s="99"/>
      <c r="J2" s="99"/>
      <c r="K2" s="99"/>
      <c r="L2" s="99"/>
      <c r="M2" s="99"/>
      <c r="N2" s="99"/>
      <c r="O2" s="99"/>
      <c r="P2" s="435" t="s">
        <v>69</v>
      </c>
      <c r="Q2" s="435"/>
      <c r="R2" s="436" t="s">
        <v>95</v>
      </c>
      <c r="S2" s="436"/>
      <c r="T2" s="436"/>
      <c r="U2" s="436"/>
      <c r="V2" s="100"/>
      <c r="W2" s="101"/>
      <c r="X2" s="97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434" t="s">
        <v>42</v>
      </c>
      <c r="AT2" s="434"/>
      <c r="AU2" s="434"/>
      <c r="AV2" s="432" t="str">
        <f>R2</f>
        <v>الشماياالغربية</v>
      </c>
      <c r="AW2" s="432"/>
      <c r="AX2" s="432"/>
      <c r="AY2" s="432"/>
      <c r="AZ2" s="432"/>
      <c r="BA2" s="432"/>
      <c r="BB2" s="432"/>
      <c r="BC2" s="135"/>
      <c r="BD2" s="135"/>
      <c r="BE2" s="134"/>
      <c r="BF2" s="98"/>
      <c r="BG2" s="24"/>
    </row>
    <row r="3" spans="1:59" ht="18.75" customHeight="1" thickBot="1">
      <c r="A3" s="99"/>
      <c r="B3" s="129" t="s">
        <v>11</v>
      </c>
      <c r="C3" s="99"/>
      <c r="D3" s="99"/>
      <c r="E3" s="99"/>
      <c r="F3" s="99"/>
      <c r="G3" s="99"/>
      <c r="H3" s="121"/>
      <c r="I3" s="99"/>
      <c r="J3" s="99"/>
      <c r="K3" s="99"/>
      <c r="L3" s="99"/>
      <c r="M3" s="99"/>
      <c r="N3" s="99"/>
      <c r="O3" s="102"/>
      <c r="P3" s="465" t="s">
        <v>71</v>
      </c>
      <c r="Q3" s="465"/>
      <c r="R3" s="438" t="s">
        <v>67</v>
      </c>
      <c r="S3" s="438"/>
      <c r="T3" s="102"/>
      <c r="U3" s="125"/>
      <c r="V3" s="168">
        <f>COUNTA(B10:B5424)</f>
        <v>32</v>
      </c>
      <c r="W3" s="101"/>
      <c r="X3" s="97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434" t="s">
        <v>12</v>
      </c>
      <c r="AT3" s="434"/>
      <c r="AU3" s="434"/>
      <c r="AV3" s="432" t="str">
        <f>R3</f>
        <v>الشمايتين</v>
      </c>
      <c r="AW3" s="432"/>
      <c r="AX3" s="432"/>
      <c r="AY3" s="432"/>
      <c r="AZ3" s="144"/>
      <c r="BA3" s="144"/>
      <c r="BB3" s="144"/>
      <c r="BC3" s="134"/>
      <c r="BD3" s="134"/>
      <c r="BE3" s="134"/>
      <c r="BF3" s="98"/>
      <c r="BG3" s="24"/>
    </row>
    <row r="4" spans="1:59" ht="18.75" customHeight="1" thickBot="1">
      <c r="A4" s="99"/>
      <c r="B4" s="129" t="s">
        <v>4</v>
      </c>
      <c r="C4" s="99"/>
      <c r="D4" s="99"/>
      <c r="E4" s="99"/>
      <c r="F4" s="99"/>
      <c r="G4" s="99"/>
      <c r="H4" s="121"/>
      <c r="I4" s="99"/>
      <c r="J4" s="99"/>
      <c r="K4" s="99"/>
      <c r="L4" s="99"/>
      <c r="M4" s="99"/>
      <c r="N4" s="99"/>
      <c r="O4" s="102"/>
      <c r="P4" s="437" t="s">
        <v>72</v>
      </c>
      <c r="Q4" s="437"/>
      <c r="R4" s="436" t="s">
        <v>14</v>
      </c>
      <c r="S4" s="436"/>
      <c r="T4" s="103"/>
      <c r="U4" s="125"/>
      <c r="V4" s="100"/>
      <c r="W4" s="101"/>
      <c r="X4" s="97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434" t="s">
        <v>13</v>
      </c>
      <c r="AT4" s="434"/>
      <c r="AU4" s="434"/>
      <c r="AV4" s="432" t="s">
        <v>14</v>
      </c>
      <c r="AW4" s="432"/>
      <c r="AX4" s="432"/>
      <c r="AY4" s="432"/>
      <c r="AZ4" s="144"/>
      <c r="BA4" s="144"/>
      <c r="BB4" s="144"/>
      <c r="BC4" s="134"/>
      <c r="BD4" s="134"/>
      <c r="BE4" s="134"/>
      <c r="BF4" s="98"/>
      <c r="BG4" s="24"/>
    </row>
    <row r="5" spans="1:59" ht="18.75" customHeight="1">
      <c r="A5" s="99"/>
      <c r="B5" s="128" t="s">
        <v>73</v>
      </c>
      <c r="C5" s="99"/>
      <c r="D5" s="99"/>
      <c r="E5" s="99"/>
      <c r="F5" s="99"/>
      <c r="G5" s="99"/>
      <c r="H5" s="121"/>
      <c r="I5" s="99"/>
      <c r="J5" s="99"/>
      <c r="K5" s="99"/>
      <c r="L5" s="99"/>
      <c r="M5" s="99"/>
      <c r="N5" s="99"/>
      <c r="O5" s="102"/>
      <c r="P5" s="102"/>
      <c r="Q5" s="123"/>
      <c r="R5" s="102"/>
      <c r="S5" s="104"/>
      <c r="T5" s="103"/>
      <c r="U5" s="126"/>
      <c r="V5" s="425" t="s">
        <v>70</v>
      </c>
      <c r="W5" s="426"/>
      <c r="X5" s="426"/>
      <c r="Y5" s="134"/>
      <c r="Z5" s="134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98"/>
      <c r="BG5" s="24"/>
    </row>
    <row r="6" spans="1:59" ht="20.25" customHeight="1" thickBot="1">
      <c r="A6" s="99"/>
      <c r="B6" s="145" t="s">
        <v>65</v>
      </c>
      <c r="C6" s="99"/>
      <c r="D6" s="99"/>
      <c r="E6" s="99"/>
      <c r="F6" s="99"/>
      <c r="G6" s="415" t="s">
        <v>81</v>
      </c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25"/>
      <c r="W6" s="426"/>
      <c r="X6" s="426"/>
      <c r="Y6" s="134"/>
      <c r="Z6" s="419" t="s">
        <v>82</v>
      </c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19"/>
      <c r="AL6" s="419"/>
      <c r="AM6" s="419"/>
      <c r="AN6" s="419"/>
      <c r="AO6" s="419"/>
      <c r="AP6" s="419"/>
      <c r="AQ6" s="419"/>
      <c r="AR6" s="419"/>
      <c r="AS6" s="419"/>
      <c r="AT6" s="419"/>
      <c r="AU6" s="419"/>
      <c r="AV6" s="419"/>
      <c r="AW6" s="419"/>
      <c r="AX6" s="419"/>
      <c r="AY6" s="419"/>
      <c r="AZ6" s="419"/>
      <c r="BA6" s="419"/>
      <c r="BB6" s="419"/>
      <c r="BC6" s="419"/>
      <c r="BD6" s="419"/>
      <c r="BE6" s="424" t="str">
        <f>V5</f>
        <v xml:space="preserve">    القسم (العلمي)</v>
      </c>
      <c r="BF6" s="424"/>
      <c r="BG6" s="24"/>
    </row>
    <row r="7" spans="1:59" ht="19.5" customHeight="1" thickTop="1" thickBot="1">
      <c r="A7" s="440" t="s">
        <v>0</v>
      </c>
      <c r="B7" s="443" t="s">
        <v>8</v>
      </c>
      <c r="C7" s="446" t="s">
        <v>2</v>
      </c>
      <c r="D7" s="447"/>
      <c r="E7" s="447"/>
      <c r="F7" s="447"/>
      <c r="G7" s="448"/>
      <c r="H7" s="455" t="s">
        <v>1</v>
      </c>
      <c r="I7" s="458" t="s">
        <v>16</v>
      </c>
      <c r="J7" s="461" t="s">
        <v>7</v>
      </c>
      <c r="K7" s="462"/>
      <c r="L7" s="462"/>
      <c r="M7" s="463"/>
      <c r="N7" s="461" t="s">
        <v>17</v>
      </c>
      <c r="O7" s="462"/>
      <c r="P7" s="462"/>
      <c r="Q7" s="463"/>
      <c r="R7" s="461" t="s">
        <v>7</v>
      </c>
      <c r="S7" s="462"/>
      <c r="T7" s="462"/>
      <c r="U7" s="463"/>
      <c r="V7" s="461" t="s">
        <v>18</v>
      </c>
      <c r="W7" s="463"/>
      <c r="X7" s="416" t="s">
        <v>26</v>
      </c>
      <c r="Y7" s="427" t="s">
        <v>27</v>
      </c>
      <c r="Z7" s="428"/>
      <c r="AA7" s="428"/>
      <c r="AB7" s="429"/>
      <c r="AC7" s="430" t="s">
        <v>28</v>
      </c>
      <c r="AD7" s="428"/>
      <c r="AE7" s="428"/>
      <c r="AF7" s="431"/>
      <c r="AG7" s="427" t="s">
        <v>29</v>
      </c>
      <c r="AH7" s="428"/>
      <c r="AI7" s="428"/>
      <c r="AJ7" s="428"/>
      <c r="AK7" s="430" t="s">
        <v>30</v>
      </c>
      <c r="AL7" s="427"/>
      <c r="AM7" s="428"/>
      <c r="AN7" s="428"/>
      <c r="AO7" s="430" t="s">
        <v>31</v>
      </c>
      <c r="AP7" s="428"/>
      <c r="AQ7" s="428"/>
      <c r="AR7" s="428"/>
      <c r="AS7" s="423" t="s">
        <v>32</v>
      </c>
      <c r="AT7" s="423"/>
      <c r="AU7" s="423"/>
      <c r="AV7" s="423"/>
      <c r="AW7" s="423" t="s">
        <v>33</v>
      </c>
      <c r="AX7" s="423"/>
      <c r="AY7" s="423"/>
      <c r="AZ7" s="423"/>
      <c r="BA7" s="423" t="s">
        <v>34</v>
      </c>
      <c r="BB7" s="423"/>
      <c r="BC7" s="423"/>
      <c r="BD7" s="433"/>
      <c r="BE7" s="420" t="s">
        <v>35</v>
      </c>
      <c r="BF7" s="416" t="s">
        <v>26</v>
      </c>
      <c r="BG7" s="29"/>
    </row>
    <row r="8" spans="1:59" s="95" customFormat="1" ht="16.5" customHeight="1" thickTop="1" thickBot="1">
      <c r="A8" s="441"/>
      <c r="B8" s="444"/>
      <c r="C8" s="449"/>
      <c r="D8" s="450"/>
      <c r="E8" s="450"/>
      <c r="F8" s="450"/>
      <c r="G8" s="451"/>
      <c r="H8" s="456"/>
      <c r="I8" s="459"/>
      <c r="J8" s="452" t="s">
        <v>19</v>
      </c>
      <c r="K8" s="453"/>
      <c r="L8" s="453"/>
      <c r="M8" s="454"/>
      <c r="N8" s="452" t="s">
        <v>20</v>
      </c>
      <c r="O8" s="453"/>
      <c r="P8" s="453"/>
      <c r="Q8" s="454"/>
      <c r="R8" s="452" t="s">
        <v>21</v>
      </c>
      <c r="S8" s="453"/>
      <c r="T8" s="453"/>
      <c r="U8" s="454"/>
      <c r="V8" s="452" t="s">
        <v>22</v>
      </c>
      <c r="W8" s="454"/>
      <c r="X8" s="417"/>
      <c r="Y8" s="137" t="s">
        <v>36</v>
      </c>
      <c r="Z8" s="137" t="s">
        <v>37</v>
      </c>
      <c r="AA8" s="137" t="s">
        <v>38</v>
      </c>
      <c r="AB8" s="138" t="s">
        <v>39</v>
      </c>
      <c r="AC8" s="139" t="s">
        <v>36</v>
      </c>
      <c r="AD8" s="137" t="s">
        <v>37</v>
      </c>
      <c r="AE8" s="137" t="s">
        <v>38</v>
      </c>
      <c r="AF8" s="140" t="s">
        <v>39</v>
      </c>
      <c r="AG8" s="137" t="s">
        <v>36</v>
      </c>
      <c r="AH8" s="137" t="s">
        <v>37</v>
      </c>
      <c r="AI8" s="137" t="s">
        <v>38</v>
      </c>
      <c r="AJ8" s="140" t="s">
        <v>39</v>
      </c>
      <c r="AK8" s="137" t="s">
        <v>36</v>
      </c>
      <c r="AL8" s="137" t="s">
        <v>37</v>
      </c>
      <c r="AM8" s="137" t="s">
        <v>38</v>
      </c>
      <c r="AN8" s="140" t="s">
        <v>39</v>
      </c>
      <c r="AO8" s="137" t="s">
        <v>36</v>
      </c>
      <c r="AP8" s="137" t="s">
        <v>37</v>
      </c>
      <c r="AQ8" s="137" t="s">
        <v>38</v>
      </c>
      <c r="AR8" s="140" t="s">
        <v>39</v>
      </c>
      <c r="AS8" s="137" t="s">
        <v>36</v>
      </c>
      <c r="AT8" s="137" t="s">
        <v>37</v>
      </c>
      <c r="AU8" s="137" t="s">
        <v>38</v>
      </c>
      <c r="AV8" s="140" t="s">
        <v>39</v>
      </c>
      <c r="AW8" s="137" t="s">
        <v>36</v>
      </c>
      <c r="AX8" s="137" t="s">
        <v>37</v>
      </c>
      <c r="AY8" s="137" t="s">
        <v>38</v>
      </c>
      <c r="AZ8" s="140" t="s">
        <v>39</v>
      </c>
      <c r="BA8" s="137" t="s">
        <v>36</v>
      </c>
      <c r="BB8" s="137" t="s">
        <v>37</v>
      </c>
      <c r="BC8" s="137" t="s">
        <v>38</v>
      </c>
      <c r="BD8" s="140" t="s">
        <v>39</v>
      </c>
      <c r="BE8" s="421"/>
      <c r="BF8" s="417"/>
      <c r="BG8" s="96"/>
    </row>
    <row r="9" spans="1:59" s="93" customFormat="1" ht="19.5" customHeight="1" thickBot="1">
      <c r="A9" s="442"/>
      <c r="B9" s="445"/>
      <c r="C9" s="383" t="s">
        <v>23</v>
      </c>
      <c r="D9" s="384" t="s">
        <v>24</v>
      </c>
      <c r="E9" s="385" t="s">
        <v>40</v>
      </c>
      <c r="F9" s="385" t="s">
        <v>41</v>
      </c>
      <c r="G9" s="386" t="s">
        <v>6</v>
      </c>
      <c r="H9" s="457"/>
      <c r="I9" s="460"/>
      <c r="J9" s="383" t="s">
        <v>23</v>
      </c>
      <c r="K9" s="387" t="s">
        <v>24</v>
      </c>
      <c r="L9" s="387" t="s">
        <v>5</v>
      </c>
      <c r="M9" s="388" t="s">
        <v>6</v>
      </c>
      <c r="N9" s="383" t="s">
        <v>25</v>
      </c>
      <c r="O9" s="387" t="s">
        <v>23</v>
      </c>
      <c r="P9" s="387" t="s">
        <v>24</v>
      </c>
      <c r="Q9" s="389" t="s">
        <v>6</v>
      </c>
      <c r="R9" s="383" t="s">
        <v>25</v>
      </c>
      <c r="S9" s="387" t="s">
        <v>23</v>
      </c>
      <c r="T9" s="387" t="s">
        <v>24</v>
      </c>
      <c r="U9" s="388" t="s">
        <v>6</v>
      </c>
      <c r="V9" s="383" t="s">
        <v>5</v>
      </c>
      <c r="W9" s="388" t="s">
        <v>6</v>
      </c>
      <c r="X9" s="418"/>
      <c r="Y9" s="390">
        <v>20</v>
      </c>
      <c r="Z9" s="391">
        <v>20</v>
      </c>
      <c r="AA9" s="391">
        <v>10</v>
      </c>
      <c r="AB9" s="392">
        <v>50</v>
      </c>
      <c r="AC9" s="390">
        <v>20</v>
      </c>
      <c r="AD9" s="391">
        <v>20</v>
      </c>
      <c r="AE9" s="391">
        <v>10</v>
      </c>
      <c r="AF9" s="392">
        <v>50</v>
      </c>
      <c r="AG9" s="390">
        <v>20</v>
      </c>
      <c r="AH9" s="391">
        <v>20</v>
      </c>
      <c r="AI9" s="391">
        <v>10</v>
      </c>
      <c r="AJ9" s="392">
        <v>50</v>
      </c>
      <c r="AK9" s="390">
        <v>20</v>
      </c>
      <c r="AL9" s="391">
        <v>20</v>
      </c>
      <c r="AM9" s="391">
        <v>10</v>
      </c>
      <c r="AN9" s="392">
        <v>50</v>
      </c>
      <c r="AO9" s="390">
        <v>20</v>
      </c>
      <c r="AP9" s="391">
        <v>20</v>
      </c>
      <c r="AQ9" s="391">
        <v>10</v>
      </c>
      <c r="AR9" s="392">
        <v>50</v>
      </c>
      <c r="AS9" s="390">
        <v>20</v>
      </c>
      <c r="AT9" s="391">
        <v>20</v>
      </c>
      <c r="AU9" s="391">
        <v>10</v>
      </c>
      <c r="AV9" s="392">
        <v>50</v>
      </c>
      <c r="AW9" s="390">
        <v>20</v>
      </c>
      <c r="AX9" s="391">
        <v>20</v>
      </c>
      <c r="AY9" s="391">
        <v>10</v>
      </c>
      <c r="AZ9" s="392">
        <v>50</v>
      </c>
      <c r="BA9" s="390">
        <v>20</v>
      </c>
      <c r="BB9" s="391">
        <v>20</v>
      </c>
      <c r="BC9" s="391">
        <v>10</v>
      </c>
      <c r="BD9" s="392">
        <v>50</v>
      </c>
      <c r="BE9" s="422"/>
      <c r="BF9" s="418"/>
      <c r="BG9"/>
    </row>
    <row r="10" spans="1:59" ht="27" customHeight="1" thickTop="1" thickBot="1">
      <c r="A10" s="377">
        <v>1</v>
      </c>
      <c r="B10" s="393" t="s">
        <v>86</v>
      </c>
      <c r="C10" s="394" t="s">
        <v>87</v>
      </c>
      <c r="D10" s="394" t="s">
        <v>88</v>
      </c>
      <c r="E10" s="395">
        <v>29</v>
      </c>
      <c r="F10" s="395">
        <v>11</v>
      </c>
      <c r="G10" s="395">
        <v>2007</v>
      </c>
      <c r="H10" s="396" t="s">
        <v>89</v>
      </c>
      <c r="I10" s="397" t="s">
        <v>90</v>
      </c>
      <c r="J10" s="394" t="s">
        <v>67</v>
      </c>
      <c r="K10" s="394" t="s">
        <v>91</v>
      </c>
      <c r="L10" s="398">
        <v>300857</v>
      </c>
      <c r="M10" s="399" t="s">
        <v>92</v>
      </c>
      <c r="N10" s="394" t="s">
        <v>93</v>
      </c>
      <c r="O10" s="394" t="s">
        <v>67</v>
      </c>
      <c r="P10" s="394" t="s">
        <v>91</v>
      </c>
      <c r="Q10" s="399" t="s">
        <v>94</v>
      </c>
      <c r="R10" s="394" t="s">
        <v>95</v>
      </c>
      <c r="S10" s="394" t="s">
        <v>67</v>
      </c>
      <c r="T10" s="394" t="s">
        <v>91</v>
      </c>
      <c r="U10" s="399" t="s">
        <v>96</v>
      </c>
      <c r="V10" s="378"/>
      <c r="W10" s="378"/>
      <c r="X10" s="378"/>
      <c r="Y10" s="379">
        <v>17</v>
      </c>
      <c r="Z10" s="412">
        <v>11.600000000000001</v>
      </c>
      <c r="AA10" s="379"/>
      <c r="AB10" s="381">
        <f t="shared" ref="AB10:AB44" si="0">AA10+Z10+Y10</f>
        <v>28.6</v>
      </c>
      <c r="AC10" s="379">
        <v>12</v>
      </c>
      <c r="AD10" s="380">
        <v>12.200000000000001</v>
      </c>
      <c r="AE10" s="379"/>
      <c r="AF10" s="381">
        <f t="shared" ref="AF10:AF44" si="1">AE10+AD10+AC10</f>
        <v>24.200000000000003</v>
      </c>
      <c r="AG10" s="379">
        <v>12</v>
      </c>
      <c r="AH10" s="380">
        <v>11.200000000000001</v>
      </c>
      <c r="AI10" s="379"/>
      <c r="AJ10" s="381">
        <f t="shared" ref="AJ10:AJ44" si="2">AI10+AH10+AG10</f>
        <v>23.200000000000003</v>
      </c>
      <c r="AK10" s="379">
        <v>15</v>
      </c>
      <c r="AL10" s="380">
        <v>12.8</v>
      </c>
      <c r="AM10" s="379"/>
      <c r="AN10" s="381">
        <f t="shared" ref="AN10:AN44" si="3">AM10+AL10+AK10</f>
        <v>27.8</v>
      </c>
      <c r="AO10" s="379">
        <v>17</v>
      </c>
      <c r="AP10" s="380">
        <v>11.8</v>
      </c>
      <c r="AQ10" s="379"/>
      <c r="AR10" s="381">
        <f t="shared" ref="AR10:AR44" si="4">AQ10+AP10+AO10</f>
        <v>28.8</v>
      </c>
      <c r="AS10" s="379">
        <v>12</v>
      </c>
      <c r="AT10" s="380">
        <v>14.8</v>
      </c>
      <c r="AU10" s="379"/>
      <c r="AV10" s="381">
        <f t="shared" ref="AV10:AV44" si="5">AU10+AT10+AS10</f>
        <v>26.8</v>
      </c>
      <c r="AW10" s="379">
        <v>11</v>
      </c>
      <c r="AX10" s="380">
        <v>15.200000000000001</v>
      </c>
      <c r="AY10" s="379"/>
      <c r="AZ10" s="381">
        <f t="shared" ref="AZ10:AZ44" si="6">AY10+AX10+AW10</f>
        <v>26.200000000000003</v>
      </c>
      <c r="BA10" s="379">
        <v>13</v>
      </c>
      <c r="BB10" s="380">
        <v>11.8</v>
      </c>
      <c r="BC10" s="379"/>
      <c r="BD10" s="381">
        <f t="shared" ref="BD10:BD44" si="7">BC10+BB10+BA10</f>
        <v>24.8</v>
      </c>
      <c r="BE10" s="381">
        <f t="shared" ref="BE10:BE50" si="8">AB10+AF10+AJ10+AN10+AR10+AV10+AZ10+BD10</f>
        <v>210.40000000000003</v>
      </c>
      <c r="BF10" s="382"/>
    </row>
    <row r="11" spans="1:59" ht="27" customHeight="1" thickBot="1">
      <c r="A11" s="146">
        <v>2</v>
      </c>
      <c r="B11" s="393" t="s">
        <v>97</v>
      </c>
      <c r="C11" s="394" t="s">
        <v>67</v>
      </c>
      <c r="D11" s="394" t="s">
        <v>91</v>
      </c>
      <c r="E11" s="149">
        <v>21</v>
      </c>
      <c r="F11" s="149">
        <v>3</v>
      </c>
      <c r="G11" s="149">
        <v>2009</v>
      </c>
      <c r="H11" s="400" t="s">
        <v>89</v>
      </c>
      <c r="I11" s="401" t="s">
        <v>90</v>
      </c>
      <c r="J11" s="402" t="s">
        <v>67</v>
      </c>
      <c r="K11" s="402" t="s">
        <v>91</v>
      </c>
      <c r="L11" s="403">
        <v>300859</v>
      </c>
      <c r="M11" s="404" t="s">
        <v>92</v>
      </c>
      <c r="N11" s="402" t="s">
        <v>93</v>
      </c>
      <c r="O11" s="402" t="s">
        <v>67</v>
      </c>
      <c r="P11" s="402" t="s">
        <v>91</v>
      </c>
      <c r="Q11" s="404" t="s">
        <v>94</v>
      </c>
      <c r="R11" s="402" t="s">
        <v>95</v>
      </c>
      <c r="S11" s="402" t="s">
        <v>67</v>
      </c>
      <c r="T11" s="402" t="s">
        <v>91</v>
      </c>
      <c r="U11" s="404" t="s">
        <v>96</v>
      </c>
      <c r="V11" s="153"/>
      <c r="W11" s="153"/>
      <c r="X11" s="153"/>
      <c r="Y11" s="141">
        <v>16</v>
      </c>
      <c r="Z11" s="413">
        <v>13.4</v>
      </c>
      <c r="AA11" s="141"/>
      <c r="AB11" s="143">
        <f t="shared" si="0"/>
        <v>29.4</v>
      </c>
      <c r="AC11" s="141">
        <v>13</v>
      </c>
      <c r="AD11" s="142">
        <v>12.200000000000001</v>
      </c>
      <c r="AE11" s="141"/>
      <c r="AF11" s="143">
        <f t="shared" si="1"/>
        <v>25.200000000000003</v>
      </c>
      <c r="AG11" s="141">
        <v>12</v>
      </c>
      <c r="AH11" s="142">
        <v>12.200000000000001</v>
      </c>
      <c r="AI11" s="141"/>
      <c r="AJ11" s="143">
        <f t="shared" si="2"/>
        <v>24.200000000000003</v>
      </c>
      <c r="AK11" s="141">
        <v>11</v>
      </c>
      <c r="AL11" s="142">
        <v>11</v>
      </c>
      <c r="AM11" s="141"/>
      <c r="AN11" s="143">
        <f t="shared" si="3"/>
        <v>22</v>
      </c>
      <c r="AO11" s="141">
        <v>13</v>
      </c>
      <c r="AP11" s="142">
        <v>10</v>
      </c>
      <c r="AQ11" s="141"/>
      <c r="AR11" s="143">
        <f t="shared" si="4"/>
        <v>23</v>
      </c>
      <c r="AS11" s="141">
        <v>10</v>
      </c>
      <c r="AT11" s="142">
        <v>10.8</v>
      </c>
      <c r="AU11" s="141"/>
      <c r="AV11" s="143">
        <f t="shared" si="5"/>
        <v>20.8</v>
      </c>
      <c r="AW11" s="141">
        <v>12</v>
      </c>
      <c r="AX11" s="142">
        <v>11.200000000000001</v>
      </c>
      <c r="AY11" s="141"/>
      <c r="AZ11" s="143">
        <f t="shared" si="6"/>
        <v>23.200000000000003</v>
      </c>
      <c r="BA11" s="141">
        <v>14</v>
      </c>
      <c r="BB11" s="142">
        <v>12.200000000000001</v>
      </c>
      <c r="BC11" s="141"/>
      <c r="BD11" s="143">
        <f t="shared" si="7"/>
        <v>26.200000000000003</v>
      </c>
      <c r="BE11" s="143">
        <f t="shared" si="8"/>
        <v>194</v>
      </c>
      <c r="BF11" s="132"/>
    </row>
    <row r="12" spans="1:59" ht="27" customHeight="1" thickBot="1">
      <c r="A12" s="146">
        <v>3</v>
      </c>
      <c r="B12" s="405" t="s">
        <v>111</v>
      </c>
      <c r="C12" s="394" t="s">
        <v>67</v>
      </c>
      <c r="D12" s="394" t="s">
        <v>91</v>
      </c>
      <c r="E12" s="149">
        <v>1</v>
      </c>
      <c r="F12" s="149">
        <v>1</v>
      </c>
      <c r="G12" s="149">
        <v>2008</v>
      </c>
      <c r="H12" s="400" t="s">
        <v>89</v>
      </c>
      <c r="I12" s="401" t="s">
        <v>90</v>
      </c>
      <c r="J12" s="402" t="s">
        <v>67</v>
      </c>
      <c r="K12" s="402" t="s">
        <v>91</v>
      </c>
      <c r="L12" s="403">
        <v>230927</v>
      </c>
      <c r="M12" s="404" t="s">
        <v>138</v>
      </c>
      <c r="N12" s="402" t="s">
        <v>93</v>
      </c>
      <c r="O12" s="402" t="s">
        <v>67</v>
      </c>
      <c r="P12" s="402" t="s">
        <v>91</v>
      </c>
      <c r="Q12" s="404" t="s">
        <v>92</v>
      </c>
      <c r="R12" s="402" t="s">
        <v>95</v>
      </c>
      <c r="S12" s="402" t="s">
        <v>67</v>
      </c>
      <c r="T12" s="402" t="s">
        <v>91</v>
      </c>
      <c r="U12" s="404" t="s">
        <v>94</v>
      </c>
      <c r="V12" s="153">
        <v>51161520</v>
      </c>
      <c r="W12" s="153" t="s">
        <v>96</v>
      </c>
      <c r="X12" s="153"/>
      <c r="Y12" s="141">
        <v>11</v>
      </c>
      <c r="Z12" s="142">
        <v>11</v>
      </c>
      <c r="AA12" s="141"/>
      <c r="AB12" s="143">
        <f>AA12+Z12+Y12</f>
        <v>22</v>
      </c>
      <c r="AC12" s="141">
        <v>11</v>
      </c>
      <c r="AD12" s="142">
        <v>11</v>
      </c>
      <c r="AE12" s="141"/>
      <c r="AF12" s="143">
        <f>AE12+AD12+AC12</f>
        <v>22</v>
      </c>
      <c r="AG12" s="141">
        <v>11</v>
      </c>
      <c r="AH12" s="142">
        <v>10</v>
      </c>
      <c r="AI12" s="141"/>
      <c r="AJ12" s="143">
        <f>AI12+AH12+AG12</f>
        <v>21</v>
      </c>
      <c r="AK12" s="141">
        <v>13</v>
      </c>
      <c r="AL12" s="142">
        <v>15</v>
      </c>
      <c r="AM12" s="141"/>
      <c r="AN12" s="143">
        <f>AM12+AL12+AK12</f>
        <v>28</v>
      </c>
      <c r="AO12" s="141">
        <v>11</v>
      </c>
      <c r="AP12" s="142">
        <v>10</v>
      </c>
      <c r="AQ12" s="141"/>
      <c r="AR12" s="143">
        <f>AQ12+AP12+AO12</f>
        <v>21</v>
      </c>
      <c r="AS12" s="141">
        <v>11</v>
      </c>
      <c r="AT12" s="142">
        <v>10</v>
      </c>
      <c r="AU12" s="141"/>
      <c r="AV12" s="143">
        <f>AU12+AT12+AS12</f>
        <v>21</v>
      </c>
      <c r="AW12" s="141">
        <v>13</v>
      </c>
      <c r="AX12" s="142">
        <v>10</v>
      </c>
      <c r="AY12" s="141"/>
      <c r="AZ12" s="143">
        <f>AY12+AX12+AW12</f>
        <v>23</v>
      </c>
      <c r="BA12" s="141">
        <v>12</v>
      </c>
      <c r="BB12" s="142">
        <v>12</v>
      </c>
      <c r="BC12" s="141"/>
      <c r="BD12" s="143">
        <f>BC12+BB12+BA12</f>
        <v>24</v>
      </c>
      <c r="BE12" s="143">
        <f>AB12+AF12+AJ12+AN12+AR12+AV12+AZ12+BD12</f>
        <v>182</v>
      </c>
      <c r="BF12" s="132"/>
    </row>
    <row r="13" spans="1:59" ht="27" customHeight="1" thickBot="1">
      <c r="A13" s="146">
        <v>4</v>
      </c>
      <c r="B13" s="393" t="s">
        <v>98</v>
      </c>
      <c r="C13" s="394" t="s">
        <v>67</v>
      </c>
      <c r="D13" s="394" t="s">
        <v>91</v>
      </c>
      <c r="E13" s="149">
        <v>1</v>
      </c>
      <c r="F13" s="149">
        <v>2</v>
      </c>
      <c r="G13" s="149">
        <v>2008</v>
      </c>
      <c r="H13" s="400" t="s">
        <v>89</v>
      </c>
      <c r="I13" s="401" t="s">
        <v>90</v>
      </c>
      <c r="J13" s="402" t="s">
        <v>67</v>
      </c>
      <c r="K13" s="402" t="s">
        <v>91</v>
      </c>
      <c r="L13" s="403">
        <v>300861</v>
      </c>
      <c r="M13" s="404" t="s">
        <v>92</v>
      </c>
      <c r="N13" s="402" t="s">
        <v>93</v>
      </c>
      <c r="O13" s="402" t="s">
        <v>67</v>
      </c>
      <c r="P13" s="402" t="s">
        <v>91</v>
      </c>
      <c r="Q13" s="404" t="s">
        <v>94</v>
      </c>
      <c r="R13" s="402" t="s">
        <v>95</v>
      </c>
      <c r="S13" s="402" t="s">
        <v>67</v>
      </c>
      <c r="T13" s="402" t="s">
        <v>91</v>
      </c>
      <c r="U13" s="404" t="s">
        <v>96</v>
      </c>
      <c r="V13" s="153"/>
      <c r="W13" s="153"/>
      <c r="X13" s="153"/>
      <c r="Y13" s="141">
        <v>11</v>
      </c>
      <c r="Z13" s="413">
        <v>10</v>
      </c>
      <c r="AA13" s="141"/>
      <c r="AB13" s="143">
        <f t="shared" si="0"/>
        <v>21</v>
      </c>
      <c r="AC13" s="141">
        <v>10</v>
      </c>
      <c r="AD13" s="142">
        <v>10</v>
      </c>
      <c r="AE13" s="141"/>
      <c r="AF13" s="143">
        <f t="shared" si="1"/>
        <v>20</v>
      </c>
      <c r="AG13" s="141">
        <v>10</v>
      </c>
      <c r="AH13" s="142">
        <v>10</v>
      </c>
      <c r="AI13" s="141"/>
      <c r="AJ13" s="143">
        <f t="shared" si="2"/>
        <v>20</v>
      </c>
      <c r="AK13" s="141">
        <v>14</v>
      </c>
      <c r="AL13" s="142">
        <v>12.4</v>
      </c>
      <c r="AM13" s="141"/>
      <c r="AN13" s="143">
        <f t="shared" si="3"/>
        <v>26.4</v>
      </c>
      <c r="AO13" s="141">
        <v>10</v>
      </c>
      <c r="AP13" s="142">
        <v>10</v>
      </c>
      <c r="AQ13" s="141"/>
      <c r="AR13" s="143">
        <f t="shared" si="4"/>
        <v>20</v>
      </c>
      <c r="AS13" s="141">
        <v>11</v>
      </c>
      <c r="AT13" s="142">
        <v>10</v>
      </c>
      <c r="AU13" s="141"/>
      <c r="AV13" s="143">
        <f t="shared" si="5"/>
        <v>21</v>
      </c>
      <c r="AW13" s="141">
        <v>14</v>
      </c>
      <c r="AX13" s="142">
        <v>10.4</v>
      </c>
      <c r="AY13" s="141"/>
      <c r="AZ13" s="143">
        <f t="shared" si="6"/>
        <v>24.4</v>
      </c>
      <c r="BA13" s="141">
        <v>13</v>
      </c>
      <c r="BB13" s="142">
        <v>13</v>
      </c>
      <c r="BC13" s="141"/>
      <c r="BD13" s="143">
        <f t="shared" si="7"/>
        <v>26</v>
      </c>
      <c r="BE13" s="143">
        <f t="shared" si="8"/>
        <v>178.8</v>
      </c>
      <c r="BF13" s="132"/>
    </row>
    <row r="14" spans="1:59" ht="27" customHeight="1" thickBot="1">
      <c r="A14" s="146">
        <v>5</v>
      </c>
      <c r="B14" s="405" t="s">
        <v>99</v>
      </c>
      <c r="C14" s="394" t="s">
        <v>100</v>
      </c>
      <c r="D14" s="394" t="s">
        <v>101</v>
      </c>
      <c r="E14" s="149">
        <v>27</v>
      </c>
      <c r="F14" s="149">
        <v>10</v>
      </c>
      <c r="G14" s="149">
        <v>2008</v>
      </c>
      <c r="H14" s="400" t="s">
        <v>89</v>
      </c>
      <c r="I14" s="401" t="s">
        <v>90</v>
      </c>
      <c r="J14" s="402" t="s">
        <v>100</v>
      </c>
      <c r="K14" s="402" t="s">
        <v>101</v>
      </c>
      <c r="L14" s="403">
        <v>153318</v>
      </c>
      <c r="M14" s="404" t="s">
        <v>92</v>
      </c>
      <c r="N14" s="402" t="s">
        <v>102</v>
      </c>
      <c r="O14" s="402" t="s">
        <v>100</v>
      </c>
      <c r="P14" s="402" t="s">
        <v>101</v>
      </c>
      <c r="Q14" s="404" t="s">
        <v>94</v>
      </c>
      <c r="R14" s="402" t="s">
        <v>95</v>
      </c>
      <c r="S14" s="402" t="s">
        <v>67</v>
      </c>
      <c r="T14" s="402" t="s">
        <v>91</v>
      </c>
      <c r="U14" s="404" t="s">
        <v>96</v>
      </c>
      <c r="V14" s="153"/>
      <c r="W14" s="153"/>
      <c r="X14" s="153"/>
      <c r="Y14" s="141">
        <v>15</v>
      </c>
      <c r="Z14" s="413">
        <v>10</v>
      </c>
      <c r="AA14" s="141"/>
      <c r="AB14" s="143">
        <f t="shared" si="0"/>
        <v>25</v>
      </c>
      <c r="AC14" s="141">
        <v>12</v>
      </c>
      <c r="AD14" s="142">
        <v>15</v>
      </c>
      <c r="AE14" s="141"/>
      <c r="AF14" s="143">
        <f t="shared" si="1"/>
        <v>27</v>
      </c>
      <c r="AG14" s="141">
        <v>10</v>
      </c>
      <c r="AH14" s="142">
        <v>10</v>
      </c>
      <c r="AI14" s="141"/>
      <c r="AJ14" s="143">
        <f t="shared" si="2"/>
        <v>20</v>
      </c>
      <c r="AK14" s="141">
        <v>12</v>
      </c>
      <c r="AL14" s="142">
        <v>10</v>
      </c>
      <c r="AM14" s="141"/>
      <c r="AN14" s="143">
        <f t="shared" si="3"/>
        <v>22</v>
      </c>
      <c r="AO14" s="141">
        <v>11</v>
      </c>
      <c r="AP14" s="142">
        <v>10</v>
      </c>
      <c r="AQ14" s="141"/>
      <c r="AR14" s="143">
        <f t="shared" si="4"/>
        <v>21</v>
      </c>
      <c r="AS14" s="141">
        <v>12</v>
      </c>
      <c r="AT14" s="142">
        <v>10</v>
      </c>
      <c r="AU14" s="141"/>
      <c r="AV14" s="143">
        <f t="shared" si="5"/>
        <v>22</v>
      </c>
      <c r="AW14" s="141">
        <v>12</v>
      </c>
      <c r="AX14" s="142">
        <v>10</v>
      </c>
      <c r="AY14" s="141"/>
      <c r="AZ14" s="143">
        <f t="shared" si="6"/>
        <v>22</v>
      </c>
      <c r="BA14" s="141">
        <v>14</v>
      </c>
      <c r="BB14" s="142">
        <v>10</v>
      </c>
      <c r="BC14" s="141"/>
      <c r="BD14" s="143">
        <f t="shared" si="7"/>
        <v>24</v>
      </c>
      <c r="BE14" s="143">
        <f t="shared" si="8"/>
        <v>183</v>
      </c>
      <c r="BF14" s="132"/>
    </row>
    <row r="15" spans="1:59" ht="27" customHeight="1" thickBot="1">
      <c r="A15" s="146">
        <v>6</v>
      </c>
      <c r="B15" s="393" t="s">
        <v>103</v>
      </c>
      <c r="C15" s="394" t="s">
        <v>67</v>
      </c>
      <c r="D15" s="394" t="s">
        <v>91</v>
      </c>
      <c r="E15" s="149">
        <v>1</v>
      </c>
      <c r="F15" s="149">
        <v>2</v>
      </c>
      <c r="G15" s="149">
        <v>2008</v>
      </c>
      <c r="H15" s="400" t="s">
        <v>89</v>
      </c>
      <c r="I15" s="401" t="s">
        <v>90</v>
      </c>
      <c r="J15" s="402" t="s">
        <v>67</v>
      </c>
      <c r="K15" s="402" t="s">
        <v>91</v>
      </c>
      <c r="L15" s="403">
        <v>300862</v>
      </c>
      <c r="M15" s="404" t="s">
        <v>92</v>
      </c>
      <c r="N15" s="402" t="s">
        <v>93</v>
      </c>
      <c r="O15" s="402" t="s">
        <v>67</v>
      </c>
      <c r="P15" s="402" t="s">
        <v>91</v>
      </c>
      <c r="Q15" s="404" t="s">
        <v>94</v>
      </c>
      <c r="R15" s="402" t="s">
        <v>95</v>
      </c>
      <c r="S15" s="402" t="s">
        <v>67</v>
      </c>
      <c r="T15" s="402" t="s">
        <v>91</v>
      </c>
      <c r="U15" s="404" t="s">
        <v>96</v>
      </c>
      <c r="V15" s="153"/>
      <c r="W15" s="153"/>
      <c r="X15" s="153"/>
      <c r="Y15" s="141">
        <v>15</v>
      </c>
      <c r="Z15" s="413">
        <v>12.4</v>
      </c>
      <c r="AA15" s="141"/>
      <c r="AB15" s="143">
        <f t="shared" si="0"/>
        <v>27.4</v>
      </c>
      <c r="AC15" s="141">
        <v>14</v>
      </c>
      <c r="AD15" s="142">
        <v>12.4</v>
      </c>
      <c r="AE15" s="141"/>
      <c r="AF15" s="143">
        <f t="shared" si="1"/>
        <v>26.4</v>
      </c>
      <c r="AG15" s="141">
        <v>13</v>
      </c>
      <c r="AH15" s="142">
        <v>12.4</v>
      </c>
      <c r="AI15" s="141"/>
      <c r="AJ15" s="143">
        <f t="shared" si="2"/>
        <v>25.4</v>
      </c>
      <c r="AK15" s="141">
        <v>14</v>
      </c>
      <c r="AL15" s="142">
        <v>13</v>
      </c>
      <c r="AM15" s="141"/>
      <c r="AN15" s="143">
        <f t="shared" si="3"/>
        <v>27</v>
      </c>
      <c r="AO15" s="141">
        <v>12</v>
      </c>
      <c r="AP15" s="142">
        <v>10</v>
      </c>
      <c r="AQ15" s="141"/>
      <c r="AR15" s="143">
        <f t="shared" si="4"/>
        <v>22</v>
      </c>
      <c r="AS15" s="141">
        <v>10</v>
      </c>
      <c r="AT15" s="142">
        <v>11.200000000000001</v>
      </c>
      <c r="AU15" s="141"/>
      <c r="AV15" s="143">
        <f t="shared" si="5"/>
        <v>21.200000000000003</v>
      </c>
      <c r="AW15" s="141">
        <v>11</v>
      </c>
      <c r="AX15" s="142">
        <v>14.4</v>
      </c>
      <c r="AY15" s="141"/>
      <c r="AZ15" s="143">
        <f t="shared" si="6"/>
        <v>25.4</v>
      </c>
      <c r="BA15" s="141">
        <v>11</v>
      </c>
      <c r="BB15" s="142">
        <v>15.200000000000001</v>
      </c>
      <c r="BC15" s="141"/>
      <c r="BD15" s="143">
        <f t="shared" si="7"/>
        <v>26.200000000000003</v>
      </c>
      <c r="BE15" s="143">
        <f t="shared" si="8"/>
        <v>201</v>
      </c>
      <c r="BF15" s="132"/>
    </row>
    <row r="16" spans="1:59" ht="27" customHeight="1" thickBot="1">
      <c r="A16" s="146">
        <v>7</v>
      </c>
      <c r="B16" s="393" t="s">
        <v>104</v>
      </c>
      <c r="C16" s="394" t="s">
        <v>105</v>
      </c>
      <c r="D16" s="394" t="s">
        <v>91</v>
      </c>
      <c r="E16" s="149">
        <v>1</v>
      </c>
      <c r="F16" s="149">
        <v>7</v>
      </c>
      <c r="G16" s="149">
        <v>2009</v>
      </c>
      <c r="H16" s="400" t="s">
        <v>89</v>
      </c>
      <c r="I16" s="401" t="s">
        <v>90</v>
      </c>
      <c r="J16" s="402" t="s">
        <v>67</v>
      </c>
      <c r="K16" s="402" t="s">
        <v>91</v>
      </c>
      <c r="L16" s="403">
        <v>300863</v>
      </c>
      <c r="M16" s="404" t="s">
        <v>92</v>
      </c>
      <c r="N16" s="402" t="s">
        <v>93</v>
      </c>
      <c r="O16" s="402" t="s">
        <v>67</v>
      </c>
      <c r="P16" s="402" t="s">
        <v>91</v>
      </c>
      <c r="Q16" s="404" t="s">
        <v>94</v>
      </c>
      <c r="R16" s="402" t="s">
        <v>95</v>
      </c>
      <c r="S16" s="402" t="s">
        <v>67</v>
      </c>
      <c r="T16" s="402" t="s">
        <v>91</v>
      </c>
      <c r="U16" s="404" t="s">
        <v>106</v>
      </c>
      <c r="V16" s="153"/>
      <c r="W16" s="153"/>
      <c r="X16" s="153"/>
      <c r="Y16" s="141">
        <v>17</v>
      </c>
      <c r="Z16" s="413">
        <v>15.4</v>
      </c>
      <c r="AA16" s="141"/>
      <c r="AB16" s="143">
        <f t="shared" si="0"/>
        <v>32.4</v>
      </c>
      <c r="AC16" s="141">
        <v>13</v>
      </c>
      <c r="AD16" s="142">
        <v>12.200000000000001</v>
      </c>
      <c r="AE16" s="141"/>
      <c r="AF16" s="143">
        <f t="shared" si="1"/>
        <v>25.200000000000003</v>
      </c>
      <c r="AG16" s="141">
        <v>10</v>
      </c>
      <c r="AH16" s="142">
        <v>10.600000000000001</v>
      </c>
      <c r="AI16" s="141"/>
      <c r="AJ16" s="143">
        <f t="shared" si="2"/>
        <v>20.6</v>
      </c>
      <c r="AK16" s="141">
        <v>11</v>
      </c>
      <c r="AL16" s="142">
        <v>11.4</v>
      </c>
      <c r="AM16" s="141"/>
      <c r="AN16" s="143">
        <f t="shared" si="3"/>
        <v>22.4</v>
      </c>
      <c r="AO16" s="141">
        <v>11</v>
      </c>
      <c r="AP16" s="142">
        <v>10</v>
      </c>
      <c r="AQ16" s="141"/>
      <c r="AR16" s="143">
        <f t="shared" si="4"/>
        <v>21</v>
      </c>
      <c r="AS16" s="141">
        <v>10</v>
      </c>
      <c r="AT16" s="142">
        <v>10</v>
      </c>
      <c r="AU16" s="141"/>
      <c r="AV16" s="143">
        <f t="shared" si="5"/>
        <v>20</v>
      </c>
      <c r="AW16" s="141">
        <v>10</v>
      </c>
      <c r="AX16" s="142">
        <v>10</v>
      </c>
      <c r="AY16" s="141"/>
      <c r="AZ16" s="143">
        <f t="shared" si="6"/>
        <v>20</v>
      </c>
      <c r="BA16" s="141">
        <v>10</v>
      </c>
      <c r="BB16" s="142">
        <v>10</v>
      </c>
      <c r="BC16" s="141"/>
      <c r="BD16" s="143">
        <f t="shared" si="7"/>
        <v>20</v>
      </c>
      <c r="BE16" s="143">
        <f t="shared" si="8"/>
        <v>181.6</v>
      </c>
      <c r="BF16" s="132"/>
    </row>
    <row r="17" spans="1:58" ht="27" customHeight="1" thickBot="1">
      <c r="A17" s="146">
        <v>8</v>
      </c>
      <c r="B17" s="393" t="s">
        <v>107</v>
      </c>
      <c r="C17" s="394" t="s">
        <v>67</v>
      </c>
      <c r="D17" s="394" t="s">
        <v>91</v>
      </c>
      <c r="E17" s="149">
        <v>1</v>
      </c>
      <c r="F17" s="149">
        <v>2</v>
      </c>
      <c r="G17" s="149">
        <v>2008</v>
      </c>
      <c r="H17" s="400" t="s">
        <v>89</v>
      </c>
      <c r="I17" s="401" t="s">
        <v>90</v>
      </c>
      <c r="J17" s="402" t="s">
        <v>67</v>
      </c>
      <c r="K17" s="402" t="s">
        <v>91</v>
      </c>
      <c r="L17" s="403">
        <v>300864</v>
      </c>
      <c r="M17" s="404" t="s">
        <v>92</v>
      </c>
      <c r="N17" s="402" t="s">
        <v>93</v>
      </c>
      <c r="O17" s="402" t="s">
        <v>67</v>
      </c>
      <c r="P17" s="402" t="s">
        <v>91</v>
      </c>
      <c r="Q17" s="404" t="s">
        <v>94</v>
      </c>
      <c r="R17" s="402" t="s">
        <v>95</v>
      </c>
      <c r="S17" s="402" t="s">
        <v>67</v>
      </c>
      <c r="T17" s="402" t="s">
        <v>91</v>
      </c>
      <c r="U17" s="404" t="s">
        <v>96</v>
      </c>
      <c r="V17" s="153"/>
      <c r="W17" s="153"/>
      <c r="X17" s="153"/>
      <c r="Y17" s="141">
        <v>18</v>
      </c>
      <c r="Z17" s="413">
        <v>16.8</v>
      </c>
      <c r="AA17" s="141"/>
      <c r="AB17" s="143">
        <f t="shared" si="0"/>
        <v>34.799999999999997</v>
      </c>
      <c r="AC17" s="141">
        <v>16</v>
      </c>
      <c r="AD17" s="142">
        <v>16.8</v>
      </c>
      <c r="AE17" s="141"/>
      <c r="AF17" s="143">
        <f t="shared" si="1"/>
        <v>32.799999999999997</v>
      </c>
      <c r="AG17" s="141">
        <v>16</v>
      </c>
      <c r="AH17" s="142">
        <v>15.8</v>
      </c>
      <c r="AI17" s="141"/>
      <c r="AJ17" s="143">
        <f t="shared" si="2"/>
        <v>31.8</v>
      </c>
      <c r="AK17" s="141">
        <v>19</v>
      </c>
      <c r="AL17" s="142">
        <v>16.8</v>
      </c>
      <c r="AM17" s="141"/>
      <c r="AN17" s="143">
        <f t="shared" si="3"/>
        <v>35.799999999999997</v>
      </c>
      <c r="AO17" s="141">
        <v>19</v>
      </c>
      <c r="AP17" s="142">
        <v>18.2</v>
      </c>
      <c r="AQ17" s="141"/>
      <c r="AR17" s="143">
        <f t="shared" si="4"/>
        <v>37.200000000000003</v>
      </c>
      <c r="AS17" s="141">
        <v>17</v>
      </c>
      <c r="AT17" s="142">
        <v>18.2</v>
      </c>
      <c r="AU17" s="141"/>
      <c r="AV17" s="143">
        <f t="shared" si="5"/>
        <v>35.200000000000003</v>
      </c>
      <c r="AW17" s="141">
        <v>17</v>
      </c>
      <c r="AX17" s="142">
        <v>17.600000000000001</v>
      </c>
      <c r="AY17" s="141"/>
      <c r="AZ17" s="143">
        <f t="shared" si="6"/>
        <v>34.6</v>
      </c>
      <c r="BA17" s="141">
        <v>19</v>
      </c>
      <c r="BB17" s="142">
        <v>16.8</v>
      </c>
      <c r="BC17" s="141"/>
      <c r="BD17" s="143">
        <f t="shared" si="7"/>
        <v>35.799999999999997</v>
      </c>
      <c r="BE17" s="143">
        <f t="shared" si="8"/>
        <v>277.99999999999994</v>
      </c>
      <c r="BF17" s="132"/>
    </row>
    <row r="18" spans="1:58" ht="27" customHeight="1" thickBot="1">
      <c r="A18" s="146">
        <v>9</v>
      </c>
      <c r="B18" s="393" t="s">
        <v>139</v>
      </c>
      <c r="C18" s="394" t="s">
        <v>67</v>
      </c>
      <c r="D18" s="394" t="s">
        <v>91</v>
      </c>
      <c r="E18" s="149">
        <v>19</v>
      </c>
      <c r="F18" s="149">
        <v>4</v>
      </c>
      <c r="G18" s="149">
        <v>2008</v>
      </c>
      <c r="H18" s="400" t="s">
        <v>89</v>
      </c>
      <c r="I18" s="401" t="s">
        <v>90</v>
      </c>
      <c r="J18" s="402" t="s">
        <v>140</v>
      </c>
      <c r="K18" s="402" t="s">
        <v>141</v>
      </c>
      <c r="L18" s="403">
        <v>90296</v>
      </c>
      <c r="M18" s="404" t="s">
        <v>92</v>
      </c>
      <c r="N18" s="402" t="s">
        <v>142</v>
      </c>
      <c r="O18" s="402" t="s">
        <v>140</v>
      </c>
      <c r="P18" s="402" t="s">
        <v>141</v>
      </c>
      <c r="Q18" s="404" t="s">
        <v>94</v>
      </c>
      <c r="R18" s="402" t="s">
        <v>142</v>
      </c>
      <c r="S18" s="402" t="s">
        <v>140</v>
      </c>
      <c r="T18" s="402" t="s">
        <v>141</v>
      </c>
      <c r="U18" s="404" t="s">
        <v>96</v>
      </c>
      <c r="V18" s="153"/>
      <c r="W18" s="153"/>
      <c r="X18" s="153"/>
      <c r="Y18" s="141">
        <v>20</v>
      </c>
      <c r="Z18" s="413">
        <v>20</v>
      </c>
      <c r="AA18" s="141"/>
      <c r="AB18" s="143">
        <f t="shared" si="0"/>
        <v>40</v>
      </c>
      <c r="AC18" s="141">
        <v>20</v>
      </c>
      <c r="AD18" s="142">
        <v>20</v>
      </c>
      <c r="AE18" s="141"/>
      <c r="AF18" s="143">
        <f t="shared" si="1"/>
        <v>40</v>
      </c>
      <c r="AG18" s="141">
        <v>19</v>
      </c>
      <c r="AH18" s="142">
        <v>20</v>
      </c>
      <c r="AI18" s="141"/>
      <c r="AJ18" s="143">
        <f t="shared" si="2"/>
        <v>39</v>
      </c>
      <c r="AK18" s="141">
        <v>17</v>
      </c>
      <c r="AL18" s="142">
        <v>17</v>
      </c>
      <c r="AM18" s="141"/>
      <c r="AN18" s="143">
        <f t="shared" si="3"/>
        <v>34</v>
      </c>
      <c r="AO18" s="141">
        <v>18</v>
      </c>
      <c r="AP18" s="142">
        <v>18</v>
      </c>
      <c r="AQ18" s="141"/>
      <c r="AR18" s="143">
        <f t="shared" si="4"/>
        <v>36</v>
      </c>
      <c r="AS18" s="141">
        <v>19</v>
      </c>
      <c r="AT18" s="142">
        <v>15</v>
      </c>
      <c r="AU18" s="141"/>
      <c r="AV18" s="143">
        <f t="shared" si="5"/>
        <v>34</v>
      </c>
      <c r="AW18" s="141">
        <v>20</v>
      </c>
      <c r="AX18" s="142">
        <v>10</v>
      </c>
      <c r="AY18" s="141"/>
      <c r="AZ18" s="143">
        <f t="shared" si="6"/>
        <v>30</v>
      </c>
      <c r="BA18" s="141">
        <v>20</v>
      </c>
      <c r="BB18" s="142">
        <v>20</v>
      </c>
      <c r="BC18" s="141"/>
      <c r="BD18" s="143">
        <f t="shared" si="7"/>
        <v>40</v>
      </c>
      <c r="BE18" s="143">
        <f t="shared" si="8"/>
        <v>293</v>
      </c>
      <c r="BF18" s="132"/>
    </row>
    <row r="19" spans="1:58" ht="27" customHeight="1" thickBot="1">
      <c r="A19" s="146">
        <v>10</v>
      </c>
      <c r="B19" s="393" t="s">
        <v>108</v>
      </c>
      <c r="C19" s="394" t="s">
        <v>67</v>
      </c>
      <c r="D19" s="394" t="s">
        <v>91</v>
      </c>
      <c r="E19" s="149">
        <v>1</v>
      </c>
      <c r="F19" s="149">
        <v>6</v>
      </c>
      <c r="G19" s="149">
        <v>2009</v>
      </c>
      <c r="H19" s="400" t="s">
        <v>89</v>
      </c>
      <c r="I19" s="401" t="s">
        <v>90</v>
      </c>
      <c r="J19" s="402" t="s">
        <v>67</v>
      </c>
      <c r="K19" s="402" t="s">
        <v>91</v>
      </c>
      <c r="L19" s="403">
        <v>300865</v>
      </c>
      <c r="M19" s="404" t="s">
        <v>92</v>
      </c>
      <c r="N19" s="402" t="s">
        <v>93</v>
      </c>
      <c r="O19" s="402" t="s">
        <v>67</v>
      </c>
      <c r="P19" s="402" t="s">
        <v>91</v>
      </c>
      <c r="Q19" s="404" t="s">
        <v>94</v>
      </c>
      <c r="R19" s="402" t="s">
        <v>95</v>
      </c>
      <c r="S19" s="402" t="s">
        <v>67</v>
      </c>
      <c r="T19" s="402" t="s">
        <v>91</v>
      </c>
      <c r="U19" s="404" t="s">
        <v>96</v>
      </c>
      <c r="V19" s="153"/>
      <c r="W19" s="153"/>
      <c r="X19" s="153"/>
      <c r="Y19" s="141">
        <v>18</v>
      </c>
      <c r="Z19" s="413">
        <v>19.200000000000003</v>
      </c>
      <c r="AA19" s="141"/>
      <c r="AB19" s="143">
        <f t="shared" si="0"/>
        <v>37.200000000000003</v>
      </c>
      <c r="AC19" s="141">
        <v>16</v>
      </c>
      <c r="AD19" s="142">
        <v>14.600000000000001</v>
      </c>
      <c r="AE19" s="141"/>
      <c r="AF19" s="143">
        <f t="shared" si="1"/>
        <v>30.6</v>
      </c>
      <c r="AG19" s="141">
        <v>16</v>
      </c>
      <c r="AH19" s="142">
        <v>13.8</v>
      </c>
      <c r="AI19" s="141"/>
      <c r="AJ19" s="143">
        <f t="shared" si="2"/>
        <v>29.8</v>
      </c>
      <c r="AK19" s="141">
        <v>18</v>
      </c>
      <c r="AL19" s="142">
        <v>17.600000000000001</v>
      </c>
      <c r="AM19" s="141"/>
      <c r="AN19" s="143">
        <f t="shared" si="3"/>
        <v>35.6</v>
      </c>
      <c r="AO19" s="141">
        <v>17</v>
      </c>
      <c r="AP19" s="142">
        <v>15.8</v>
      </c>
      <c r="AQ19" s="141"/>
      <c r="AR19" s="143">
        <f t="shared" si="4"/>
        <v>32.799999999999997</v>
      </c>
      <c r="AS19" s="141">
        <v>17</v>
      </c>
      <c r="AT19" s="142">
        <v>17.600000000000001</v>
      </c>
      <c r="AU19" s="141"/>
      <c r="AV19" s="143">
        <f t="shared" si="5"/>
        <v>34.6</v>
      </c>
      <c r="AW19" s="141">
        <v>18</v>
      </c>
      <c r="AX19" s="142">
        <v>13.600000000000001</v>
      </c>
      <c r="AY19" s="141"/>
      <c r="AZ19" s="143">
        <f t="shared" si="6"/>
        <v>31.6</v>
      </c>
      <c r="BA19" s="141">
        <v>18</v>
      </c>
      <c r="BB19" s="142">
        <v>14.8</v>
      </c>
      <c r="BC19" s="141"/>
      <c r="BD19" s="143">
        <f t="shared" si="7"/>
        <v>32.799999999999997</v>
      </c>
      <c r="BE19" s="143">
        <f t="shared" si="8"/>
        <v>265</v>
      </c>
      <c r="BF19" s="132"/>
    </row>
    <row r="20" spans="1:58" ht="27" customHeight="1" thickBot="1">
      <c r="A20" s="146">
        <v>11</v>
      </c>
      <c r="B20" s="393" t="s">
        <v>109</v>
      </c>
      <c r="C20" s="394" t="s">
        <v>67</v>
      </c>
      <c r="D20" s="394" t="s">
        <v>91</v>
      </c>
      <c r="E20" s="149">
        <v>1</v>
      </c>
      <c r="F20" s="149">
        <v>7</v>
      </c>
      <c r="G20" s="149">
        <v>2008</v>
      </c>
      <c r="H20" s="400" t="s">
        <v>89</v>
      </c>
      <c r="I20" s="401" t="s">
        <v>90</v>
      </c>
      <c r="J20" s="402" t="s">
        <v>67</v>
      </c>
      <c r="K20" s="402" t="s">
        <v>91</v>
      </c>
      <c r="L20" s="403">
        <v>300867</v>
      </c>
      <c r="M20" s="404" t="s">
        <v>92</v>
      </c>
      <c r="N20" s="402" t="s">
        <v>93</v>
      </c>
      <c r="O20" s="402" t="s">
        <v>67</v>
      </c>
      <c r="P20" s="402" t="s">
        <v>91</v>
      </c>
      <c r="Q20" s="404" t="s">
        <v>94</v>
      </c>
      <c r="R20" s="402" t="s">
        <v>95</v>
      </c>
      <c r="S20" s="402" t="s">
        <v>67</v>
      </c>
      <c r="T20" s="402" t="s">
        <v>91</v>
      </c>
      <c r="U20" s="404" t="s">
        <v>96</v>
      </c>
      <c r="V20" s="153"/>
      <c r="W20" s="153"/>
      <c r="X20" s="153"/>
      <c r="Y20" s="141">
        <v>14</v>
      </c>
      <c r="Z20" s="413">
        <v>10</v>
      </c>
      <c r="AA20" s="141"/>
      <c r="AB20" s="143">
        <f t="shared" si="0"/>
        <v>24</v>
      </c>
      <c r="AC20" s="141">
        <v>10</v>
      </c>
      <c r="AD20" s="142">
        <v>10</v>
      </c>
      <c r="AE20" s="141"/>
      <c r="AF20" s="143">
        <f t="shared" si="1"/>
        <v>20</v>
      </c>
      <c r="AG20" s="141">
        <v>10</v>
      </c>
      <c r="AH20" s="142">
        <v>10</v>
      </c>
      <c r="AI20" s="141"/>
      <c r="AJ20" s="143">
        <f t="shared" si="2"/>
        <v>20</v>
      </c>
      <c r="AK20" s="141">
        <v>10</v>
      </c>
      <c r="AL20" s="142">
        <v>11.4</v>
      </c>
      <c r="AM20" s="141"/>
      <c r="AN20" s="143">
        <f t="shared" si="3"/>
        <v>21.4</v>
      </c>
      <c r="AO20" s="141">
        <v>10</v>
      </c>
      <c r="AP20" s="142">
        <v>10</v>
      </c>
      <c r="AQ20" s="141"/>
      <c r="AR20" s="143">
        <f t="shared" si="4"/>
        <v>20</v>
      </c>
      <c r="AS20" s="141">
        <v>10</v>
      </c>
      <c r="AT20" s="142">
        <v>10</v>
      </c>
      <c r="AU20" s="141"/>
      <c r="AV20" s="143">
        <f t="shared" si="5"/>
        <v>20</v>
      </c>
      <c r="AW20" s="141">
        <v>10</v>
      </c>
      <c r="AX20" s="142">
        <v>10</v>
      </c>
      <c r="AY20" s="141"/>
      <c r="AZ20" s="143">
        <f t="shared" si="6"/>
        <v>20</v>
      </c>
      <c r="BA20" s="141">
        <v>11</v>
      </c>
      <c r="BB20" s="142">
        <v>12.4</v>
      </c>
      <c r="BC20" s="141"/>
      <c r="BD20" s="143">
        <f t="shared" si="7"/>
        <v>23.4</v>
      </c>
      <c r="BE20" s="143">
        <f t="shared" si="8"/>
        <v>168.8</v>
      </c>
      <c r="BF20" s="132"/>
    </row>
    <row r="21" spans="1:58" ht="27" customHeight="1" thickBot="1">
      <c r="A21" s="146">
        <v>12</v>
      </c>
      <c r="B21" s="393" t="s">
        <v>143</v>
      </c>
      <c r="C21" s="394" t="s">
        <v>67</v>
      </c>
      <c r="D21" s="394" t="s">
        <v>91</v>
      </c>
      <c r="E21" s="149">
        <v>7</v>
      </c>
      <c r="F21" s="149">
        <v>1</v>
      </c>
      <c r="G21" s="149">
        <v>2009</v>
      </c>
      <c r="H21" s="400" t="s">
        <v>89</v>
      </c>
      <c r="I21" s="401" t="s">
        <v>90</v>
      </c>
      <c r="J21" s="402" t="s">
        <v>140</v>
      </c>
      <c r="K21" s="402" t="s">
        <v>141</v>
      </c>
      <c r="L21" s="403">
        <v>90359</v>
      </c>
      <c r="M21" s="404" t="s">
        <v>92</v>
      </c>
      <c r="N21" s="402" t="s">
        <v>142</v>
      </c>
      <c r="O21" s="402" t="s">
        <v>140</v>
      </c>
      <c r="P21" s="402" t="s">
        <v>141</v>
      </c>
      <c r="Q21" s="404" t="s">
        <v>94</v>
      </c>
      <c r="R21" s="402" t="s">
        <v>142</v>
      </c>
      <c r="S21" s="402" t="s">
        <v>140</v>
      </c>
      <c r="T21" s="402" t="s">
        <v>141</v>
      </c>
      <c r="U21" s="404" t="s">
        <v>96</v>
      </c>
      <c r="V21" s="153"/>
      <c r="W21" s="153"/>
      <c r="X21" s="153"/>
      <c r="Y21" s="141">
        <v>19</v>
      </c>
      <c r="Z21" s="413">
        <v>20</v>
      </c>
      <c r="AA21" s="141"/>
      <c r="AB21" s="143">
        <f t="shared" si="0"/>
        <v>39</v>
      </c>
      <c r="AC21" s="141">
        <v>16</v>
      </c>
      <c r="AD21" s="142">
        <v>18</v>
      </c>
      <c r="AE21" s="141"/>
      <c r="AF21" s="143">
        <f t="shared" si="1"/>
        <v>34</v>
      </c>
      <c r="AG21" s="141">
        <v>18</v>
      </c>
      <c r="AH21" s="142">
        <v>20</v>
      </c>
      <c r="AI21" s="141"/>
      <c r="AJ21" s="143">
        <f t="shared" si="2"/>
        <v>38</v>
      </c>
      <c r="AK21" s="141">
        <v>16</v>
      </c>
      <c r="AL21" s="142">
        <v>19</v>
      </c>
      <c r="AM21" s="141"/>
      <c r="AN21" s="143">
        <f t="shared" si="3"/>
        <v>35</v>
      </c>
      <c r="AO21" s="141">
        <v>19</v>
      </c>
      <c r="AP21" s="142">
        <v>19</v>
      </c>
      <c r="AQ21" s="141"/>
      <c r="AR21" s="143">
        <f t="shared" si="4"/>
        <v>38</v>
      </c>
      <c r="AS21" s="141">
        <v>19</v>
      </c>
      <c r="AT21" s="142">
        <v>16</v>
      </c>
      <c r="AU21" s="141"/>
      <c r="AV21" s="143">
        <f t="shared" si="5"/>
        <v>35</v>
      </c>
      <c r="AW21" s="141">
        <v>19</v>
      </c>
      <c r="AX21" s="142">
        <v>17</v>
      </c>
      <c r="AY21" s="141"/>
      <c r="AZ21" s="143">
        <f t="shared" si="6"/>
        <v>36</v>
      </c>
      <c r="BA21" s="141">
        <v>20</v>
      </c>
      <c r="BB21" s="142">
        <v>19</v>
      </c>
      <c r="BC21" s="141"/>
      <c r="BD21" s="143">
        <f t="shared" si="7"/>
        <v>39</v>
      </c>
      <c r="BE21" s="143">
        <f t="shared" si="8"/>
        <v>294</v>
      </c>
      <c r="BF21" s="132"/>
    </row>
    <row r="22" spans="1:58" ht="27" customHeight="1" thickBot="1">
      <c r="A22" s="146">
        <v>13</v>
      </c>
      <c r="B22" s="406" t="s">
        <v>110</v>
      </c>
      <c r="C22" s="394" t="s">
        <v>67</v>
      </c>
      <c r="D22" s="394" t="s">
        <v>91</v>
      </c>
      <c r="E22" s="149">
        <v>1</v>
      </c>
      <c r="F22" s="149">
        <v>1</v>
      </c>
      <c r="G22" s="149">
        <v>2009</v>
      </c>
      <c r="H22" s="400" t="s">
        <v>89</v>
      </c>
      <c r="I22" s="401" t="s">
        <v>90</v>
      </c>
      <c r="J22" s="402" t="s">
        <v>67</v>
      </c>
      <c r="K22" s="402" t="s">
        <v>91</v>
      </c>
      <c r="L22" s="403">
        <v>300869</v>
      </c>
      <c r="M22" s="404" t="s">
        <v>92</v>
      </c>
      <c r="N22" s="402" t="s">
        <v>93</v>
      </c>
      <c r="O22" s="402" t="s">
        <v>67</v>
      </c>
      <c r="P22" s="402" t="s">
        <v>91</v>
      </c>
      <c r="Q22" s="404" t="s">
        <v>94</v>
      </c>
      <c r="R22" s="402" t="s">
        <v>95</v>
      </c>
      <c r="S22" s="402" t="s">
        <v>67</v>
      </c>
      <c r="T22" s="402" t="s">
        <v>91</v>
      </c>
      <c r="U22" s="404" t="s">
        <v>96</v>
      </c>
      <c r="V22" s="153"/>
      <c r="W22" s="153"/>
      <c r="X22" s="153"/>
      <c r="Y22" s="141">
        <v>17</v>
      </c>
      <c r="Z22" s="413">
        <v>17.400000000000002</v>
      </c>
      <c r="AA22" s="141"/>
      <c r="AB22" s="143">
        <f t="shared" si="0"/>
        <v>34.400000000000006</v>
      </c>
      <c r="AC22" s="141">
        <v>15</v>
      </c>
      <c r="AD22" s="142">
        <v>13.8</v>
      </c>
      <c r="AE22" s="141"/>
      <c r="AF22" s="143">
        <f t="shared" si="1"/>
        <v>28.8</v>
      </c>
      <c r="AG22" s="141">
        <v>15</v>
      </c>
      <c r="AH22" s="142">
        <v>15</v>
      </c>
      <c r="AI22" s="141"/>
      <c r="AJ22" s="143">
        <f t="shared" si="2"/>
        <v>30</v>
      </c>
      <c r="AK22" s="141">
        <v>16</v>
      </c>
      <c r="AL22" s="142">
        <v>13.600000000000001</v>
      </c>
      <c r="AM22" s="141"/>
      <c r="AN22" s="143">
        <f t="shared" si="3"/>
        <v>29.6</v>
      </c>
      <c r="AO22" s="141">
        <v>14</v>
      </c>
      <c r="AP22" s="142">
        <v>13.200000000000001</v>
      </c>
      <c r="AQ22" s="141"/>
      <c r="AR22" s="143">
        <f t="shared" si="4"/>
        <v>27.200000000000003</v>
      </c>
      <c r="AS22" s="141">
        <v>14</v>
      </c>
      <c r="AT22" s="142">
        <v>14</v>
      </c>
      <c r="AU22" s="141"/>
      <c r="AV22" s="143">
        <f t="shared" si="5"/>
        <v>28</v>
      </c>
      <c r="AW22" s="141">
        <v>15</v>
      </c>
      <c r="AX22" s="142">
        <v>14.600000000000001</v>
      </c>
      <c r="AY22" s="141"/>
      <c r="AZ22" s="143">
        <f t="shared" si="6"/>
        <v>29.6</v>
      </c>
      <c r="BA22" s="141">
        <v>15</v>
      </c>
      <c r="BB22" s="142">
        <v>15.8</v>
      </c>
      <c r="BC22" s="141"/>
      <c r="BD22" s="143">
        <f t="shared" si="7"/>
        <v>30.8</v>
      </c>
      <c r="BE22" s="143">
        <f t="shared" si="8"/>
        <v>238.4</v>
      </c>
      <c r="BF22" s="132"/>
    </row>
    <row r="23" spans="1:58" ht="27" customHeight="1">
      <c r="A23" s="146">
        <v>14</v>
      </c>
      <c r="B23" s="405"/>
      <c r="C23" s="394"/>
      <c r="D23" s="394"/>
      <c r="E23" s="149"/>
      <c r="F23" s="149"/>
      <c r="G23" s="149"/>
      <c r="H23" s="400"/>
      <c r="I23" s="401"/>
      <c r="J23" s="402"/>
      <c r="K23" s="402"/>
      <c r="L23" s="403"/>
      <c r="M23" s="404"/>
      <c r="N23" s="402"/>
      <c r="O23" s="402"/>
      <c r="P23" s="402"/>
      <c r="Q23" s="404"/>
      <c r="R23" s="402"/>
      <c r="S23" s="402"/>
      <c r="T23" s="402"/>
      <c r="U23" s="404"/>
      <c r="V23" s="153"/>
      <c r="W23" s="153"/>
      <c r="X23" s="153"/>
      <c r="Y23" s="141"/>
      <c r="Z23" s="142"/>
      <c r="AA23" s="141"/>
      <c r="AB23" s="143">
        <f t="shared" si="0"/>
        <v>0</v>
      </c>
      <c r="AC23" s="141"/>
      <c r="AD23" s="142"/>
      <c r="AE23" s="141"/>
      <c r="AF23" s="143">
        <f t="shared" si="1"/>
        <v>0</v>
      </c>
      <c r="AG23" s="141"/>
      <c r="AH23" s="142"/>
      <c r="AI23" s="141"/>
      <c r="AJ23" s="143">
        <f t="shared" si="2"/>
        <v>0</v>
      </c>
      <c r="AK23" s="141"/>
      <c r="AL23" s="142"/>
      <c r="AM23" s="141"/>
      <c r="AN23" s="143">
        <f t="shared" si="3"/>
        <v>0</v>
      </c>
      <c r="AO23" s="141"/>
      <c r="AP23" s="142"/>
      <c r="AQ23" s="141"/>
      <c r="AR23" s="143">
        <f t="shared" si="4"/>
        <v>0</v>
      </c>
      <c r="AS23" s="141"/>
      <c r="AT23" s="142"/>
      <c r="AU23" s="141"/>
      <c r="AV23" s="143">
        <f t="shared" si="5"/>
        <v>0</v>
      </c>
      <c r="AW23" s="141"/>
      <c r="AX23" s="142"/>
      <c r="AY23" s="141"/>
      <c r="AZ23" s="143">
        <f t="shared" si="6"/>
        <v>0</v>
      </c>
      <c r="BA23" s="141"/>
      <c r="BB23" s="142"/>
      <c r="BC23" s="141"/>
      <c r="BD23" s="143">
        <f t="shared" si="7"/>
        <v>0</v>
      </c>
      <c r="BE23" s="143">
        <f t="shared" si="8"/>
        <v>0</v>
      </c>
      <c r="BF23" s="132"/>
    </row>
    <row r="24" spans="1:58" ht="27" customHeight="1">
      <c r="A24" s="146">
        <v>15</v>
      </c>
      <c r="B24" s="147"/>
      <c r="C24" s="148"/>
      <c r="D24" s="148"/>
      <c r="E24" s="149"/>
      <c r="F24" s="149"/>
      <c r="G24" s="150"/>
      <c r="H24" s="151"/>
      <c r="I24" s="152"/>
      <c r="J24" s="148"/>
      <c r="K24" s="148"/>
      <c r="L24" s="153"/>
      <c r="M24" s="154"/>
      <c r="N24" s="148"/>
      <c r="O24" s="148"/>
      <c r="P24" s="148"/>
      <c r="Q24" s="154"/>
      <c r="R24" s="148"/>
      <c r="S24" s="148"/>
      <c r="T24" s="148"/>
      <c r="U24" s="155"/>
      <c r="V24" s="153"/>
      <c r="W24" s="153"/>
      <c r="X24" s="153"/>
      <c r="Y24" s="141"/>
      <c r="Z24" s="142"/>
      <c r="AA24" s="141"/>
      <c r="AB24" s="143">
        <f t="shared" si="0"/>
        <v>0</v>
      </c>
      <c r="AC24" s="141"/>
      <c r="AD24" s="142"/>
      <c r="AE24" s="141"/>
      <c r="AF24" s="143">
        <f t="shared" si="1"/>
        <v>0</v>
      </c>
      <c r="AG24" s="141"/>
      <c r="AH24" s="142"/>
      <c r="AI24" s="141"/>
      <c r="AJ24" s="143">
        <f t="shared" si="2"/>
        <v>0</v>
      </c>
      <c r="AK24" s="141"/>
      <c r="AL24" s="142"/>
      <c r="AM24" s="141"/>
      <c r="AN24" s="143">
        <f t="shared" si="3"/>
        <v>0</v>
      </c>
      <c r="AO24" s="141"/>
      <c r="AP24" s="142"/>
      <c r="AQ24" s="141"/>
      <c r="AR24" s="143">
        <f t="shared" si="4"/>
        <v>0</v>
      </c>
      <c r="AS24" s="141"/>
      <c r="AT24" s="142"/>
      <c r="AU24" s="141"/>
      <c r="AV24" s="143">
        <f t="shared" si="5"/>
        <v>0</v>
      </c>
      <c r="AW24" s="141"/>
      <c r="AX24" s="142"/>
      <c r="AY24" s="141"/>
      <c r="AZ24" s="143">
        <f t="shared" si="6"/>
        <v>0</v>
      </c>
      <c r="BA24" s="141"/>
      <c r="BB24" s="142"/>
      <c r="BC24" s="141"/>
      <c r="BD24" s="143">
        <f t="shared" si="7"/>
        <v>0</v>
      </c>
      <c r="BE24" s="143">
        <f t="shared" si="8"/>
        <v>0</v>
      </c>
      <c r="BF24" s="132"/>
    </row>
    <row r="25" spans="1:58" ht="27" customHeight="1">
      <c r="A25" s="146">
        <v>16</v>
      </c>
      <c r="B25" s="147"/>
      <c r="C25" s="148"/>
      <c r="D25" s="148"/>
      <c r="E25" s="149"/>
      <c r="F25" s="149"/>
      <c r="G25" s="150"/>
      <c r="H25" s="151"/>
      <c r="I25" s="152"/>
      <c r="J25" s="148"/>
      <c r="K25" s="148"/>
      <c r="L25" s="153"/>
      <c r="M25" s="154"/>
      <c r="N25" s="148"/>
      <c r="O25" s="148"/>
      <c r="P25" s="148"/>
      <c r="Q25" s="154"/>
      <c r="R25" s="148"/>
      <c r="S25" s="148"/>
      <c r="T25" s="148"/>
      <c r="U25" s="155"/>
      <c r="V25" s="153"/>
      <c r="W25" s="153"/>
      <c r="X25" s="153"/>
      <c r="Y25" s="141"/>
      <c r="Z25" s="142"/>
      <c r="AA25" s="141"/>
      <c r="AB25" s="143">
        <f t="shared" si="0"/>
        <v>0</v>
      </c>
      <c r="AC25" s="141"/>
      <c r="AD25" s="142"/>
      <c r="AE25" s="141"/>
      <c r="AF25" s="143">
        <f t="shared" si="1"/>
        <v>0</v>
      </c>
      <c r="AG25" s="141"/>
      <c r="AH25" s="142"/>
      <c r="AI25" s="141"/>
      <c r="AJ25" s="143">
        <f t="shared" si="2"/>
        <v>0</v>
      </c>
      <c r="AK25" s="141"/>
      <c r="AL25" s="142"/>
      <c r="AM25" s="141"/>
      <c r="AN25" s="143">
        <f t="shared" si="3"/>
        <v>0</v>
      </c>
      <c r="AO25" s="141"/>
      <c r="AP25" s="142"/>
      <c r="AQ25" s="141"/>
      <c r="AR25" s="143">
        <f t="shared" si="4"/>
        <v>0</v>
      </c>
      <c r="AS25" s="141"/>
      <c r="AT25" s="142"/>
      <c r="AU25" s="141"/>
      <c r="AV25" s="143">
        <f t="shared" si="5"/>
        <v>0</v>
      </c>
      <c r="AW25" s="141"/>
      <c r="AX25" s="142"/>
      <c r="AY25" s="141"/>
      <c r="AZ25" s="143">
        <f t="shared" si="6"/>
        <v>0</v>
      </c>
      <c r="BA25" s="141"/>
      <c r="BB25" s="142"/>
      <c r="BC25" s="141"/>
      <c r="BD25" s="143">
        <f t="shared" si="7"/>
        <v>0</v>
      </c>
      <c r="BE25" s="143">
        <f t="shared" si="8"/>
        <v>0</v>
      </c>
      <c r="BF25" s="132"/>
    </row>
    <row r="26" spans="1:58" ht="27" customHeight="1">
      <c r="A26" s="146">
        <v>17</v>
      </c>
      <c r="B26" s="147"/>
      <c r="C26" s="148"/>
      <c r="D26" s="148"/>
      <c r="E26" s="149"/>
      <c r="F26" s="149"/>
      <c r="G26" s="150"/>
      <c r="H26" s="151"/>
      <c r="I26" s="152"/>
      <c r="J26" s="148"/>
      <c r="K26" s="148"/>
      <c r="L26" s="153"/>
      <c r="M26" s="154"/>
      <c r="N26" s="148"/>
      <c r="O26" s="148"/>
      <c r="P26" s="148"/>
      <c r="Q26" s="154"/>
      <c r="R26" s="148"/>
      <c r="S26" s="148"/>
      <c r="T26" s="148"/>
      <c r="U26" s="155"/>
      <c r="V26" s="153"/>
      <c r="W26" s="153"/>
      <c r="X26" s="153"/>
      <c r="Y26" s="141"/>
      <c r="Z26" s="142"/>
      <c r="AA26" s="141"/>
      <c r="AB26" s="143">
        <f t="shared" si="0"/>
        <v>0</v>
      </c>
      <c r="AC26" s="141"/>
      <c r="AD26" s="142"/>
      <c r="AE26" s="141"/>
      <c r="AF26" s="143">
        <f t="shared" si="1"/>
        <v>0</v>
      </c>
      <c r="AG26" s="141"/>
      <c r="AH26" s="142"/>
      <c r="AI26" s="141"/>
      <c r="AJ26" s="143">
        <f t="shared" si="2"/>
        <v>0</v>
      </c>
      <c r="AK26" s="141"/>
      <c r="AL26" s="142"/>
      <c r="AM26" s="141"/>
      <c r="AN26" s="143">
        <f t="shared" si="3"/>
        <v>0</v>
      </c>
      <c r="AO26" s="141"/>
      <c r="AP26" s="142"/>
      <c r="AQ26" s="141"/>
      <c r="AR26" s="143">
        <f t="shared" si="4"/>
        <v>0</v>
      </c>
      <c r="AS26" s="141"/>
      <c r="AT26" s="142"/>
      <c r="AU26" s="141"/>
      <c r="AV26" s="143">
        <f t="shared" si="5"/>
        <v>0</v>
      </c>
      <c r="AW26" s="141"/>
      <c r="AX26" s="142"/>
      <c r="AY26" s="141"/>
      <c r="AZ26" s="143">
        <f t="shared" si="6"/>
        <v>0</v>
      </c>
      <c r="BA26" s="141"/>
      <c r="BB26" s="142"/>
      <c r="BC26" s="141"/>
      <c r="BD26" s="143">
        <f t="shared" si="7"/>
        <v>0</v>
      </c>
      <c r="BE26" s="143">
        <f t="shared" si="8"/>
        <v>0</v>
      </c>
      <c r="BF26" s="132"/>
    </row>
    <row r="27" spans="1:58" ht="27" customHeight="1">
      <c r="A27" s="146">
        <v>18</v>
      </c>
      <c r="B27" s="147"/>
      <c r="C27" s="148"/>
      <c r="D27" s="148"/>
      <c r="E27" s="149"/>
      <c r="F27" s="149"/>
      <c r="G27" s="150"/>
      <c r="H27" s="151"/>
      <c r="I27" s="152"/>
      <c r="J27" s="148"/>
      <c r="K27" s="148"/>
      <c r="L27" s="153"/>
      <c r="M27" s="154"/>
      <c r="N27" s="148"/>
      <c r="O27" s="148"/>
      <c r="P27" s="148"/>
      <c r="Q27" s="154"/>
      <c r="R27" s="148"/>
      <c r="S27" s="148"/>
      <c r="T27" s="148"/>
      <c r="U27" s="155"/>
      <c r="V27" s="153"/>
      <c r="W27" s="153"/>
      <c r="X27" s="153"/>
      <c r="Y27" s="141"/>
      <c r="Z27" s="142"/>
      <c r="AA27" s="141"/>
      <c r="AB27" s="143">
        <f t="shared" si="0"/>
        <v>0</v>
      </c>
      <c r="AC27" s="141"/>
      <c r="AD27" s="142"/>
      <c r="AE27" s="141"/>
      <c r="AF27" s="143">
        <f t="shared" si="1"/>
        <v>0</v>
      </c>
      <c r="AG27" s="141"/>
      <c r="AH27" s="142"/>
      <c r="AI27" s="141"/>
      <c r="AJ27" s="143">
        <f t="shared" si="2"/>
        <v>0</v>
      </c>
      <c r="AK27" s="141"/>
      <c r="AL27" s="142"/>
      <c r="AM27" s="141"/>
      <c r="AN27" s="143">
        <f t="shared" si="3"/>
        <v>0</v>
      </c>
      <c r="AO27" s="141"/>
      <c r="AP27" s="142"/>
      <c r="AQ27" s="141"/>
      <c r="AR27" s="143">
        <f t="shared" si="4"/>
        <v>0</v>
      </c>
      <c r="AS27" s="141"/>
      <c r="AT27" s="142"/>
      <c r="AU27" s="141"/>
      <c r="AV27" s="143">
        <f t="shared" si="5"/>
        <v>0</v>
      </c>
      <c r="AW27" s="141"/>
      <c r="AX27" s="142"/>
      <c r="AY27" s="141"/>
      <c r="AZ27" s="143">
        <f t="shared" si="6"/>
        <v>0</v>
      </c>
      <c r="BA27" s="141"/>
      <c r="BB27" s="142"/>
      <c r="BC27" s="141"/>
      <c r="BD27" s="143">
        <f t="shared" si="7"/>
        <v>0</v>
      </c>
      <c r="BE27" s="143">
        <f t="shared" si="8"/>
        <v>0</v>
      </c>
      <c r="BF27" s="132"/>
    </row>
    <row r="28" spans="1:58" ht="27" customHeight="1" thickBot="1">
      <c r="A28" s="146">
        <v>19</v>
      </c>
      <c r="B28" s="147"/>
      <c r="C28" s="148"/>
      <c r="D28" s="148"/>
      <c r="E28" s="149"/>
      <c r="F28" s="149"/>
      <c r="G28" s="150"/>
      <c r="H28" s="151"/>
      <c r="I28" s="152"/>
      <c r="J28" s="148"/>
      <c r="K28" s="148"/>
      <c r="L28" s="153"/>
      <c r="M28" s="154"/>
      <c r="N28" s="148"/>
      <c r="O28" s="148"/>
      <c r="P28" s="148"/>
      <c r="Q28" s="154"/>
      <c r="R28" s="148"/>
      <c r="S28" s="148"/>
      <c r="T28" s="148"/>
      <c r="U28" s="155"/>
      <c r="V28" s="153"/>
      <c r="W28" s="153"/>
      <c r="X28" s="153"/>
      <c r="Y28" s="141"/>
      <c r="Z28" s="142"/>
      <c r="AA28" s="141"/>
      <c r="AB28" s="143"/>
      <c r="AC28" s="141"/>
      <c r="AD28" s="142"/>
      <c r="AE28" s="141"/>
      <c r="AF28" s="143"/>
      <c r="AG28" s="141"/>
      <c r="AH28" s="142"/>
      <c r="AI28" s="141"/>
      <c r="AJ28" s="143"/>
      <c r="AK28" s="141"/>
      <c r="AL28" s="142"/>
      <c r="AM28" s="141"/>
      <c r="AN28" s="143"/>
      <c r="AO28" s="141"/>
      <c r="AP28" s="142"/>
      <c r="AQ28" s="141"/>
      <c r="AR28" s="143"/>
      <c r="AS28" s="141"/>
      <c r="AT28" s="142"/>
      <c r="AU28" s="141"/>
      <c r="AV28" s="143"/>
      <c r="AW28" s="141"/>
      <c r="AX28" s="142"/>
      <c r="AY28" s="141"/>
      <c r="AZ28" s="143"/>
      <c r="BA28" s="141"/>
      <c r="BB28" s="142"/>
      <c r="BC28" s="141"/>
      <c r="BD28" s="143"/>
      <c r="BE28" s="143"/>
      <c r="BF28" s="132"/>
    </row>
    <row r="29" spans="1:58" ht="27" customHeight="1" thickBot="1">
      <c r="A29" s="146">
        <v>1</v>
      </c>
      <c r="B29" s="407" t="s">
        <v>112</v>
      </c>
      <c r="C29" s="394" t="s">
        <v>113</v>
      </c>
      <c r="D29" s="394" t="s">
        <v>88</v>
      </c>
      <c r="E29" s="149">
        <v>6</v>
      </c>
      <c r="F29" s="149">
        <v>1</v>
      </c>
      <c r="G29" s="149">
        <v>2008</v>
      </c>
      <c r="H29" s="400" t="s">
        <v>114</v>
      </c>
      <c r="I29" s="401" t="s">
        <v>115</v>
      </c>
      <c r="J29" s="402" t="s">
        <v>113</v>
      </c>
      <c r="K29" s="402" t="s">
        <v>88</v>
      </c>
      <c r="L29" s="403">
        <v>16366</v>
      </c>
      <c r="M29" s="404" t="s">
        <v>92</v>
      </c>
      <c r="N29" s="402" t="s">
        <v>116</v>
      </c>
      <c r="O29" s="402" t="s">
        <v>113</v>
      </c>
      <c r="P29" s="402" t="s">
        <v>88</v>
      </c>
      <c r="Q29" s="404" t="s">
        <v>94</v>
      </c>
      <c r="R29" s="402" t="s">
        <v>95</v>
      </c>
      <c r="S29" s="402" t="s">
        <v>67</v>
      </c>
      <c r="T29" s="402" t="s">
        <v>91</v>
      </c>
      <c r="U29" s="404" t="s">
        <v>96</v>
      </c>
      <c r="V29" s="153"/>
      <c r="W29" s="153"/>
      <c r="X29" s="153"/>
      <c r="Y29" s="141">
        <v>15</v>
      </c>
      <c r="Z29" s="142">
        <v>14</v>
      </c>
      <c r="AA29" s="141"/>
      <c r="AB29" s="143">
        <f t="shared" si="0"/>
        <v>29</v>
      </c>
      <c r="AC29" s="141">
        <v>13</v>
      </c>
      <c r="AD29" s="142">
        <v>14.200000000000001</v>
      </c>
      <c r="AE29" s="141"/>
      <c r="AF29" s="143">
        <f t="shared" si="1"/>
        <v>27.200000000000003</v>
      </c>
      <c r="AG29" s="141">
        <v>17</v>
      </c>
      <c r="AH29" s="142">
        <v>13.200000000000001</v>
      </c>
      <c r="AI29" s="141"/>
      <c r="AJ29" s="143">
        <f t="shared" si="2"/>
        <v>30.200000000000003</v>
      </c>
      <c r="AK29" s="141">
        <v>16</v>
      </c>
      <c r="AL29" s="142">
        <v>10.4</v>
      </c>
      <c r="AM29" s="141"/>
      <c r="AN29" s="143">
        <f t="shared" si="3"/>
        <v>26.4</v>
      </c>
      <c r="AO29" s="141">
        <v>11</v>
      </c>
      <c r="AP29" s="142">
        <v>10</v>
      </c>
      <c r="AQ29" s="141"/>
      <c r="AR29" s="143">
        <f t="shared" si="4"/>
        <v>21</v>
      </c>
      <c r="AS29" s="141">
        <v>10</v>
      </c>
      <c r="AT29" s="142">
        <v>12.4</v>
      </c>
      <c r="AU29" s="141"/>
      <c r="AV29" s="143">
        <f t="shared" si="5"/>
        <v>22.4</v>
      </c>
      <c r="AW29" s="141">
        <v>18</v>
      </c>
      <c r="AX29" s="142">
        <v>13.200000000000001</v>
      </c>
      <c r="AY29" s="141"/>
      <c r="AZ29" s="143">
        <f t="shared" si="6"/>
        <v>31.200000000000003</v>
      </c>
      <c r="BA29" s="141">
        <v>12</v>
      </c>
      <c r="BB29" s="142">
        <v>13.8</v>
      </c>
      <c r="BC29" s="141"/>
      <c r="BD29" s="143">
        <f t="shared" si="7"/>
        <v>25.8</v>
      </c>
      <c r="BE29" s="143">
        <f t="shared" si="8"/>
        <v>213.20000000000005</v>
      </c>
      <c r="BF29" s="132"/>
    </row>
    <row r="30" spans="1:58" ht="27" customHeight="1" thickBot="1">
      <c r="A30" s="146">
        <v>2</v>
      </c>
      <c r="B30" s="408" t="s">
        <v>117</v>
      </c>
      <c r="C30" s="394" t="s">
        <v>67</v>
      </c>
      <c r="D30" s="394" t="s">
        <v>91</v>
      </c>
      <c r="E30" s="149">
        <v>11</v>
      </c>
      <c r="F30" s="149">
        <v>9</v>
      </c>
      <c r="G30" s="149">
        <v>2008</v>
      </c>
      <c r="H30" s="400" t="s">
        <v>114</v>
      </c>
      <c r="I30" s="401" t="s">
        <v>115</v>
      </c>
      <c r="J30" s="402" t="s">
        <v>67</v>
      </c>
      <c r="K30" s="402" t="s">
        <v>91</v>
      </c>
      <c r="L30" s="403">
        <v>301114</v>
      </c>
      <c r="M30" s="404" t="s">
        <v>92</v>
      </c>
      <c r="N30" s="402" t="s">
        <v>118</v>
      </c>
      <c r="O30" s="402" t="s">
        <v>67</v>
      </c>
      <c r="P30" s="402" t="s">
        <v>91</v>
      </c>
      <c r="Q30" s="404" t="s">
        <v>94</v>
      </c>
      <c r="R30" s="402" t="s">
        <v>95</v>
      </c>
      <c r="S30" s="402" t="s">
        <v>67</v>
      </c>
      <c r="T30" s="402" t="s">
        <v>91</v>
      </c>
      <c r="U30" s="404" t="s">
        <v>96</v>
      </c>
      <c r="V30" s="153"/>
      <c r="W30" s="153"/>
      <c r="X30" s="153"/>
      <c r="Y30" s="141">
        <v>10</v>
      </c>
      <c r="Z30" s="142">
        <v>11.4</v>
      </c>
      <c r="AA30" s="141"/>
      <c r="AB30" s="143">
        <f t="shared" si="0"/>
        <v>21.4</v>
      </c>
      <c r="AC30" s="141">
        <v>10</v>
      </c>
      <c r="AD30" s="142">
        <v>11.200000000000001</v>
      </c>
      <c r="AE30" s="141"/>
      <c r="AF30" s="143">
        <f t="shared" si="1"/>
        <v>21.200000000000003</v>
      </c>
      <c r="AG30" s="141">
        <v>11</v>
      </c>
      <c r="AH30" s="142">
        <v>10.200000000000001</v>
      </c>
      <c r="AI30" s="141"/>
      <c r="AJ30" s="143">
        <f t="shared" si="2"/>
        <v>21.200000000000003</v>
      </c>
      <c r="AK30" s="141">
        <v>12</v>
      </c>
      <c r="AL30" s="142">
        <v>13.200000000000001</v>
      </c>
      <c r="AM30" s="141"/>
      <c r="AN30" s="143">
        <f t="shared" si="3"/>
        <v>25.200000000000003</v>
      </c>
      <c r="AO30" s="141">
        <v>10</v>
      </c>
      <c r="AP30" s="142">
        <v>10</v>
      </c>
      <c r="AQ30" s="141"/>
      <c r="AR30" s="143">
        <f t="shared" si="4"/>
        <v>20</v>
      </c>
      <c r="AS30" s="141">
        <v>10</v>
      </c>
      <c r="AT30" s="142">
        <v>11.200000000000001</v>
      </c>
      <c r="AU30" s="141"/>
      <c r="AV30" s="143">
        <f t="shared" si="5"/>
        <v>21.200000000000003</v>
      </c>
      <c r="AW30" s="141">
        <v>10</v>
      </c>
      <c r="AX30" s="142">
        <v>12.600000000000001</v>
      </c>
      <c r="AY30" s="141"/>
      <c r="AZ30" s="143">
        <f t="shared" si="6"/>
        <v>22.6</v>
      </c>
      <c r="BA30" s="141">
        <v>11</v>
      </c>
      <c r="BB30" s="142">
        <v>11.200000000000001</v>
      </c>
      <c r="BC30" s="141"/>
      <c r="BD30" s="143">
        <f t="shared" si="7"/>
        <v>22.200000000000003</v>
      </c>
      <c r="BE30" s="143">
        <f t="shared" si="8"/>
        <v>175</v>
      </c>
      <c r="BF30" s="132"/>
    </row>
    <row r="31" spans="1:58" ht="27" customHeight="1" thickBot="1">
      <c r="A31" s="146">
        <v>3</v>
      </c>
      <c r="B31" s="408" t="s">
        <v>119</v>
      </c>
      <c r="C31" s="394" t="s">
        <v>67</v>
      </c>
      <c r="D31" s="394" t="s">
        <v>91</v>
      </c>
      <c r="E31" s="149">
        <v>5</v>
      </c>
      <c r="F31" s="149">
        <v>1</v>
      </c>
      <c r="G31" s="149">
        <v>2006</v>
      </c>
      <c r="H31" s="400" t="s">
        <v>114</v>
      </c>
      <c r="I31" s="401" t="s">
        <v>115</v>
      </c>
      <c r="J31" s="402" t="s">
        <v>67</v>
      </c>
      <c r="K31" s="402" t="s">
        <v>91</v>
      </c>
      <c r="L31" s="403">
        <v>300872</v>
      </c>
      <c r="M31" s="404" t="s">
        <v>92</v>
      </c>
      <c r="N31" s="402" t="s">
        <v>93</v>
      </c>
      <c r="O31" s="402" t="s">
        <v>67</v>
      </c>
      <c r="P31" s="402" t="s">
        <v>91</v>
      </c>
      <c r="Q31" s="404" t="s">
        <v>94</v>
      </c>
      <c r="R31" s="402" t="s">
        <v>95</v>
      </c>
      <c r="S31" s="402" t="s">
        <v>67</v>
      </c>
      <c r="T31" s="402" t="s">
        <v>91</v>
      </c>
      <c r="U31" s="404" t="s">
        <v>96</v>
      </c>
      <c r="V31" s="153"/>
      <c r="W31" s="153"/>
      <c r="X31" s="153"/>
      <c r="Y31" s="141">
        <v>10</v>
      </c>
      <c r="Z31" s="142">
        <v>10</v>
      </c>
      <c r="AA31" s="141"/>
      <c r="AB31" s="143">
        <f t="shared" si="0"/>
        <v>20</v>
      </c>
      <c r="AC31" s="141">
        <v>10</v>
      </c>
      <c r="AD31" s="142">
        <v>10</v>
      </c>
      <c r="AE31" s="141"/>
      <c r="AF31" s="143">
        <f t="shared" si="1"/>
        <v>20</v>
      </c>
      <c r="AG31" s="141">
        <v>10</v>
      </c>
      <c r="AH31" s="142">
        <v>10</v>
      </c>
      <c r="AI31" s="141"/>
      <c r="AJ31" s="143">
        <f t="shared" si="2"/>
        <v>20</v>
      </c>
      <c r="AK31" s="141">
        <v>13</v>
      </c>
      <c r="AL31" s="142">
        <v>13.4</v>
      </c>
      <c r="AM31" s="141"/>
      <c r="AN31" s="143">
        <f t="shared" si="3"/>
        <v>26.4</v>
      </c>
      <c r="AO31" s="141">
        <v>10</v>
      </c>
      <c r="AP31" s="142">
        <v>10.200000000000001</v>
      </c>
      <c r="AQ31" s="141"/>
      <c r="AR31" s="143">
        <f t="shared" si="4"/>
        <v>20.200000000000003</v>
      </c>
      <c r="AS31" s="141">
        <v>10</v>
      </c>
      <c r="AT31" s="142">
        <v>10</v>
      </c>
      <c r="AU31" s="141"/>
      <c r="AV31" s="143">
        <f t="shared" si="5"/>
        <v>20</v>
      </c>
      <c r="AW31" s="141">
        <v>10</v>
      </c>
      <c r="AX31" s="142">
        <v>10</v>
      </c>
      <c r="AY31" s="141"/>
      <c r="AZ31" s="143">
        <f t="shared" si="6"/>
        <v>20</v>
      </c>
      <c r="BA31" s="141">
        <v>10</v>
      </c>
      <c r="BB31" s="142">
        <v>10</v>
      </c>
      <c r="BC31" s="141"/>
      <c r="BD31" s="143">
        <f t="shared" si="7"/>
        <v>20</v>
      </c>
      <c r="BE31" s="143">
        <f t="shared" si="8"/>
        <v>166.60000000000002</v>
      </c>
      <c r="BF31" s="132"/>
    </row>
    <row r="32" spans="1:58" ht="27" customHeight="1" thickBot="1">
      <c r="A32" s="146">
        <v>4</v>
      </c>
      <c r="B32" s="408" t="s">
        <v>120</v>
      </c>
      <c r="C32" s="394" t="s">
        <v>67</v>
      </c>
      <c r="D32" s="394" t="s">
        <v>91</v>
      </c>
      <c r="E32" s="149">
        <v>7</v>
      </c>
      <c r="F32" s="149">
        <v>6</v>
      </c>
      <c r="G32" s="149">
        <v>2007</v>
      </c>
      <c r="H32" s="400" t="s">
        <v>114</v>
      </c>
      <c r="I32" s="401" t="s">
        <v>115</v>
      </c>
      <c r="J32" s="402" t="s">
        <v>67</v>
      </c>
      <c r="K32" s="402" t="s">
        <v>91</v>
      </c>
      <c r="L32" s="403">
        <v>300873</v>
      </c>
      <c r="M32" s="404" t="s">
        <v>92</v>
      </c>
      <c r="N32" s="402" t="s">
        <v>93</v>
      </c>
      <c r="O32" s="402" t="s">
        <v>67</v>
      </c>
      <c r="P32" s="402" t="s">
        <v>91</v>
      </c>
      <c r="Q32" s="404" t="s">
        <v>94</v>
      </c>
      <c r="R32" s="402" t="s">
        <v>95</v>
      </c>
      <c r="S32" s="402" t="s">
        <v>67</v>
      </c>
      <c r="T32" s="402" t="s">
        <v>91</v>
      </c>
      <c r="U32" s="404" t="s">
        <v>96</v>
      </c>
      <c r="V32" s="153"/>
      <c r="W32" s="153"/>
      <c r="X32" s="153"/>
      <c r="Y32" s="141">
        <v>14</v>
      </c>
      <c r="Z32" s="142">
        <v>12</v>
      </c>
      <c r="AA32" s="141"/>
      <c r="AB32" s="143">
        <f t="shared" si="0"/>
        <v>26</v>
      </c>
      <c r="AC32" s="141">
        <v>12</v>
      </c>
      <c r="AD32" s="142">
        <v>12.8</v>
      </c>
      <c r="AE32" s="141"/>
      <c r="AF32" s="143">
        <f t="shared" si="1"/>
        <v>24.8</v>
      </c>
      <c r="AG32" s="141">
        <v>10</v>
      </c>
      <c r="AH32" s="142">
        <v>10.4</v>
      </c>
      <c r="AI32" s="141"/>
      <c r="AJ32" s="143">
        <f t="shared" si="2"/>
        <v>20.399999999999999</v>
      </c>
      <c r="AK32" s="141">
        <v>11</v>
      </c>
      <c r="AL32" s="142">
        <v>12.200000000000001</v>
      </c>
      <c r="AM32" s="141"/>
      <c r="AN32" s="143">
        <f t="shared" si="3"/>
        <v>23.200000000000003</v>
      </c>
      <c r="AO32" s="141">
        <v>10</v>
      </c>
      <c r="AP32" s="142">
        <v>10.4</v>
      </c>
      <c r="AQ32" s="141"/>
      <c r="AR32" s="143">
        <f t="shared" si="4"/>
        <v>20.399999999999999</v>
      </c>
      <c r="AS32" s="141">
        <v>10</v>
      </c>
      <c r="AT32" s="142">
        <v>11.4</v>
      </c>
      <c r="AU32" s="141"/>
      <c r="AV32" s="143">
        <f t="shared" si="5"/>
        <v>21.4</v>
      </c>
      <c r="AW32" s="141">
        <v>10</v>
      </c>
      <c r="AX32" s="142">
        <v>10.4</v>
      </c>
      <c r="AY32" s="141"/>
      <c r="AZ32" s="143">
        <f t="shared" si="6"/>
        <v>20.399999999999999</v>
      </c>
      <c r="BA32" s="141">
        <v>10</v>
      </c>
      <c r="BB32" s="142">
        <v>12.4</v>
      </c>
      <c r="BC32" s="141"/>
      <c r="BD32" s="143">
        <f t="shared" si="7"/>
        <v>22.4</v>
      </c>
      <c r="BE32" s="143">
        <f t="shared" si="8"/>
        <v>179</v>
      </c>
      <c r="BF32" s="132"/>
    </row>
    <row r="33" spans="1:58" ht="27" customHeight="1" thickBot="1">
      <c r="A33" s="146">
        <v>5</v>
      </c>
      <c r="B33" s="408" t="s">
        <v>121</v>
      </c>
      <c r="C33" s="394" t="s">
        <v>67</v>
      </c>
      <c r="D33" s="394" t="s">
        <v>91</v>
      </c>
      <c r="E33" s="149">
        <v>2</v>
      </c>
      <c r="F33" s="149">
        <v>7</v>
      </c>
      <c r="G33" s="149">
        <v>2006</v>
      </c>
      <c r="H33" s="400" t="s">
        <v>114</v>
      </c>
      <c r="I33" s="401" t="s">
        <v>115</v>
      </c>
      <c r="J33" s="402" t="s">
        <v>67</v>
      </c>
      <c r="K33" s="402" t="s">
        <v>91</v>
      </c>
      <c r="L33" s="403">
        <v>300874</v>
      </c>
      <c r="M33" s="404" t="s">
        <v>92</v>
      </c>
      <c r="N33" s="402" t="s">
        <v>93</v>
      </c>
      <c r="O33" s="402" t="s">
        <v>67</v>
      </c>
      <c r="P33" s="402" t="s">
        <v>91</v>
      </c>
      <c r="Q33" s="404" t="s">
        <v>94</v>
      </c>
      <c r="R33" s="402" t="s">
        <v>95</v>
      </c>
      <c r="S33" s="402" t="s">
        <v>67</v>
      </c>
      <c r="T33" s="402" t="s">
        <v>91</v>
      </c>
      <c r="U33" s="404" t="s">
        <v>96</v>
      </c>
      <c r="V33" s="153"/>
      <c r="W33" s="153"/>
      <c r="X33" s="153"/>
      <c r="Y33" s="141">
        <v>12</v>
      </c>
      <c r="Z33" s="142">
        <v>10</v>
      </c>
      <c r="AA33" s="141"/>
      <c r="AB33" s="143">
        <f t="shared" si="0"/>
        <v>22</v>
      </c>
      <c r="AC33" s="141">
        <v>10</v>
      </c>
      <c r="AD33" s="142">
        <v>10.8</v>
      </c>
      <c r="AE33" s="141"/>
      <c r="AF33" s="143">
        <f t="shared" si="1"/>
        <v>20.8</v>
      </c>
      <c r="AG33" s="141">
        <v>10</v>
      </c>
      <c r="AH33" s="142">
        <v>10</v>
      </c>
      <c r="AI33" s="141"/>
      <c r="AJ33" s="143">
        <f t="shared" si="2"/>
        <v>20</v>
      </c>
      <c r="AK33" s="141">
        <v>12</v>
      </c>
      <c r="AL33" s="142">
        <v>11</v>
      </c>
      <c r="AM33" s="141"/>
      <c r="AN33" s="143">
        <f t="shared" si="3"/>
        <v>23</v>
      </c>
      <c r="AO33" s="141">
        <v>10</v>
      </c>
      <c r="AP33" s="142">
        <v>10</v>
      </c>
      <c r="AQ33" s="141"/>
      <c r="AR33" s="143">
        <f t="shared" si="4"/>
        <v>20</v>
      </c>
      <c r="AS33" s="141">
        <v>10</v>
      </c>
      <c r="AT33" s="142">
        <v>10.4</v>
      </c>
      <c r="AU33" s="141"/>
      <c r="AV33" s="143">
        <f t="shared" si="5"/>
        <v>20.399999999999999</v>
      </c>
      <c r="AW33" s="141">
        <v>11</v>
      </c>
      <c r="AX33" s="142">
        <v>10</v>
      </c>
      <c r="AY33" s="141"/>
      <c r="AZ33" s="143">
        <f t="shared" si="6"/>
        <v>21</v>
      </c>
      <c r="BA33" s="141">
        <v>10</v>
      </c>
      <c r="BB33" s="142">
        <v>10</v>
      </c>
      <c r="BC33" s="141"/>
      <c r="BD33" s="143">
        <f t="shared" si="7"/>
        <v>20</v>
      </c>
      <c r="BE33" s="143">
        <f t="shared" si="8"/>
        <v>167.2</v>
      </c>
      <c r="BF33" s="132"/>
    </row>
    <row r="34" spans="1:58" ht="27" customHeight="1" thickBot="1">
      <c r="A34" s="146">
        <v>6</v>
      </c>
      <c r="B34" s="408" t="s">
        <v>122</v>
      </c>
      <c r="C34" s="394" t="s">
        <v>67</v>
      </c>
      <c r="D34" s="394" t="s">
        <v>91</v>
      </c>
      <c r="E34" s="149">
        <v>28</v>
      </c>
      <c r="F34" s="149">
        <v>3</v>
      </c>
      <c r="G34" s="149">
        <v>2008</v>
      </c>
      <c r="H34" s="400" t="s">
        <v>114</v>
      </c>
      <c r="I34" s="401" t="s">
        <v>115</v>
      </c>
      <c r="J34" s="402" t="s">
        <v>67</v>
      </c>
      <c r="K34" s="402" t="s">
        <v>91</v>
      </c>
      <c r="L34" s="403">
        <v>300875</v>
      </c>
      <c r="M34" s="404" t="s">
        <v>92</v>
      </c>
      <c r="N34" s="402" t="s">
        <v>93</v>
      </c>
      <c r="O34" s="402" t="s">
        <v>67</v>
      </c>
      <c r="P34" s="402" t="s">
        <v>91</v>
      </c>
      <c r="Q34" s="404" t="s">
        <v>94</v>
      </c>
      <c r="R34" s="402" t="s">
        <v>95</v>
      </c>
      <c r="S34" s="402" t="s">
        <v>67</v>
      </c>
      <c r="T34" s="402" t="s">
        <v>91</v>
      </c>
      <c r="U34" s="404" t="s">
        <v>96</v>
      </c>
      <c r="V34" s="153"/>
      <c r="W34" s="153"/>
      <c r="X34" s="153"/>
      <c r="Y34" s="141">
        <v>13</v>
      </c>
      <c r="Z34" s="142">
        <v>12.200000000000001</v>
      </c>
      <c r="AA34" s="141"/>
      <c r="AB34" s="143">
        <f t="shared" si="0"/>
        <v>25.200000000000003</v>
      </c>
      <c r="AC34" s="141">
        <v>10</v>
      </c>
      <c r="AD34" s="142">
        <v>10</v>
      </c>
      <c r="AE34" s="141"/>
      <c r="AF34" s="143">
        <f t="shared" si="1"/>
        <v>20</v>
      </c>
      <c r="AG34" s="141">
        <v>10</v>
      </c>
      <c r="AH34" s="142">
        <v>10</v>
      </c>
      <c r="AI34" s="141"/>
      <c r="AJ34" s="143">
        <f t="shared" si="2"/>
        <v>20</v>
      </c>
      <c r="AK34" s="141">
        <v>12</v>
      </c>
      <c r="AL34" s="142">
        <v>14.4</v>
      </c>
      <c r="AM34" s="141"/>
      <c r="AN34" s="143">
        <f t="shared" si="3"/>
        <v>26.4</v>
      </c>
      <c r="AO34" s="141">
        <v>11</v>
      </c>
      <c r="AP34" s="142">
        <v>13.8</v>
      </c>
      <c r="AQ34" s="141"/>
      <c r="AR34" s="143">
        <f t="shared" si="4"/>
        <v>24.8</v>
      </c>
      <c r="AS34" s="141">
        <v>10</v>
      </c>
      <c r="AT34" s="142">
        <v>11.8</v>
      </c>
      <c r="AU34" s="141"/>
      <c r="AV34" s="143">
        <f t="shared" si="5"/>
        <v>21.8</v>
      </c>
      <c r="AW34" s="141">
        <v>10</v>
      </c>
      <c r="AX34" s="142">
        <v>10</v>
      </c>
      <c r="AY34" s="141"/>
      <c r="AZ34" s="143">
        <f t="shared" si="6"/>
        <v>20</v>
      </c>
      <c r="BA34" s="141">
        <v>10</v>
      </c>
      <c r="BB34" s="142">
        <v>13.4</v>
      </c>
      <c r="BC34" s="141"/>
      <c r="BD34" s="143">
        <f t="shared" si="7"/>
        <v>23.4</v>
      </c>
      <c r="BE34" s="143">
        <f t="shared" si="8"/>
        <v>181.6</v>
      </c>
      <c r="BF34" s="132"/>
    </row>
    <row r="35" spans="1:58" ht="27" customHeight="1" thickBot="1">
      <c r="A35" s="146">
        <v>7</v>
      </c>
      <c r="B35" s="408" t="s">
        <v>123</v>
      </c>
      <c r="C35" s="394" t="s">
        <v>67</v>
      </c>
      <c r="D35" s="394" t="s">
        <v>91</v>
      </c>
      <c r="E35" s="149">
        <v>4</v>
      </c>
      <c r="F35" s="149">
        <v>3</v>
      </c>
      <c r="G35" s="149">
        <v>2008</v>
      </c>
      <c r="H35" s="400" t="s">
        <v>114</v>
      </c>
      <c r="I35" s="401" t="s">
        <v>115</v>
      </c>
      <c r="J35" s="402" t="s">
        <v>67</v>
      </c>
      <c r="K35" s="402" t="s">
        <v>91</v>
      </c>
      <c r="L35" s="403">
        <v>300876</v>
      </c>
      <c r="M35" s="404" t="s">
        <v>92</v>
      </c>
      <c r="N35" s="402" t="s">
        <v>93</v>
      </c>
      <c r="O35" s="402" t="s">
        <v>67</v>
      </c>
      <c r="P35" s="402" t="s">
        <v>91</v>
      </c>
      <c r="Q35" s="404" t="s">
        <v>94</v>
      </c>
      <c r="R35" s="402" t="s">
        <v>95</v>
      </c>
      <c r="S35" s="402" t="s">
        <v>67</v>
      </c>
      <c r="T35" s="402" t="s">
        <v>91</v>
      </c>
      <c r="U35" s="404" t="s">
        <v>96</v>
      </c>
      <c r="V35" s="153"/>
      <c r="W35" s="153"/>
      <c r="X35" s="153"/>
      <c r="Y35" s="141">
        <v>12</v>
      </c>
      <c r="Z35" s="142">
        <v>12</v>
      </c>
      <c r="AA35" s="141"/>
      <c r="AB35" s="143">
        <f t="shared" si="0"/>
        <v>24</v>
      </c>
      <c r="AC35" s="141">
        <v>11</v>
      </c>
      <c r="AD35" s="142">
        <v>11.8</v>
      </c>
      <c r="AE35" s="141"/>
      <c r="AF35" s="143">
        <f t="shared" si="1"/>
        <v>22.8</v>
      </c>
      <c r="AG35" s="141">
        <v>11</v>
      </c>
      <c r="AH35" s="142">
        <v>11.600000000000001</v>
      </c>
      <c r="AI35" s="141"/>
      <c r="AJ35" s="143">
        <f t="shared" si="2"/>
        <v>22.6</v>
      </c>
      <c r="AK35" s="141">
        <v>13</v>
      </c>
      <c r="AL35" s="142">
        <v>13</v>
      </c>
      <c r="AM35" s="141"/>
      <c r="AN35" s="143">
        <f t="shared" si="3"/>
        <v>26</v>
      </c>
      <c r="AO35" s="141">
        <v>11</v>
      </c>
      <c r="AP35" s="142">
        <v>10.4</v>
      </c>
      <c r="AQ35" s="141"/>
      <c r="AR35" s="143">
        <f t="shared" si="4"/>
        <v>21.4</v>
      </c>
      <c r="AS35" s="141">
        <v>10</v>
      </c>
      <c r="AT35" s="142">
        <v>13.4</v>
      </c>
      <c r="AU35" s="141"/>
      <c r="AV35" s="143">
        <f t="shared" si="5"/>
        <v>23.4</v>
      </c>
      <c r="AW35" s="141">
        <v>11</v>
      </c>
      <c r="AX35" s="142">
        <v>11.8</v>
      </c>
      <c r="AY35" s="141"/>
      <c r="AZ35" s="143">
        <f t="shared" si="6"/>
        <v>22.8</v>
      </c>
      <c r="BA35" s="141">
        <v>10</v>
      </c>
      <c r="BB35" s="142">
        <v>10.4</v>
      </c>
      <c r="BC35" s="141"/>
      <c r="BD35" s="143">
        <f t="shared" si="7"/>
        <v>20.399999999999999</v>
      </c>
      <c r="BE35" s="143">
        <f t="shared" si="8"/>
        <v>183.40000000000003</v>
      </c>
      <c r="BF35" s="132"/>
    </row>
    <row r="36" spans="1:58" ht="27" customHeight="1" thickBot="1">
      <c r="A36" s="146">
        <v>8</v>
      </c>
      <c r="B36" s="408" t="s">
        <v>124</v>
      </c>
      <c r="C36" s="394" t="s">
        <v>67</v>
      </c>
      <c r="D36" s="394" t="s">
        <v>91</v>
      </c>
      <c r="E36" s="149">
        <v>30</v>
      </c>
      <c r="F36" s="149">
        <v>9</v>
      </c>
      <c r="G36" s="149">
        <v>2009</v>
      </c>
      <c r="H36" s="400" t="s">
        <v>114</v>
      </c>
      <c r="I36" s="401" t="s">
        <v>115</v>
      </c>
      <c r="J36" s="402" t="s">
        <v>67</v>
      </c>
      <c r="K36" s="402" t="s">
        <v>91</v>
      </c>
      <c r="L36" s="403">
        <v>31125</v>
      </c>
      <c r="M36" s="404" t="s">
        <v>92</v>
      </c>
      <c r="N36" s="402" t="s">
        <v>118</v>
      </c>
      <c r="O36" s="402" t="s">
        <v>67</v>
      </c>
      <c r="P36" s="402" t="s">
        <v>91</v>
      </c>
      <c r="Q36" s="404" t="s">
        <v>94</v>
      </c>
      <c r="R36" s="402" t="s">
        <v>95</v>
      </c>
      <c r="S36" s="402" t="s">
        <v>67</v>
      </c>
      <c r="T36" s="402" t="s">
        <v>91</v>
      </c>
      <c r="U36" s="404" t="s">
        <v>96</v>
      </c>
      <c r="V36" s="153"/>
      <c r="W36" s="153"/>
      <c r="X36" s="153"/>
      <c r="Y36" s="141">
        <v>11</v>
      </c>
      <c r="Z36" s="142">
        <v>13</v>
      </c>
      <c r="AA36" s="141"/>
      <c r="AB36" s="143">
        <f t="shared" si="0"/>
        <v>24</v>
      </c>
      <c r="AC36" s="141">
        <v>11</v>
      </c>
      <c r="AD36" s="142">
        <v>10</v>
      </c>
      <c r="AE36" s="141"/>
      <c r="AF36" s="143">
        <f t="shared" si="1"/>
        <v>21</v>
      </c>
      <c r="AG36" s="141">
        <v>13</v>
      </c>
      <c r="AH36" s="142">
        <v>10</v>
      </c>
      <c r="AI36" s="141"/>
      <c r="AJ36" s="143">
        <f t="shared" si="2"/>
        <v>23</v>
      </c>
      <c r="AK36" s="141">
        <v>14</v>
      </c>
      <c r="AL36" s="142">
        <v>12.600000000000001</v>
      </c>
      <c r="AM36" s="141"/>
      <c r="AN36" s="143">
        <f t="shared" si="3"/>
        <v>26.6</v>
      </c>
      <c r="AO36" s="141">
        <v>10</v>
      </c>
      <c r="AP36" s="142">
        <v>10.200000000000001</v>
      </c>
      <c r="AQ36" s="141"/>
      <c r="AR36" s="143">
        <f t="shared" si="4"/>
        <v>20.200000000000003</v>
      </c>
      <c r="AS36" s="141">
        <v>10</v>
      </c>
      <c r="AT36" s="142">
        <v>14.4</v>
      </c>
      <c r="AU36" s="141"/>
      <c r="AV36" s="143">
        <f t="shared" si="5"/>
        <v>24.4</v>
      </c>
      <c r="AW36" s="141">
        <v>12</v>
      </c>
      <c r="AX36" s="142">
        <v>12.4</v>
      </c>
      <c r="AY36" s="141"/>
      <c r="AZ36" s="143">
        <f t="shared" si="6"/>
        <v>24.4</v>
      </c>
      <c r="BA36" s="141">
        <v>13</v>
      </c>
      <c r="BB36" s="142">
        <v>10.8</v>
      </c>
      <c r="BC36" s="141"/>
      <c r="BD36" s="143">
        <f t="shared" si="7"/>
        <v>23.8</v>
      </c>
      <c r="BE36" s="143">
        <f t="shared" si="8"/>
        <v>187.4</v>
      </c>
      <c r="BF36" s="132"/>
    </row>
    <row r="37" spans="1:58" ht="27" customHeight="1" thickBot="1">
      <c r="A37" s="146">
        <v>9</v>
      </c>
      <c r="B37" s="408" t="s">
        <v>125</v>
      </c>
      <c r="C37" s="394" t="s">
        <v>67</v>
      </c>
      <c r="D37" s="394" t="s">
        <v>91</v>
      </c>
      <c r="E37" s="149">
        <v>15</v>
      </c>
      <c r="F37" s="149">
        <v>11</v>
      </c>
      <c r="G37" s="149">
        <v>2008</v>
      </c>
      <c r="H37" s="400" t="s">
        <v>114</v>
      </c>
      <c r="I37" s="401" t="s">
        <v>115</v>
      </c>
      <c r="J37" s="402" t="s">
        <v>67</v>
      </c>
      <c r="K37" s="402" t="s">
        <v>91</v>
      </c>
      <c r="L37" s="403">
        <v>300878</v>
      </c>
      <c r="M37" s="404" t="s">
        <v>92</v>
      </c>
      <c r="N37" s="402" t="s">
        <v>93</v>
      </c>
      <c r="O37" s="402" t="s">
        <v>67</v>
      </c>
      <c r="P37" s="402" t="s">
        <v>91</v>
      </c>
      <c r="Q37" s="404" t="s">
        <v>94</v>
      </c>
      <c r="R37" s="402" t="s">
        <v>95</v>
      </c>
      <c r="S37" s="402" t="s">
        <v>67</v>
      </c>
      <c r="T37" s="402" t="s">
        <v>91</v>
      </c>
      <c r="U37" s="404" t="s">
        <v>96</v>
      </c>
      <c r="V37" s="153"/>
      <c r="W37" s="153"/>
      <c r="X37" s="153"/>
      <c r="Y37" s="141">
        <v>14</v>
      </c>
      <c r="Z37" s="142">
        <v>16.400000000000002</v>
      </c>
      <c r="AA37" s="141"/>
      <c r="AB37" s="143">
        <f t="shared" si="0"/>
        <v>30.400000000000002</v>
      </c>
      <c r="AC37" s="141">
        <v>14</v>
      </c>
      <c r="AD37" s="142">
        <v>12.200000000000001</v>
      </c>
      <c r="AE37" s="141"/>
      <c r="AF37" s="143">
        <f t="shared" si="1"/>
        <v>26.200000000000003</v>
      </c>
      <c r="AG37" s="141">
        <v>11</v>
      </c>
      <c r="AH37" s="142">
        <v>13.200000000000001</v>
      </c>
      <c r="AI37" s="141"/>
      <c r="AJ37" s="143">
        <f t="shared" si="2"/>
        <v>24.200000000000003</v>
      </c>
      <c r="AK37" s="141">
        <v>12</v>
      </c>
      <c r="AL37" s="142">
        <v>14</v>
      </c>
      <c r="AM37" s="141"/>
      <c r="AN37" s="143">
        <f t="shared" si="3"/>
        <v>26</v>
      </c>
      <c r="AO37" s="141">
        <v>11</v>
      </c>
      <c r="AP37" s="142">
        <v>13.4</v>
      </c>
      <c r="AQ37" s="141"/>
      <c r="AR37" s="143">
        <f t="shared" si="4"/>
        <v>24.4</v>
      </c>
      <c r="AS37" s="141">
        <v>10</v>
      </c>
      <c r="AT37" s="142">
        <v>12.600000000000001</v>
      </c>
      <c r="AU37" s="141"/>
      <c r="AV37" s="143">
        <f t="shared" si="5"/>
        <v>22.6</v>
      </c>
      <c r="AW37" s="141">
        <v>12</v>
      </c>
      <c r="AX37" s="142">
        <v>11.4</v>
      </c>
      <c r="AY37" s="141"/>
      <c r="AZ37" s="143">
        <f t="shared" si="6"/>
        <v>23.4</v>
      </c>
      <c r="BA37" s="141">
        <v>10</v>
      </c>
      <c r="BB37" s="142">
        <v>12.8</v>
      </c>
      <c r="BC37" s="141"/>
      <c r="BD37" s="143">
        <f t="shared" si="7"/>
        <v>22.8</v>
      </c>
      <c r="BE37" s="143">
        <f t="shared" si="8"/>
        <v>200.00000000000003</v>
      </c>
      <c r="BF37" s="132"/>
    </row>
    <row r="38" spans="1:58" ht="27" customHeight="1" thickBot="1">
      <c r="A38" s="146">
        <v>10</v>
      </c>
      <c r="B38" s="408" t="s">
        <v>126</v>
      </c>
      <c r="C38" s="394" t="s">
        <v>67</v>
      </c>
      <c r="D38" s="394" t="s">
        <v>91</v>
      </c>
      <c r="E38" s="149">
        <v>1</v>
      </c>
      <c r="F38" s="149">
        <v>8</v>
      </c>
      <c r="G38" s="149">
        <v>2008</v>
      </c>
      <c r="H38" s="400" t="s">
        <v>114</v>
      </c>
      <c r="I38" s="401" t="s">
        <v>115</v>
      </c>
      <c r="J38" s="402" t="s">
        <v>67</v>
      </c>
      <c r="K38" s="402" t="s">
        <v>91</v>
      </c>
      <c r="L38" s="403">
        <v>300879</v>
      </c>
      <c r="M38" s="404" t="s">
        <v>92</v>
      </c>
      <c r="N38" s="402" t="s">
        <v>93</v>
      </c>
      <c r="O38" s="402" t="s">
        <v>67</v>
      </c>
      <c r="P38" s="402" t="s">
        <v>91</v>
      </c>
      <c r="Q38" s="404" t="s">
        <v>94</v>
      </c>
      <c r="R38" s="402" t="s">
        <v>95</v>
      </c>
      <c r="S38" s="402" t="s">
        <v>67</v>
      </c>
      <c r="T38" s="402" t="s">
        <v>91</v>
      </c>
      <c r="U38" s="404" t="s">
        <v>96</v>
      </c>
      <c r="V38" s="153"/>
      <c r="W38" s="153"/>
      <c r="X38" s="153"/>
      <c r="Y38" s="141">
        <v>17</v>
      </c>
      <c r="Z38" s="142">
        <v>17.400000000000002</v>
      </c>
      <c r="AA38" s="141"/>
      <c r="AB38" s="143">
        <f t="shared" si="0"/>
        <v>34.400000000000006</v>
      </c>
      <c r="AC38" s="141">
        <v>15</v>
      </c>
      <c r="AD38" s="142">
        <v>13</v>
      </c>
      <c r="AE38" s="141"/>
      <c r="AF38" s="143">
        <f t="shared" si="1"/>
        <v>28</v>
      </c>
      <c r="AG38" s="141">
        <v>14</v>
      </c>
      <c r="AH38" s="142">
        <v>13</v>
      </c>
      <c r="AI38" s="141"/>
      <c r="AJ38" s="143">
        <f t="shared" si="2"/>
        <v>27</v>
      </c>
      <c r="AK38" s="141">
        <v>16</v>
      </c>
      <c r="AL38" s="142">
        <v>14</v>
      </c>
      <c r="AM38" s="141"/>
      <c r="AN38" s="143">
        <f t="shared" si="3"/>
        <v>30</v>
      </c>
      <c r="AO38" s="141">
        <v>16</v>
      </c>
      <c r="AP38" s="142">
        <v>16.2</v>
      </c>
      <c r="AQ38" s="141"/>
      <c r="AR38" s="143">
        <f t="shared" si="4"/>
        <v>32.200000000000003</v>
      </c>
      <c r="AS38" s="141">
        <v>13</v>
      </c>
      <c r="AT38" s="142">
        <v>17.600000000000001</v>
      </c>
      <c r="AU38" s="141"/>
      <c r="AV38" s="143">
        <f t="shared" si="5"/>
        <v>30.6</v>
      </c>
      <c r="AW38" s="141">
        <v>14</v>
      </c>
      <c r="AX38" s="142">
        <v>13.200000000000001</v>
      </c>
      <c r="AY38" s="141"/>
      <c r="AZ38" s="143">
        <f t="shared" si="6"/>
        <v>27.200000000000003</v>
      </c>
      <c r="BA38" s="141">
        <v>15</v>
      </c>
      <c r="BB38" s="142">
        <v>12.4</v>
      </c>
      <c r="BC38" s="141"/>
      <c r="BD38" s="143">
        <f t="shared" si="7"/>
        <v>27.4</v>
      </c>
      <c r="BE38" s="143">
        <f t="shared" si="8"/>
        <v>236.80000000000004</v>
      </c>
      <c r="BF38" s="132"/>
    </row>
    <row r="39" spans="1:58" ht="27" customHeight="1" thickBot="1">
      <c r="A39" s="146">
        <v>11</v>
      </c>
      <c r="B39" s="408" t="s">
        <v>127</v>
      </c>
      <c r="C39" s="394" t="s">
        <v>67</v>
      </c>
      <c r="D39" s="394" t="s">
        <v>91</v>
      </c>
      <c r="E39" s="149">
        <v>27</v>
      </c>
      <c r="F39" s="149">
        <v>7</v>
      </c>
      <c r="G39" s="149">
        <v>2009</v>
      </c>
      <c r="H39" s="400" t="s">
        <v>114</v>
      </c>
      <c r="I39" s="401" t="s">
        <v>115</v>
      </c>
      <c r="J39" s="402" t="s">
        <v>67</v>
      </c>
      <c r="K39" s="402" t="s">
        <v>91</v>
      </c>
      <c r="L39" s="403">
        <v>300880</v>
      </c>
      <c r="M39" s="404" t="s">
        <v>92</v>
      </c>
      <c r="N39" s="402" t="s">
        <v>93</v>
      </c>
      <c r="O39" s="402" t="s">
        <v>67</v>
      </c>
      <c r="P39" s="402" t="s">
        <v>91</v>
      </c>
      <c r="Q39" s="404" t="s">
        <v>94</v>
      </c>
      <c r="R39" s="402" t="s">
        <v>95</v>
      </c>
      <c r="S39" s="402" t="s">
        <v>67</v>
      </c>
      <c r="T39" s="402" t="s">
        <v>91</v>
      </c>
      <c r="U39" s="404" t="s">
        <v>96</v>
      </c>
      <c r="V39" s="153"/>
      <c r="W39" s="153"/>
      <c r="X39" s="153"/>
      <c r="Y39" s="141">
        <v>15</v>
      </c>
      <c r="Z39" s="142">
        <v>12.8</v>
      </c>
      <c r="AA39" s="141"/>
      <c r="AB39" s="143">
        <f t="shared" si="0"/>
        <v>27.8</v>
      </c>
      <c r="AC39" s="141">
        <v>15</v>
      </c>
      <c r="AD39" s="142">
        <v>13.8</v>
      </c>
      <c r="AE39" s="141"/>
      <c r="AF39" s="143">
        <f t="shared" si="1"/>
        <v>28.8</v>
      </c>
      <c r="AG39" s="141">
        <v>11</v>
      </c>
      <c r="AH39" s="142">
        <v>14.4</v>
      </c>
      <c r="AI39" s="141"/>
      <c r="AJ39" s="143">
        <f t="shared" si="2"/>
        <v>25.4</v>
      </c>
      <c r="AK39" s="141">
        <v>13</v>
      </c>
      <c r="AL39" s="142">
        <v>12.600000000000001</v>
      </c>
      <c r="AM39" s="141"/>
      <c r="AN39" s="143">
        <f t="shared" si="3"/>
        <v>25.6</v>
      </c>
      <c r="AO39" s="141">
        <v>10</v>
      </c>
      <c r="AP39" s="142">
        <v>10</v>
      </c>
      <c r="AQ39" s="141"/>
      <c r="AR39" s="143">
        <f t="shared" si="4"/>
        <v>20</v>
      </c>
      <c r="AS39" s="141">
        <v>10</v>
      </c>
      <c r="AT39" s="142">
        <v>10.600000000000001</v>
      </c>
      <c r="AU39" s="141"/>
      <c r="AV39" s="143">
        <f t="shared" si="5"/>
        <v>20.6</v>
      </c>
      <c r="AW39" s="141">
        <v>10</v>
      </c>
      <c r="AX39" s="142">
        <v>12.4</v>
      </c>
      <c r="AY39" s="141"/>
      <c r="AZ39" s="143">
        <f t="shared" si="6"/>
        <v>22.4</v>
      </c>
      <c r="BA39" s="141">
        <v>12</v>
      </c>
      <c r="BB39" s="142">
        <v>12.200000000000001</v>
      </c>
      <c r="BC39" s="141"/>
      <c r="BD39" s="143">
        <f t="shared" si="7"/>
        <v>24.200000000000003</v>
      </c>
      <c r="BE39" s="143">
        <f t="shared" si="8"/>
        <v>194.8</v>
      </c>
      <c r="BF39" s="132"/>
    </row>
    <row r="40" spans="1:58" ht="27" customHeight="1" thickBot="1">
      <c r="A40" s="146">
        <v>12</v>
      </c>
      <c r="B40" s="409" t="s">
        <v>135</v>
      </c>
      <c r="C40" s="394" t="s">
        <v>67</v>
      </c>
      <c r="D40" s="394" t="s">
        <v>91</v>
      </c>
      <c r="E40" s="149">
        <v>1</v>
      </c>
      <c r="F40" s="149">
        <v>1</v>
      </c>
      <c r="G40" s="149">
        <v>2000</v>
      </c>
      <c r="H40" s="400" t="s">
        <v>114</v>
      </c>
      <c r="I40" s="401" t="s">
        <v>115</v>
      </c>
      <c r="J40" s="402" t="s">
        <v>67</v>
      </c>
      <c r="K40" s="402" t="s">
        <v>91</v>
      </c>
      <c r="L40" s="403">
        <v>107517</v>
      </c>
      <c r="M40" s="404" t="s">
        <v>137</v>
      </c>
      <c r="N40" s="402" t="s">
        <v>93</v>
      </c>
      <c r="O40" s="402" t="s">
        <v>67</v>
      </c>
      <c r="P40" s="402" t="s">
        <v>91</v>
      </c>
      <c r="Q40" s="404" t="s">
        <v>136</v>
      </c>
      <c r="R40" s="402" t="s">
        <v>95</v>
      </c>
      <c r="S40" s="402" t="s">
        <v>67</v>
      </c>
      <c r="T40" s="402" t="s">
        <v>91</v>
      </c>
      <c r="U40" s="404" t="s">
        <v>96</v>
      </c>
      <c r="V40" s="153"/>
      <c r="W40" s="153"/>
      <c r="X40" s="153"/>
      <c r="Y40" s="141"/>
      <c r="Z40" s="142">
        <v>15.600000000000001</v>
      </c>
      <c r="AA40" s="141"/>
      <c r="AB40" s="143">
        <f t="shared" si="0"/>
        <v>15.600000000000001</v>
      </c>
      <c r="AC40" s="141"/>
      <c r="AD40" s="142">
        <v>13.8</v>
      </c>
      <c r="AE40" s="141"/>
      <c r="AF40" s="143">
        <f t="shared" si="1"/>
        <v>13.8</v>
      </c>
      <c r="AG40" s="141"/>
      <c r="AH40" s="142">
        <v>12.4</v>
      </c>
      <c r="AI40" s="141"/>
      <c r="AJ40" s="143">
        <f t="shared" si="2"/>
        <v>12.4</v>
      </c>
      <c r="AK40" s="141"/>
      <c r="AL40" s="142">
        <v>11.600000000000001</v>
      </c>
      <c r="AM40" s="141"/>
      <c r="AN40" s="143">
        <f t="shared" si="3"/>
        <v>11.600000000000001</v>
      </c>
      <c r="AO40" s="141"/>
      <c r="AP40" s="142">
        <v>12.200000000000001</v>
      </c>
      <c r="AQ40" s="141"/>
      <c r="AR40" s="143">
        <f t="shared" si="4"/>
        <v>12.200000000000001</v>
      </c>
      <c r="AS40" s="141"/>
      <c r="AT40" s="142">
        <v>13.200000000000001</v>
      </c>
      <c r="AU40" s="141"/>
      <c r="AV40" s="143">
        <f t="shared" si="5"/>
        <v>13.200000000000001</v>
      </c>
      <c r="AW40" s="141"/>
      <c r="AX40" s="142">
        <v>12.600000000000001</v>
      </c>
      <c r="AY40" s="141"/>
      <c r="AZ40" s="143">
        <f t="shared" si="6"/>
        <v>12.600000000000001</v>
      </c>
      <c r="BA40" s="141"/>
      <c r="BB40" s="142">
        <v>11.8</v>
      </c>
      <c r="BC40" s="141"/>
      <c r="BD40" s="143">
        <f t="shared" si="7"/>
        <v>11.8</v>
      </c>
      <c r="BE40" s="143">
        <f t="shared" si="8"/>
        <v>103.2</v>
      </c>
      <c r="BF40" s="132"/>
    </row>
    <row r="41" spans="1:58" ht="27" customHeight="1" thickBot="1">
      <c r="A41" s="146">
        <v>13</v>
      </c>
      <c r="B41" s="410" t="s">
        <v>128</v>
      </c>
      <c r="C41" s="394" t="s">
        <v>67</v>
      </c>
      <c r="D41" s="394" t="s">
        <v>91</v>
      </c>
      <c r="E41" s="149">
        <v>11</v>
      </c>
      <c r="F41" s="149">
        <v>9</v>
      </c>
      <c r="G41" s="149">
        <v>2009</v>
      </c>
      <c r="H41" s="400" t="s">
        <v>114</v>
      </c>
      <c r="I41" s="401" t="s">
        <v>115</v>
      </c>
      <c r="J41" s="402" t="s">
        <v>67</v>
      </c>
      <c r="K41" s="402" t="s">
        <v>91</v>
      </c>
      <c r="L41" s="403">
        <v>300881</v>
      </c>
      <c r="M41" s="404" t="s">
        <v>92</v>
      </c>
      <c r="N41" s="402" t="s">
        <v>93</v>
      </c>
      <c r="O41" s="402" t="s">
        <v>67</v>
      </c>
      <c r="P41" s="402" t="s">
        <v>91</v>
      </c>
      <c r="Q41" s="404" t="s">
        <v>94</v>
      </c>
      <c r="R41" s="402" t="s">
        <v>95</v>
      </c>
      <c r="S41" s="402" t="s">
        <v>67</v>
      </c>
      <c r="T41" s="402" t="s">
        <v>91</v>
      </c>
      <c r="U41" s="404" t="s">
        <v>96</v>
      </c>
      <c r="V41" s="153"/>
      <c r="W41" s="153"/>
      <c r="X41" s="153"/>
      <c r="Y41" s="141">
        <v>14</v>
      </c>
      <c r="Z41" s="142">
        <v>14.600000000000001</v>
      </c>
      <c r="AA41" s="141"/>
      <c r="AB41" s="143">
        <f t="shared" si="0"/>
        <v>28.6</v>
      </c>
      <c r="AC41" s="141">
        <v>15</v>
      </c>
      <c r="AD41" s="142">
        <v>13</v>
      </c>
      <c r="AE41" s="141"/>
      <c r="AF41" s="143">
        <f t="shared" si="1"/>
        <v>28</v>
      </c>
      <c r="AG41" s="141">
        <v>11</v>
      </c>
      <c r="AH41" s="142">
        <v>10.8</v>
      </c>
      <c r="AI41" s="141"/>
      <c r="AJ41" s="143">
        <f t="shared" si="2"/>
        <v>21.8</v>
      </c>
      <c r="AK41" s="141">
        <v>12</v>
      </c>
      <c r="AL41" s="142">
        <v>12.600000000000001</v>
      </c>
      <c r="AM41" s="141"/>
      <c r="AN41" s="143">
        <f t="shared" si="3"/>
        <v>24.6</v>
      </c>
      <c r="AO41" s="141">
        <v>13</v>
      </c>
      <c r="AP41" s="142">
        <v>12.200000000000001</v>
      </c>
      <c r="AQ41" s="141"/>
      <c r="AR41" s="143">
        <f t="shared" si="4"/>
        <v>25.200000000000003</v>
      </c>
      <c r="AS41" s="141">
        <v>10</v>
      </c>
      <c r="AT41" s="142">
        <v>11.600000000000001</v>
      </c>
      <c r="AU41" s="141"/>
      <c r="AV41" s="143">
        <f t="shared" si="5"/>
        <v>21.6</v>
      </c>
      <c r="AW41" s="141">
        <v>12</v>
      </c>
      <c r="AX41" s="142">
        <v>12.8</v>
      </c>
      <c r="AY41" s="141"/>
      <c r="AZ41" s="143">
        <f t="shared" si="6"/>
        <v>24.8</v>
      </c>
      <c r="BA41" s="141">
        <v>10</v>
      </c>
      <c r="BB41" s="142">
        <v>10.4</v>
      </c>
      <c r="BC41" s="141"/>
      <c r="BD41" s="143">
        <f t="shared" si="7"/>
        <v>20.399999999999999</v>
      </c>
      <c r="BE41" s="143">
        <f t="shared" si="8"/>
        <v>195</v>
      </c>
      <c r="BF41" s="132"/>
    </row>
    <row r="42" spans="1:58" ht="27" customHeight="1" thickBot="1">
      <c r="A42" s="146">
        <v>14</v>
      </c>
      <c r="B42" s="408" t="s">
        <v>129</v>
      </c>
      <c r="C42" s="394" t="s">
        <v>67</v>
      </c>
      <c r="D42" s="394" t="s">
        <v>91</v>
      </c>
      <c r="E42" s="149">
        <v>5</v>
      </c>
      <c r="F42" s="149">
        <v>5</v>
      </c>
      <c r="G42" s="149">
        <v>2009</v>
      </c>
      <c r="H42" s="400" t="s">
        <v>114</v>
      </c>
      <c r="I42" s="401" t="s">
        <v>115</v>
      </c>
      <c r="J42" s="402" t="s">
        <v>67</v>
      </c>
      <c r="K42" s="402" t="s">
        <v>91</v>
      </c>
      <c r="L42" s="403">
        <v>300882</v>
      </c>
      <c r="M42" s="404" t="s">
        <v>92</v>
      </c>
      <c r="N42" s="402" t="s">
        <v>93</v>
      </c>
      <c r="O42" s="402" t="s">
        <v>67</v>
      </c>
      <c r="P42" s="402" t="s">
        <v>91</v>
      </c>
      <c r="Q42" s="404" t="s">
        <v>130</v>
      </c>
      <c r="R42" s="402" t="s">
        <v>95</v>
      </c>
      <c r="S42" s="402" t="s">
        <v>67</v>
      </c>
      <c r="T42" s="402" t="s">
        <v>91</v>
      </c>
      <c r="U42" s="404" t="s">
        <v>96</v>
      </c>
      <c r="V42" s="153"/>
      <c r="W42" s="153"/>
      <c r="X42" s="153"/>
      <c r="Y42" s="141">
        <v>17</v>
      </c>
      <c r="Z42" s="142">
        <v>17.8</v>
      </c>
      <c r="AA42" s="141"/>
      <c r="AB42" s="143">
        <f t="shared" si="0"/>
        <v>34.799999999999997</v>
      </c>
      <c r="AC42" s="141">
        <v>14</v>
      </c>
      <c r="AD42" s="142">
        <v>13.200000000000001</v>
      </c>
      <c r="AE42" s="141"/>
      <c r="AF42" s="143">
        <f t="shared" si="1"/>
        <v>27.200000000000003</v>
      </c>
      <c r="AG42" s="141">
        <v>15</v>
      </c>
      <c r="AH42" s="142">
        <v>13</v>
      </c>
      <c r="AI42" s="141"/>
      <c r="AJ42" s="143">
        <f t="shared" si="2"/>
        <v>28</v>
      </c>
      <c r="AK42" s="141">
        <v>15</v>
      </c>
      <c r="AL42" s="142">
        <v>13</v>
      </c>
      <c r="AM42" s="141"/>
      <c r="AN42" s="143">
        <f t="shared" si="3"/>
        <v>28</v>
      </c>
      <c r="AO42" s="141">
        <v>12</v>
      </c>
      <c r="AP42" s="142">
        <v>12.200000000000001</v>
      </c>
      <c r="AQ42" s="141"/>
      <c r="AR42" s="143">
        <f t="shared" si="4"/>
        <v>24.200000000000003</v>
      </c>
      <c r="AS42" s="141">
        <v>11</v>
      </c>
      <c r="AT42" s="142">
        <v>16</v>
      </c>
      <c r="AU42" s="141"/>
      <c r="AV42" s="143">
        <f t="shared" si="5"/>
        <v>27</v>
      </c>
      <c r="AW42" s="141">
        <v>12</v>
      </c>
      <c r="AX42" s="142">
        <v>13.200000000000001</v>
      </c>
      <c r="AY42" s="141"/>
      <c r="AZ42" s="143">
        <f t="shared" si="6"/>
        <v>25.200000000000003</v>
      </c>
      <c r="BA42" s="141">
        <v>13</v>
      </c>
      <c r="BB42" s="142">
        <v>13.200000000000001</v>
      </c>
      <c r="BC42" s="141"/>
      <c r="BD42" s="143">
        <f t="shared" si="7"/>
        <v>26.200000000000003</v>
      </c>
      <c r="BE42" s="143">
        <f t="shared" si="8"/>
        <v>220.59999999999997</v>
      </c>
      <c r="BF42" s="132"/>
    </row>
    <row r="43" spans="1:58" ht="27" customHeight="1" thickBot="1">
      <c r="A43" s="146">
        <v>15</v>
      </c>
      <c r="B43" s="408" t="s">
        <v>131</v>
      </c>
      <c r="C43" s="394" t="s">
        <v>67</v>
      </c>
      <c r="D43" s="394" t="s">
        <v>91</v>
      </c>
      <c r="E43" s="149">
        <v>12</v>
      </c>
      <c r="F43" s="149">
        <v>10</v>
      </c>
      <c r="G43" s="149">
        <v>2008</v>
      </c>
      <c r="H43" s="400" t="s">
        <v>114</v>
      </c>
      <c r="I43" s="401" t="s">
        <v>115</v>
      </c>
      <c r="J43" s="402" t="s">
        <v>67</v>
      </c>
      <c r="K43" s="402" t="s">
        <v>91</v>
      </c>
      <c r="L43" s="403">
        <v>300883</v>
      </c>
      <c r="M43" s="404" t="s">
        <v>92</v>
      </c>
      <c r="N43" s="402" t="s">
        <v>93</v>
      </c>
      <c r="O43" s="402" t="s">
        <v>67</v>
      </c>
      <c r="P43" s="402" t="s">
        <v>91</v>
      </c>
      <c r="Q43" s="404" t="s">
        <v>94</v>
      </c>
      <c r="R43" s="402" t="s">
        <v>95</v>
      </c>
      <c r="S43" s="402" t="s">
        <v>67</v>
      </c>
      <c r="T43" s="402" t="s">
        <v>91</v>
      </c>
      <c r="U43" s="404" t="s">
        <v>96</v>
      </c>
      <c r="V43" s="153"/>
      <c r="W43" s="153"/>
      <c r="X43" s="153"/>
      <c r="Y43" s="141">
        <v>16</v>
      </c>
      <c r="Z43" s="142">
        <v>13.600000000000001</v>
      </c>
      <c r="AA43" s="141"/>
      <c r="AB43" s="143">
        <f t="shared" si="0"/>
        <v>29.6</v>
      </c>
      <c r="AC43" s="141">
        <v>14</v>
      </c>
      <c r="AD43" s="142">
        <v>11.600000000000001</v>
      </c>
      <c r="AE43" s="141"/>
      <c r="AF43" s="143">
        <f t="shared" si="1"/>
        <v>25.6</v>
      </c>
      <c r="AG43" s="141">
        <v>11</v>
      </c>
      <c r="AH43" s="142">
        <v>10</v>
      </c>
      <c r="AI43" s="141"/>
      <c r="AJ43" s="143">
        <f t="shared" si="2"/>
        <v>21</v>
      </c>
      <c r="AK43" s="141">
        <v>12</v>
      </c>
      <c r="AL43" s="142">
        <v>10.8</v>
      </c>
      <c r="AM43" s="141"/>
      <c r="AN43" s="143">
        <f t="shared" si="3"/>
        <v>22.8</v>
      </c>
      <c r="AO43" s="141">
        <v>10</v>
      </c>
      <c r="AP43" s="142">
        <v>10</v>
      </c>
      <c r="AQ43" s="141"/>
      <c r="AR43" s="143">
        <f t="shared" si="4"/>
        <v>20</v>
      </c>
      <c r="AS43" s="141">
        <v>10</v>
      </c>
      <c r="AT43" s="142">
        <v>11.200000000000001</v>
      </c>
      <c r="AU43" s="141"/>
      <c r="AV43" s="143">
        <f t="shared" si="5"/>
        <v>21.200000000000003</v>
      </c>
      <c r="AW43" s="141">
        <v>10</v>
      </c>
      <c r="AX43" s="142">
        <v>10.8</v>
      </c>
      <c r="AY43" s="141"/>
      <c r="AZ43" s="143">
        <f t="shared" si="6"/>
        <v>20.8</v>
      </c>
      <c r="BA43" s="141">
        <v>10</v>
      </c>
      <c r="BB43" s="142">
        <v>12.600000000000001</v>
      </c>
      <c r="BC43" s="141"/>
      <c r="BD43" s="143">
        <f t="shared" si="7"/>
        <v>22.6</v>
      </c>
      <c r="BE43" s="143">
        <f t="shared" si="8"/>
        <v>183.6</v>
      </c>
      <c r="BF43" s="132"/>
    </row>
    <row r="44" spans="1:58" ht="27" customHeight="1" thickBot="1">
      <c r="A44" s="146">
        <v>16</v>
      </c>
      <c r="B44" s="408" t="s">
        <v>132</v>
      </c>
      <c r="C44" s="394" t="s">
        <v>67</v>
      </c>
      <c r="D44" s="394" t="s">
        <v>91</v>
      </c>
      <c r="E44" s="149">
        <v>7</v>
      </c>
      <c r="F44" s="149">
        <v>9</v>
      </c>
      <c r="G44" s="149">
        <v>2008</v>
      </c>
      <c r="H44" s="400" t="s">
        <v>114</v>
      </c>
      <c r="I44" s="401" t="s">
        <v>115</v>
      </c>
      <c r="J44" s="402" t="s">
        <v>67</v>
      </c>
      <c r="K44" s="402" t="s">
        <v>91</v>
      </c>
      <c r="L44" s="403">
        <v>300884</v>
      </c>
      <c r="M44" s="404" t="s">
        <v>92</v>
      </c>
      <c r="N44" s="402" t="s">
        <v>93</v>
      </c>
      <c r="O44" s="402" t="s">
        <v>67</v>
      </c>
      <c r="P44" s="402" t="s">
        <v>91</v>
      </c>
      <c r="Q44" s="404" t="s">
        <v>94</v>
      </c>
      <c r="R44" s="402" t="s">
        <v>95</v>
      </c>
      <c r="S44" s="402" t="s">
        <v>67</v>
      </c>
      <c r="T44" s="402" t="s">
        <v>91</v>
      </c>
      <c r="U44" s="404" t="s">
        <v>96</v>
      </c>
      <c r="V44" s="153"/>
      <c r="W44" s="153"/>
      <c r="X44" s="153"/>
      <c r="Y44" s="141">
        <v>18</v>
      </c>
      <c r="Z44" s="142">
        <v>16.8</v>
      </c>
      <c r="AA44" s="141"/>
      <c r="AB44" s="143">
        <f t="shared" si="0"/>
        <v>34.799999999999997</v>
      </c>
      <c r="AC44" s="141">
        <v>17</v>
      </c>
      <c r="AD44" s="142">
        <v>13.200000000000001</v>
      </c>
      <c r="AE44" s="141"/>
      <c r="AF44" s="143">
        <f t="shared" si="1"/>
        <v>30.200000000000003</v>
      </c>
      <c r="AG44" s="141">
        <v>16</v>
      </c>
      <c r="AH44" s="142">
        <v>14.200000000000001</v>
      </c>
      <c r="AI44" s="141"/>
      <c r="AJ44" s="143">
        <f t="shared" si="2"/>
        <v>30.200000000000003</v>
      </c>
      <c r="AK44" s="141">
        <v>17</v>
      </c>
      <c r="AL44" s="142">
        <v>14.8</v>
      </c>
      <c r="AM44" s="141"/>
      <c r="AN44" s="143">
        <f t="shared" si="3"/>
        <v>31.8</v>
      </c>
      <c r="AO44" s="141">
        <v>18</v>
      </c>
      <c r="AP44" s="142">
        <v>16.2</v>
      </c>
      <c r="AQ44" s="141"/>
      <c r="AR44" s="143">
        <f t="shared" si="4"/>
        <v>34.200000000000003</v>
      </c>
      <c r="AS44" s="141">
        <v>14</v>
      </c>
      <c r="AT44" s="142">
        <v>17.2</v>
      </c>
      <c r="AU44" s="141"/>
      <c r="AV44" s="143">
        <f t="shared" si="5"/>
        <v>31.2</v>
      </c>
      <c r="AW44" s="141">
        <v>17</v>
      </c>
      <c r="AX44" s="142">
        <v>14.600000000000001</v>
      </c>
      <c r="AY44" s="141"/>
      <c r="AZ44" s="143">
        <f t="shared" si="6"/>
        <v>31.6</v>
      </c>
      <c r="BA44" s="141">
        <v>17</v>
      </c>
      <c r="BB44" s="142">
        <v>16.8</v>
      </c>
      <c r="BC44" s="141"/>
      <c r="BD44" s="143">
        <f t="shared" si="7"/>
        <v>33.799999999999997</v>
      </c>
      <c r="BE44" s="143">
        <f t="shared" si="8"/>
        <v>257.79999999999995</v>
      </c>
      <c r="BF44" s="132"/>
    </row>
    <row r="45" spans="1:58" ht="27" customHeight="1" thickBot="1">
      <c r="A45" s="612">
        <v>17</v>
      </c>
      <c r="B45" s="408" t="s">
        <v>144</v>
      </c>
      <c r="C45" s="394" t="s">
        <v>67</v>
      </c>
      <c r="D45" s="394" t="s">
        <v>91</v>
      </c>
      <c r="E45" s="149">
        <v>20</v>
      </c>
      <c r="F45" s="149">
        <v>12</v>
      </c>
      <c r="G45" s="149">
        <v>2008</v>
      </c>
      <c r="H45" s="400" t="s">
        <v>114</v>
      </c>
      <c r="I45" s="401" t="s">
        <v>115</v>
      </c>
      <c r="J45" s="402" t="s">
        <v>67</v>
      </c>
      <c r="K45" s="402" t="s">
        <v>91</v>
      </c>
      <c r="L45" s="403">
        <v>300885</v>
      </c>
      <c r="M45" s="404" t="s">
        <v>92</v>
      </c>
      <c r="N45" s="402" t="s">
        <v>93</v>
      </c>
      <c r="O45" s="402" t="s">
        <v>67</v>
      </c>
      <c r="P45" s="402" t="s">
        <v>91</v>
      </c>
      <c r="Q45" s="404" t="s">
        <v>94</v>
      </c>
      <c r="R45" s="402" t="s">
        <v>95</v>
      </c>
      <c r="S45" s="402" t="s">
        <v>67</v>
      </c>
      <c r="T45" s="402" t="s">
        <v>91</v>
      </c>
      <c r="U45" s="404" t="s">
        <v>96</v>
      </c>
      <c r="V45" s="403"/>
      <c r="W45" s="403"/>
      <c r="X45" s="403"/>
      <c r="Y45" s="613">
        <v>18</v>
      </c>
      <c r="Z45" s="142">
        <v>15.600000000000001</v>
      </c>
      <c r="AA45" s="613"/>
      <c r="AB45" s="143">
        <f>AA45+Z45+Y45</f>
        <v>33.6</v>
      </c>
      <c r="AC45" s="613">
        <v>17</v>
      </c>
      <c r="AD45" s="142">
        <v>13</v>
      </c>
      <c r="AE45" s="613"/>
      <c r="AF45" s="143">
        <f>AE45+AD45+AC45</f>
        <v>30</v>
      </c>
      <c r="AG45" s="613">
        <v>15</v>
      </c>
      <c r="AH45" s="142">
        <v>13</v>
      </c>
      <c r="AI45" s="613"/>
      <c r="AJ45" s="143">
        <f>AI45+AH45+AG45</f>
        <v>28</v>
      </c>
      <c r="AK45" s="613">
        <v>18</v>
      </c>
      <c r="AL45" s="142">
        <v>13.8</v>
      </c>
      <c r="AM45" s="613"/>
      <c r="AN45" s="143">
        <f>AM45+AL45+AK45</f>
        <v>31.8</v>
      </c>
      <c r="AO45" s="613">
        <v>19</v>
      </c>
      <c r="AP45" s="142">
        <v>14</v>
      </c>
      <c r="AQ45" s="613"/>
      <c r="AR45" s="143">
        <f>AQ45+AP45+AO45</f>
        <v>33</v>
      </c>
      <c r="AS45" s="613">
        <v>13</v>
      </c>
      <c r="AT45" s="142">
        <v>15.8</v>
      </c>
      <c r="AU45" s="613"/>
      <c r="AV45" s="143">
        <f>AU45+AT45+AS45</f>
        <v>28.8</v>
      </c>
      <c r="AW45" s="613">
        <v>15</v>
      </c>
      <c r="AX45" s="142">
        <v>10.600000000000001</v>
      </c>
      <c r="AY45" s="613"/>
      <c r="AZ45" s="143">
        <f>AY45+AX45+AW45</f>
        <v>25.6</v>
      </c>
      <c r="BA45" s="613">
        <v>14</v>
      </c>
      <c r="BB45" s="142">
        <v>12.4</v>
      </c>
      <c r="BC45" s="613"/>
      <c r="BD45" s="143">
        <f>BC45+BB45+BA45</f>
        <v>26.4</v>
      </c>
      <c r="BE45" s="143">
        <f>AB45+AF45+AJ45+AN45+AR45+AV45+AZ45+BD45</f>
        <v>237.2</v>
      </c>
      <c r="BF45" s="614"/>
    </row>
    <row r="46" spans="1:58" ht="27" customHeight="1" thickBot="1">
      <c r="A46" s="146">
        <v>18</v>
      </c>
      <c r="B46" s="408" t="s">
        <v>133</v>
      </c>
      <c r="C46" s="394" t="s">
        <v>67</v>
      </c>
      <c r="D46" s="394" t="s">
        <v>91</v>
      </c>
      <c r="E46" s="149">
        <v>1</v>
      </c>
      <c r="F46" s="149">
        <v>2</v>
      </c>
      <c r="G46" s="149">
        <v>2009</v>
      </c>
      <c r="H46" s="400" t="s">
        <v>114</v>
      </c>
      <c r="I46" s="401" t="s">
        <v>115</v>
      </c>
      <c r="J46" s="402" t="s">
        <v>67</v>
      </c>
      <c r="K46" s="402" t="s">
        <v>91</v>
      </c>
      <c r="L46" s="403">
        <v>300886</v>
      </c>
      <c r="M46" s="404" t="s">
        <v>92</v>
      </c>
      <c r="N46" s="402" t="s">
        <v>93</v>
      </c>
      <c r="O46" s="402" t="s">
        <v>67</v>
      </c>
      <c r="P46" s="402" t="s">
        <v>91</v>
      </c>
      <c r="Q46" s="404" t="s">
        <v>94</v>
      </c>
      <c r="R46" s="402" t="s">
        <v>95</v>
      </c>
      <c r="S46" s="402" t="s">
        <v>67</v>
      </c>
      <c r="T46" s="402" t="s">
        <v>91</v>
      </c>
      <c r="U46" s="404" t="s">
        <v>96</v>
      </c>
      <c r="V46" s="153"/>
      <c r="W46" s="153"/>
      <c r="X46" s="153"/>
      <c r="Y46" s="141">
        <v>11</v>
      </c>
      <c r="Z46" s="142">
        <v>10</v>
      </c>
      <c r="AA46" s="141"/>
      <c r="AB46" s="143">
        <f t="shared" ref="AB46:AB53" si="9">AA46+Z46+Y46</f>
        <v>21</v>
      </c>
      <c r="AC46" s="141">
        <v>10</v>
      </c>
      <c r="AD46" s="142">
        <v>10</v>
      </c>
      <c r="AE46" s="141"/>
      <c r="AF46" s="143">
        <f t="shared" ref="AF46:AF120" si="10">AE46+AD46+AC46</f>
        <v>20</v>
      </c>
      <c r="AG46" s="141">
        <v>10</v>
      </c>
      <c r="AH46" s="142">
        <v>10</v>
      </c>
      <c r="AI46" s="141"/>
      <c r="AJ46" s="143">
        <f t="shared" ref="AJ46:AJ120" si="11">AI46+AH46+AG46</f>
        <v>20</v>
      </c>
      <c r="AK46" s="141">
        <v>12</v>
      </c>
      <c r="AL46" s="142">
        <v>12.200000000000001</v>
      </c>
      <c r="AM46" s="141"/>
      <c r="AN46" s="143">
        <f t="shared" ref="AN46:AN120" si="12">AM46+AL46+AK46</f>
        <v>24.200000000000003</v>
      </c>
      <c r="AO46" s="141">
        <v>10</v>
      </c>
      <c r="AP46" s="142">
        <v>10</v>
      </c>
      <c r="AQ46" s="141"/>
      <c r="AR46" s="143">
        <f t="shared" ref="AR46:AR120" si="13">AQ46+AP46+AO46</f>
        <v>20</v>
      </c>
      <c r="AS46" s="141">
        <v>10</v>
      </c>
      <c r="AT46" s="142">
        <v>10.600000000000001</v>
      </c>
      <c r="AU46" s="141"/>
      <c r="AV46" s="143">
        <f t="shared" ref="AV46:AV120" si="14">AU46+AT46+AS46</f>
        <v>20.6</v>
      </c>
      <c r="AW46" s="141">
        <v>11</v>
      </c>
      <c r="AX46" s="142">
        <v>10.600000000000001</v>
      </c>
      <c r="AY46" s="141"/>
      <c r="AZ46" s="143">
        <f t="shared" ref="AZ46:AZ120" si="15">AY46+AX46+AW46</f>
        <v>21.6</v>
      </c>
      <c r="BA46" s="141">
        <v>10</v>
      </c>
      <c r="BB46" s="142">
        <v>10.200000000000001</v>
      </c>
      <c r="BC46" s="141"/>
      <c r="BD46" s="143">
        <f t="shared" ref="BD46:BD120" si="16">BC46+BB46+BA46</f>
        <v>20.200000000000003</v>
      </c>
      <c r="BE46" s="143">
        <f t="shared" si="8"/>
        <v>167.60000000000002</v>
      </c>
      <c r="BF46" s="132"/>
    </row>
    <row r="47" spans="1:58" ht="27" customHeight="1">
      <c r="A47" s="146">
        <v>19</v>
      </c>
      <c r="B47" s="408" t="s">
        <v>134</v>
      </c>
      <c r="C47" s="394" t="s">
        <v>67</v>
      </c>
      <c r="D47" s="394" t="s">
        <v>91</v>
      </c>
      <c r="E47" s="149">
        <v>10</v>
      </c>
      <c r="F47" s="149">
        <v>5</v>
      </c>
      <c r="G47" s="149">
        <v>2009</v>
      </c>
      <c r="H47" s="400" t="s">
        <v>114</v>
      </c>
      <c r="I47" s="401" t="s">
        <v>115</v>
      </c>
      <c r="J47" s="402" t="s">
        <v>67</v>
      </c>
      <c r="K47" s="402" t="s">
        <v>91</v>
      </c>
      <c r="L47" s="403">
        <v>300887</v>
      </c>
      <c r="M47" s="404" t="s">
        <v>92</v>
      </c>
      <c r="N47" s="402" t="s">
        <v>93</v>
      </c>
      <c r="O47" s="402" t="s">
        <v>67</v>
      </c>
      <c r="P47" s="402" t="s">
        <v>91</v>
      </c>
      <c r="Q47" s="404" t="s">
        <v>94</v>
      </c>
      <c r="R47" s="402" t="s">
        <v>95</v>
      </c>
      <c r="S47" s="402" t="s">
        <v>67</v>
      </c>
      <c r="T47" s="402" t="s">
        <v>91</v>
      </c>
      <c r="U47" s="404" t="s">
        <v>96</v>
      </c>
      <c r="V47" s="153"/>
      <c r="W47" s="153"/>
      <c r="X47" s="153"/>
      <c r="Y47" s="141">
        <v>16</v>
      </c>
      <c r="Z47" s="142">
        <v>13.600000000000001</v>
      </c>
      <c r="AA47" s="141"/>
      <c r="AB47" s="143">
        <f t="shared" si="9"/>
        <v>29.6</v>
      </c>
      <c r="AC47" s="141">
        <v>11</v>
      </c>
      <c r="AD47" s="142">
        <v>11.4</v>
      </c>
      <c r="AE47" s="141"/>
      <c r="AF47" s="143">
        <f t="shared" si="10"/>
        <v>22.4</v>
      </c>
      <c r="AG47" s="141">
        <v>12</v>
      </c>
      <c r="AH47" s="142">
        <v>11.200000000000001</v>
      </c>
      <c r="AI47" s="141"/>
      <c r="AJ47" s="143">
        <f t="shared" si="11"/>
        <v>23.200000000000003</v>
      </c>
      <c r="AK47" s="141">
        <v>17</v>
      </c>
      <c r="AL47" s="142">
        <v>15.600000000000001</v>
      </c>
      <c r="AM47" s="141"/>
      <c r="AN47" s="143">
        <f t="shared" si="12"/>
        <v>32.6</v>
      </c>
      <c r="AO47" s="141">
        <v>10</v>
      </c>
      <c r="AP47" s="142">
        <v>10</v>
      </c>
      <c r="AQ47" s="141"/>
      <c r="AR47" s="143">
        <f t="shared" si="13"/>
        <v>20</v>
      </c>
      <c r="AS47" s="141">
        <v>12</v>
      </c>
      <c r="AT47" s="142">
        <v>12</v>
      </c>
      <c r="AU47" s="141"/>
      <c r="AV47" s="143">
        <f t="shared" si="14"/>
        <v>24</v>
      </c>
      <c r="AW47" s="141">
        <v>10</v>
      </c>
      <c r="AX47" s="142">
        <v>13</v>
      </c>
      <c r="AY47" s="141"/>
      <c r="AZ47" s="143">
        <f t="shared" si="15"/>
        <v>23</v>
      </c>
      <c r="BA47" s="141">
        <v>10</v>
      </c>
      <c r="BB47" s="142">
        <v>11</v>
      </c>
      <c r="BC47" s="141"/>
      <c r="BD47" s="143">
        <f t="shared" si="16"/>
        <v>21</v>
      </c>
      <c r="BE47" s="143">
        <f t="shared" si="8"/>
        <v>195.8</v>
      </c>
      <c r="BF47" s="132"/>
    </row>
    <row r="48" spans="1:58" ht="27" customHeight="1">
      <c r="A48" s="612">
        <v>20</v>
      </c>
      <c r="B48" s="408"/>
      <c r="C48" s="414"/>
      <c r="D48" s="414"/>
      <c r="E48" s="149"/>
      <c r="F48" s="149"/>
      <c r="G48" s="149"/>
      <c r="H48" s="400"/>
      <c r="I48" s="401"/>
      <c r="J48" s="402"/>
      <c r="K48" s="402"/>
      <c r="L48" s="403"/>
      <c r="M48" s="404"/>
      <c r="N48" s="402"/>
      <c r="O48" s="402"/>
      <c r="P48" s="402"/>
      <c r="Q48" s="404"/>
      <c r="R48" s="402"/>
      <c r="S48" s="402"/>
      <c r="T48" s="402"/>
      <c r="U48" s="404"/>
      <c r="V48" s="153"/>
      <c r="W48" s="153"/>
      <c r="X48" s="153"/>
      <c r="Y48" s="141"/>
      <c r="Z48" s="142"/>
      <c r="AA48" s="141"/>
      <c r="AB48" s="143"/>
      <c r="AC48" s="141"/>
      <c r="AD48" s="142"/>
      <c r="AE48" s="141"/>
      <c r="AF48" s="143"/>
      <c r="AG48" s="141"/>
      <c r="AH48" s="142"/>
      <c r="AI48" s="141"/>
      <c r="AJ48" s="143"/>
      <c r="AK48" s="141"/>
      <c r="AL48" s="142"/>
      <c r="AM48" s="141"/>
      <c r="AN48" s="143"/>
      <c r="AO48" s="141"/>
      <c r="AP48" s="142"/>
      <c r="AQ48" s="141"/>
      <c r="AR48" s="143"/>
      <c r="AS48" s="141"/>
      <c r="AT48" s="142"/>
      <c r="AU48" s="141"/>
      <c r="AV48" s="143"/>
      <c r="AW48" s="141"/>
      <c r="AX48" s="142"/>
      <c r="AY48" s="141"/>
      <c r="AZ48" s="143"/>
      <c r="BA48" s="141"/>
      <c r="BB48" s="142"/>
      <c r="BC48" s="141"/>
      <c r="BD48" s="143"/>
      <c r="BE48" s="143"/>
      <c r="BF48" s="132"/>
    </row>
    <row r="49" spans="1:58" ht="27" customHeight="1">
      <c r="A49" s="146">
        <v>21</v>
      </c>
      <c r="B49" s="408"/>
      <c r="C49" s="414"/>
      <c r="D49" s="414"/>
      <c r="E49" s="149"/>
      <c r="F49" s="149"/>
      <c r="G49" s="149"/>
      <c r="H49" s="400"/>
      <c r="I49" s="401"/>
      <c r="J49" s="402"/>
      <c r="K49" s="402"/>
      <c r="L49" s="403"/>
      <c r="M49" s="404"/>
      <c r="N49" s="402"/>
      <c r="O49" s="402"/>
      <c r="P49" s="402"/>
      <c r="Q49" s="404"/>
      <c r="R49" s="402"/>
      <c r="S49" s="402"/>
      <c r="T49" s="402"/>
      <c r="U49" s="404"/>
      <c r="V49" s="153"/>
      <c r="W49" s="153"/>
      <c r="X49" s="153"/>
      <c r="Y49" s="141"/>
      <c r="Z49" s="142"/>
      <c r="AA49" s="141"/>
      <c r="AB49" s="143"/>
      <c r="AC49" s="141"/>
      <c r="AD49" s="142"/>
      <c r="AE49" s="141"/>
      <c r="AF49" s="143"/>
      <c r="AG49" s="141"/>
      <c r="AH49" s="142"/>
      <c r="AI49" s="141"/>
      <c r="AJ49" s="143"/>
      <c r="AK49" s="141"/>
      <c r="AL49" s="142"/>
      <c r="AM49" s="141"/>
      <c r="AN49" s="143"/>
      <c r="AO49" s="141"/>
      <c r="AP49" s="142"/>
      <c r="AQ49" s="141"/>
      <c r="AR49" s="143"/>
      <c r="AS49" s="141"/>
      <c r="AT49" s="142"/>
      <c r="AU49" s="141"/>
      <c r="AV49" s="143"/>
      <c r="AW49" s="141"/>
      <c r="AX49" s="142"/>
      <c r="AY49" s="141"/>
      <c r="AZ49" s="143"/>
      <c r="BA49" s="141"/>
      <c r="BB49" s="142"/>
      <c r="BC49" s="141"/>
      <c r="BD49" s="143"/>
      <c r="BE49" s="143"/>
      <c r="BF49" s="132"/>
    </row>
    <row r="50" spans="1:58" ht="27" customHeight="1">
      <c r="A50" s="146">
        <v>22</v>
      </c>
      <c r="B50" s="411"/>
      <c r="C50" s="402"/>
      <c r="D50" s="402"/>
      <c r="E50" s="149"/>
      <c r="F50" s="149"/>
      <c r="G50" s="149"/>
      <c r="H50" s="400"/>
      <c r="I50" s="401"/>
      <c r="J50" s="402"/>
      <c r="K50" s="402"/>
      <c r="L50" s="403"/>
      <c r="M50" s="404"/>
      <c r="N50" s="402"/>
      <c r="O50" s="402"/>
      <c r="P50" s="402"/>
      <c r="Q50" s="404"/>
      <c r="R50" s="402"/>
      <c r="S50" s="402"/>
      <c r="T50" s="402"/>
      <c r="U50" s="404"/>
      <c r="V50" s="153"/>
      <c r="W50" s="153"/>
      <c r="X50" s="153"/>
      <c r="Y50" s="141"/>
      <c r="Z50" s="142"/>
      <c r="AA50" s="141"/>
      <c r="AB50" s="143">
        <f t="shared" si="9"/>
        <v>0</v>
      </c>
      <c r="AC50" s="141"/>
      <c r="AD50" s="142"/>
      <c r="AE50" s="141"/>
      <c r="AF50" s="143">
        <f t="shared" si="10"/>
        <v>0</v>
      </c>
      <c r="AG50" s="141"/>
      <c r="AH50" s="142"/>
      <c r="AI50" s="141"/>
      <c r="AJ50" s="143">
        <f t="shared" si="11"/>
        <v>0</v>
      </c>
      <c r="AK50" s="141"/>
      <c r="AL50" s="142"/>
      <c r="AM50" s="141"/>
      <c r="AN50" s="143">
        <f t="shared" si="12"/>
        <v>0</v>
      </c>
      <c r="AO50" s="141"/>
      <c r="AP50" s="142"/>
      <c r="AQ50" s="141"/>
      <c r="AR50" s="143">
        <f t="shared" si="13"/>
        <v>0</v>
      </c>
      <c r="AS50" s="141"/>
      <c r="AT50" s="142"/>
      <c r="AU50" s="141"/>
      <c r="AV50" s="143">
        <f t="shared" si="14"/>
        <v>0</v>
      </c>
      <c r="AW50" s="141"/>
      <c r="AX50" s="142"/>
      <c r="AY50" s="141"/>
      <c r="AZ50" s="143">
        <f t="shared" si="15"/>
        <v>0</v>
      </c>
      <c r="BA50" s="141"/>
      <c r="BB50" s="142"/>
      <c r="BC50" s="141"/>
      <c r="BD50" s="143">
        <f t="shared" si="16"/>
        <v>0</v>
      </c>
      <c r="BE50" s="143">
        <f t="shared" si="8"/>
        <v>0</v>
      </c>
      <c r="BF50" s="132"/>
    </row>
    <row r="51" spans="1:58" ht="27" customHeight="1">
      <c r="A51" s="612">
        <v>23</v>
      </c>
      <c r="B51" s="156"/>
      <c r="C51" s="148"/>
      <c r="D51" s="148"/>
      <c r="E51" s="149"/>
      <c r="F51" s="149"/>
      <c r="G51" s="150"/>
      <c r="H51" s="151"/>
      <c r="I51" s="152"/>
      <c r="J51" s="148"/>
      <c r="K51" s="148"/>
      <c r="L51" s="153"/>
      <c r="M51" s="154"/>
      <c r="N51" s="148"/>
      <c r="O51" s="148"/>
      <c r="P51" s="148"/>
      <c r="Q51" s="154"/>
      <c r="R51" s="148"/>
      <c r="S51" s="148"/>
      <c r="T51" s="148"/>
      <c r="U51" s="155"/>
      <c r="V51" s="153"/>
      <c r="W51" s="153"/>
      <c r="X51" s="153"/>
      <c r="Y51" s="141"/>
      <c r="Z51" s="142"/>
      <c r="AA51" s="141"/>
      <c r="AB51" s="143">
        <f t="shared" si="9"/>
        <v>0</v>
      </c>
      <c r="AC51" s="141"/>
      <c r="AD51" s="142"/>
      <c r="AE51" s="141"/>
      <c r="AF51" s="143">
        <f t="shared" si="10"/>
        <v>0</v>
      </c>
      <c r="AG51" s="141"/>
      <c r="AH51" s="142"/>
      <c r="AI51" s="141"/>
      <c r="AJ51" s="143">
        <f t="shared" si="11"/>
        <v>0</v>
      </c>
      <c r="AK51" s="141"/>
      <c r="AL51" s="142"/>
      <c r="AM51" s="141"/>
      <c r="AN51" s="143">
        <f t="shared" si="12"/>
        <v>0</v>
      </c>
      <c r="AO51" s="141"/>
      <c r="AP51" s="142"/>
      <c r="AQ51" s="141"/>
      <c r="AR51" s="143">
        <f t="shared" si="13"/>
        <v>0</v>
      </c>
      <c r="AS51" s="141"/>
      <c r="AT51" s="142"/>
      <c r="AU51" s="141"/>
      <c r="AV51" s="143">
        <f t="shared" si="14"/>
        <v>0</v>
      </c>
      <c r="AW51" s="141"/>
      <c r="AX51" s="142"/>
      <c r="AY51" s="141"/>
      <c r="AZ51" s="143">
        <f t="shared" si="15"/>
        <v>0</v>
      </c>
      <c r="BA51" s="141"/>
      <c r="BB51" s="142"/>
      <c r="BC51" s="141"/>
      <c r="BD51" s="143">
        <f t="shared" si="16"/>
        <v>0</v>
      </c>
      <c r="BE51" s="143">
        <f t="shared" ref="BE51:BE120" si="17">AB51+AF51+AJ51+AN51+AR51+AV51+AZ51</f>
        <v>0</v>
      </c>
      <c r="BF51" s="132"/>
    </row>
    <row r="52" spans="1:58" ht="27" customHeight="1">
      <c r="A52" s="146">
        <v>22</v>
      </c>
      <c r="B52" s="156"/>
      <c r="C52" s="148"/>
      <c r="D52" s="148"/>
      <c r="E52" s="149"/>
      <c r="F52" s="149"/>
      <c r="G52" s="150"/>
      <c r="H52" s="151"/>
      <c r="I52" s="152"/>
      <c r="J52" s="148"/>
      <c r="K52" s="148"/>
      <c r="L52" s="153"/>
      <c r="M52" s="154"/>
      <c r="N52" s="148"/>
      <c r="O52" s="148"/>
      <c r="P52" s="148"/>
      <c r="Q52" s="154"/>
      <c r="R52" s="148"/>
      <c r="S52" s="148"/>
      <c r="T52" s="148"/>
      <c r="U52" s="155"/>
      <c r="V52" s="153"/>
      <c r="W52" s="153"/>
      <c r="X52" s="153"/>
      <c r="Y52" s="141"/>
      <c r="Z52" s="142"/>
      <c r="AA52" s="141"/>
      <c r="AB52" s="143">
        <f t="shared" si="9"/>
        <v>0</v>
      </c>
      <c r="AC52" s="141"/>
      <c r="AD52" s="142"/>
      <c r="AE52" s="141"/>
      <c r="AF52" s="143">
        <f t="shared" si="10"/>
        <v>0</v>
      </c>
      <c r="AG52" s="141"/>
      <c r="AH52" s="142"/>
      <c r="AI52" s="141"/>
      <c r="AJ52" s="143">
        <f t="shared" si="11"/>
        <v>0</v>
      </c>
      <c r="AK52" s="141"/>
      <c r="AL52" s="142"/>
      <c r="AM52" s="141"/>
      <c r="AN52" s="143">
        <f t="shared" si="12"/>
        <v>0</v>
      </c>
      <c r="AO52" s="141"/>
      <c r="AP52" s="142"/>
      <c r="AQ52" s="141"/>
      <c r="AR52" s="143">
        <f t="shared" si="13"/>
        <v>0</v>
      </c>
      <c r="AS52" s="141"/>
      <c r="AT52" s="142"/>
      <c r="AU52" s="141"/>
      <c r="AV52" s="143">
        <f t="shared" si="14"/>
        <v>0</v>
      </c>
      <c r="AW52" s="141"/>
      <c r="AX52" s="142"/>
      <c r="AY52" s="141"/>
      <c r="AZ52" s="143">
        <f t="shared" si="15"/>
        <v>0</v>
      </c>
      <c r="BA52" s="141"/>
      <c r="BB52" s="142"/>
      <c r="BC52" s="141"/>
      <c r="BD52" s="143">
        <f t="shared" si="16"/>
        <v>0</v>
      </c>
      <c r="BE52" s="143">
        <f t="shared" si="17"/>
        <v>0</v>
      </c>
      <c r="BF52" s="132"/>
    </row>
    <row r="53" spans="1:58" ht="27" customHeight="1">
      <c r="A53" s="146">
        <v>23</v>
      </c>
      <c r="B53" s="156"/>
      <c r="C53" s="148"/>
      <c r="D53" s="148"/>
      <c r="E53" s="149"/>
      <c r="F53" s="149"/>
      <c r="G53" s="150"/>
      <c r="H53" s="151"/>
      <c r="I53" s="152"/>
      <c r="J53" s="148"/>
      <c r="K53" s="148"/>
      <c r="L53" s="153"/>
      <c r="M53" s="154"/>
      <c r="N53" s="148"/>
      <c r="O53" s="148"/>
      <c r="P53" s="148"/>
      <c r="Q53" s="154"/>
      <c r="R53" s="148"/>
      <c r="S53" s="148"/>
      <c r="T53" s="148"/>
      <c r="U53" s="155"/>
      <c r="V53" s="153"/>
      <c r="W53" s="153"/>
      <c r="X53" s="153"/>
      <c r="Y53" s="141"/>
      <c r="Z53" s="142"/>
      <c r="AA53" s="141"/>
      <c r="AB53" s="143">
        <f t="shared" si="9"/>
        <v>0</v>
      </c>
      <c r="AC53" s="141"/>
      <c r="AD53" s="142"/>
      <c r="AE53" s="141"/>
      <c r="AF53" s="143">
        <f t="shared" si="10"/>
        <v>0</v>
      </c>
      <c r="AG53" s="141"/>
      <c r="AH53" s="142"/>
      <c r="AI53" s="141"/>
      <c r="AJ53" s="143">
        <f t="shared" si="11"/>
        <v>0</v>
      </c>
      <c r="AK53" s="141"/>
      <c r="AL53" s="142"/>
      <c r="AM53" s="141"/>
      <c r="AN53" s="143">
        <f t="shared" si="12"/>
        <v>0</v>
      </c>
      <c r="AO53" s="141"/>
      <c r="AP53" s="142"/>
      <c r="AQ53" s="141"/>
      <c r="AR53" s="143">
        <f t="shared" si="13"/>
        <v>0</v>
      </c>
      <c r="AS53" s="141"/>
      <c r="AT53" s="142"/>
      <c r="AU53" s="141"/>
      <c r="AV53" s="143">
        <f t="shared" si="14"/>
        <v>0</v>
      </c>
      <c r="AW53" s="141"/>
      <c r="AX53" s="142"/>
      <c r="AY53" s="141"/>
      <c r="AZ53" s="143">
        <f t="shared" si="15"/>
        <v>0</v>
      </c>
      <c r="BA53" s="141"/>
      <c r="BB53" s="142"/>
      <c r="BC53" s="141"/>
      <c r="BD53" s="143">
        <f t="shared" si="16"/>
        <v>0</v>
      </c>
      <c r="BE53" s="143">
        <f t="shared" si="17"/>
        <v>0</v>
      </c>
      <c r="BF53" s="132"/>
    </row>
    <row r="54" spans="1:58" ht="27" customHeight="1">
      <c r="A54" s="146">
        <v>24</v>
      </c>
      <c r="B54" s="156"/>
      <c r="C54" s="148"/>
      <c r="D54" s="148"/>
      <c r="E54" s="149"/>
      <c r="F54" s="149"/>
      <c r="G54" s="150"/>
      <c r="H54" s="151"/>
      <c r="I54" s="152"/>
      <c r="J54" s="148"/>
      <c r="K54" s="148"/>
      <c r="L54" s="153"/>
      <c r="M54" s="154"/>
      <c r="N54" s="148"/>
      <c r="O54" s="148"/>
      <c r="P54" s="148"/>
      <c r="Q54" s="154"/>
      <c r="R54" s="148"/>
      <c r="S54" s="148"/>
      <c r="T54" s="148"/>
      <c r="U54" s="155"/>
      <c r="V54" s="153"/>
      <c r="W54" s="153"/>
      <c r="X54" s="191"/>
      <c r="Y54" s="191"/>
      <c r="Z54" s="191"/>
      <c r="AA54" s="191"/>
      <c r="AB54" s="143">
        <f>Y54+Z54+AA54</f>
        <v>0</v>
      </c>
      <c r="AC54" s="191"/>
      <c r="AD54" s="191"/>
      <c r="AE54" s="191"/>
      <c r="AF54" s="143">
        <f t="shared" si="10"/>
        <v>0</v>
      </c>
      <c r="AG54" s="191"/>
      <c r="AH54" s="191"/>
      <c r="AI54" s="191"/>
      <c r="AJ54" s="143">
        <f t="shared" si="11"/>
        <v>0</v>
      </c>
      <c r="AK54" s="191"/>
      <c r="AL54" s="191"/>
      <c r="AM54" s="191"/>
      <c r="AN54" s="143">
        <f t="shared" si="12"/>
        <v>0</v>
      </c>
      <c r="AO54" s="191"/>
      <c r="AP54" s="191"/>
      <c r="AQ54" s="191"/>
      <c r="AR54" s="143">
        <f t="shared" si="13"/>
        <v>0</v>
      </c>
      <c r="AS54" s="191"/>
      <c r="AT54" s="191"/>
      <c r="AU54" s="191"/>
      <c r="AV54" s="143">
        <f t="shared" si="14"/>
        <v>0</v>
      </c>
      <c r="AW54" s="191"/>
      <c r="AX54" s="191"/>
      <c r="AY54" s="191"/>
      <c r="AZ54" s="143">
        <f t="shared" si="15"/>
        <v>0</v>
      </c>
      <c r="BA54" s="191"/>
      <c r="BB54" s="191"/>
      <c r="BC54" s="191"/>
      <c r="BD54" s="143">
        <f t="shared" si="16"/>
        <v>0</v>
      </c>
      <c r="BE54" s="143">
        <f t="shared" si="17"/>
        <v>0</v>
      </c>
      <c r="BF54" s="191"/>
    </row>
    <row r="55" spans="1:58" ht="27" customHeight="1">
      <c r="A55" s="146">
        <v>25</v>
      </c>
      <c r="B55" s="156"/>
      <c r="C55" s="148"/>
      <c r="D55" s="148"/>
      <c r="E55" s="149"/>
      <c r="F55" s="149"/>
      <c r="G55" s="150"/>
      <c r="H55" s="151"/>
      <c r="I55" s="152"/>
      <c r="J55" s="148"/>
      <c r="K55" s="148"/>
      <c r="L55" s="153"/>
      <c r="M55" s="154"/>
      <c r="N55" s="148"/>
      <c r="O55" s="148"/>
      <c r="P55" s="148"/>
      <c r="Q55" s="154"/>
      <c r="R55" s="148"/>
      <c r="S55" s="148"/>
      <c r="T55" s="148"/>
      <c r="U55" s="155"/>
      <c r="V55" s="153"/>
      <c r="W55" s="153"/>
      <c r="X55" s="191"/>
      <c r="Y55" s="191"/>
      <c r="Z55" s="191"/>
      <c r="AA55" s="191"/>
      <c r="AB55" s="143">
        <f t="shared" ref="AB55:AB127" si="18">Y55+Z55+AA55</f>
        <v>0</v>
      </c>
      <c r="AC55" s="191"/>
      <c r="AD55" s="191"/>
      <c r="AE55" s="191"/>
      <c r="AF55" s="143">
        <f t="shared" si="10"/>
        <v>0</v>
      </c>
      <c r="AG55" s="191"/>
      <c r="AH55" s="191"/>
      <c r="AI55" s="191"/>
      <c r="AJ55" s="143">
        <f t="shared" si="11"/>
        <v>0</v>
      </c>
      <c r="AK55" s="191"/>
      <c r="AL55" s="191"/>
      <c r="AM55" s="191"/>
      <c r="AN55" s="143">
        <f t="shared" si="12"/>
        <v>0</v>
      </c>
      <c r="AO55" s="191"/>
      <c r="AP55" s="191"/>
      <c r="AQ55" s="191"/>
      <c r="AR55" s="143">
        <f t="shared" si="13"/>
        <v>0</v>
      </c>
      <c r="AS55" s="191"/>
      <c r="AT55" s="191"/>
      <c r="AU55" s="191"/>
      <c r="AV55" s="143">
        <f t="shared" si="14"/>
        <v>0</v>
      </c>
      <c r="AW55" s="191"/>
      <c r="AX55" s="191"/>
      <c r="AY55" s="191"/>
      <c r="AZ55" s="143">
        <f t="shared" si="15"/>
        <v>0</v>
      </c>
      <c r="BA55" s="191"/>
      <c r="BB55" s="191"/>
      <c r="BC55" s="191"/>
      <c r="BD55" s="143">
        <f t="shared" si="16"/>
        <v>0</v>
      </c>
      <c r="BE55" s="143">
        <f t="shared" si="17"/>
        <v>0</v>
      </c>
      <c r="BF55" s="191"/>
    </row>
    <row r="56" spans="1:58" ht="27" customHeight="1">
      <c r="A56" s="146">
        <v>46</v>
      </c>
      <c r="B56" s="156"/>
      <c r="C56" s="148"/>
      <c r="D56" s="148"/>
      <c r="E56" s="149"/>
      <c r="F56" s="149"/>
      <c r="G56" s="150"/>
      <c r="H56" s="151"/>
      <c r="I56" s="152"/>
      <c r="J56" s="148"/>
      <c r="K56" s="148"/>
      <c r="L56" s="153"/>
      <c r="M56" s="154"/>
      <c r="N56" s="148"/>
      <c r="O56" s="148"/>
      <c r="P56" s="148"/>
      <c r="Q56" s="154"/>
      <c r="R56" s="148"/>
      <c r="S56" s="148"/>
      <c r="T56" s="148"/>
      <c r="U56" s="155"/>
      <c r="V56" s="153"/>
      <c r="W56" s="153"/>
      <c r="X56" s="191"/>
      <c r="Y56" s="191"/>
      <c r="Z56" s="191"/>
      <c r="AA56" s="191"/>
      <c r="AB56" s="143">
        <f t="shared" si="18"/>
        <v>0</v>
      </c>
      <c r="AC56" s="191"/>
      <c r="AD56" s="191"/>
      <c r="AE56" s="191"/>
      <c r="AF56" s="143">
        <f t="shared" si="10"/>
        <v>0</v>
      </c>
      <c r="AG56" s="191"/>
      <c r="AH56" s="191"/>
      <c r="AI56" s="191"/>
      <c r="AJ56" s="143">
        <f t="shared" si="11"/>
        <v>0</v>
      </c>
      <c r="AK56" s="191"/>
      <c r="AL56" s="191"/>
      <c r="AM56" s="191"/>
      <c r="AN56" s="143">
        <f t="shared" si="12"/>
        <v>0</v>
      </c>
      <c r="AO56" s="191"/>
      <c r="AP56" s="191"/>
      <c r="AQ56" s="191"/>
      <c r="AR56" s="143">
        <f t="shared" si="13"/>
        <v>0</v>
      </c>
      <c r="AS56" s="191"/>
      <c r="AT56" s="191"/>
      <c r="AU56" s="191"/>
      <c r="AV56" s="143">
        <f t="shared" si="14"/>
        <v>0</v>
      </c>
      <c r="AW56" s="191"/>
      <c r="AX56" s="191"/>
      <c r="AY56" s="191"/>
      <c r="AZ56" s="143">
        <f t="shared" si="15"/>
        <v>0</v>
      </c>
      <c r="BA56" s="191"/>
      <c r="BB56" s="191"/>
      <c r="BC56" s="191"/>
      <c r="BD56" s="143">
        <f t="shared" si="16"/>
        <v>0</v>
      </c>
      <c r="BE56" s="143">
        <f t="shared" si="17"/>
        <v>0</v>
      </c>
      <c r="BF56" s="191"/>
    </row>
    <row r="57" spans="1:58" ht="27" customHeight="1">
      <c r="A57" s="146">
        <v>47</v>
      </c>
      <c r="B57" s="156"/>
      <c r="C57" s="148"/>
      <c r="D57" s="148"/>
      <c r="E57" s="149"/>
      <c r="F57" s="149"/>
      <c r="G57" s="150"/>
      <c r="H57" s="151"/>
      <c r="I57" s="152"/>
      <c r="J57" s="148"/>
      <c r="K57" s="148"/>
      <c r="L57" s="153"/>
      <c r="M57" s="154"/>
      <c r="N57" s="148"/>
      <c r="O57" s="148"/>
      <c r="P57" s="148"/>
      <c r="Q57" s="154"/>
      <c r="R57" s="148"/>
      <c r="S57" s="148"/>
      <c r="T57" s="148"/>
      <c r="U57" s="155"/>
      <c r="V57" s="153"/>
      <c r="W57" s="153"/>
      <c r="X57" s="191"/>
      <c r="Y57" s="191"/>
      <c r="Z57" s="191"/>
      <c r="AA57" s="191"/>
      <c r="AB57" s="143">
        <f t="shared" si="18"/>
        <v>0</v>
      </c>
      <c r="AC57" s="191"/>
      <c r="AD57" s="191"/>
      <c r="AE57" s="191"/>
      <c r="AF57" s="143">
        <f t="shared" si="10"/>
        <v>0</v>
      </c>
      <c r="AG57" s="191"/>
      <c r="AH57" s="191"/>
      <c r="AI57" s="191"/>
      <c r="AJ57" s="143">
        <f t="shared" si="11"/>
        <v>0</v>
      </c>
      <c r="AK57" s="191"/>
      <c r="AL57" s="191"/>
      <c r="AM57" s="191"/>
      <c r="AN57" s="143">
        <f t="shared" si="12"/>
        <v>0</v>
      </c>
      <c r="AO57" s="191"/>
      <c r="AP57" s="191"/>
      <c r="AQ57" s="191"/>
      <c r="AR57" s="143">
        <f t="shared" si="13"/>
        <v>0</v>
      </c>
      <c r="AS57" s="191"/>
      <c r="AT57" s="191"/>
      <c r="AU57" s="191"/>
      <c r="AV57" s="143">
        <f t="shared" si="14"/>
        <v>0</v>
      </c>
      <c r="AW57" s="191"/>
      <c r="AX57" s="191"/>
      <c r="AY57" s="191"/>
      <c r="AZ57" s="143">
        <f t="shared" si="15"/>
        <v>0</v>
      </c>
      <c r="BA57" s="191"/>
      <c r="BB57" s="191"/>
      <c r="BC57" s="191"/>
      <c r="BD57" s="143">
        <f t="shared" si="16"/>
        <v>0</v>
      </c>
      <c r="BE57" s="143">
        <f t="shared" si="17"/>
        <v>0</v>
      </c>
      <c r="BF57" s="191"/>
    </row>
    <row r="58" spans="1:58" ht="27" customHeight="1">
      <c r="A58" s="146">
        <v>48</v>
      </c>
      <c r="B58" s="156"/>
      <c r="C58" s="148"/>
      <c r="D58" s="148"/>
      <c r="E58" s="149"/>
      <c r="F58" s="149"/>
      <c r="G58" s="150"/>
      <c r="H58" s="151"/>
      <c r="I58" s="152"/>
      <c r="J58" s="148"/>
      <c r="K58" s="148"/>
      <c r="L58" s="153"/>
      <c r="M58" s="154"/>
      <c r="N58" s="148"/>
      <c r="O58" s="148"/>
      <c r="P58" s="148"/>
      <c r="Q58" s="154"/>
      <c r="R58" s="148"/>
      <c r="S58" s="148"/>
      <c r="T58" s="148"/>
      <c r="U58" s="155"/>
      <c r="V58" s="153"/>
      <c r="W58" s="153"/>
      <c r="X58" s="191"/>
      <c r="Y58" s="191"/>
      <c r="Z58" s="191"/>
      <c r="AA58" s="191"/>
      <c r="AB58" s="143">
        <f t="shared" si="18"/>
        <v>0</v>
      </c>
      <c r="AC58" s="191"/>
      <c r="AD58" s="191"/>
      <c r="AE58" s="191"/>
      <c r="AF58" s="143">
        <f t="shared" si="10"/>
        <v>0</v>
      </c>
      <c r="AG58" s="191"/>
      <c r="AH58" s="191"/>
      <c r="AI58" s="191"/>
      <c r="AJ58" s="143">
        <f t="shared" si="11"/>
        <v>0</v>
      </c>
      <c r="AK58" s="191"/>
      <c r="AL58" s="191"/>
      <c r="AM58" s="191"/>
      <c r="AN58" s="143">
        <f t="shared" si="12"/>
        <v>0</v>
      </c>
      <c r="AO58" s="191"/>
      <c r="AP58" s="191"/>
      <c r="AQ58" s="191"/>
      <c r="AR58" s="143">
        <f t="shared" si="13"/>
        <v>0</v>
      </c>
      <c r="AS58" s="191"/>
      <c r="AT58" s="191"/>
      <c r="AU58" s="191"/>
      <c r="AV58" s="143">
        <f t="shared" si="14"/>
        <v>0</v>
      </c>
      <c r="AW58" s="191"/>
      <c r="AX58" s="191"/>
      <c r="AY58" s="191"/>
      <c r="AZ58" s="143">
        <f t="shared" si="15"/>
        <v>0</v>
      </c>
      <c r="BA58" s="191"/>
      <c r="BB58" s="191"/>
      <c r="BC58" s="191"/>
      <c r="BD58" s="143">
        <f t="shared" si="16"/>
        <v>0</v>
      </c>
      <c r="BE58" s="143">
        <f t="shared" si="17"/>
        <v>0</v>
      </c>
      <c r="BF58" s="191"/>
    </row>
    <row r="59" spans="1:58" ht="27" customHeight="1">
      <c r="A59" s="146">
        <v>49</v>
      </c>
      <c r="B59" s="156"/>
      <c r="C59" s="148"/>
      <c r="D59" s="148"/>
      <c r="E59" s="149"/>
      <c r="F59" s="149"/>
      <c r="G59" s="150"/>
      <c r="H59" s="151"/>
      <c r="I59" s="152"/>
      <c r="J59" s="148"/>
      <c r="K59" s="148"/>
      <c r="L59" s="153"/>
      <c r="M59" s="154"/>
      <c r="N59" s="148"/>
      <c r="O59" s="148"/>
      <c r="P59" s="148"/>
      <c r="Q59" s="154"/>
      <c r="R59" s="148"/>
      <c r="S59" s="148"/>
      <c r="T59" s="148"/>
      <c r="U59" s="155"/>
      <c r="V59" s="153"/>
      <c r="W59" s="153"/>
      <c r="X59" s="191"/>
      <c r="Y59" s="191"/>
      <c r="Z59" s="191"/>
      <c r="AA59" s="191"/>
      <c r="AB59" s="143">
        <f t="shared" si="18"/>
        <v>0</v>
      </c>
      <c r="AC59" s="191"/>
      <c r="AD59" s="191"/>
      <c r="AE59" s="191"/>
      <c r="AF59" s="143">
        <f t="shared" si="10"/>
        <v>0</v>
      </c>
      <c r="AG59" s="191"/>
      <c r="AH59" s="191"/>
      <c r="AI59" s="191"/>
      <c r="AJ59" s="143">
        <f t="shared" si="11"/>
        <v>0</v>
      </c>
      <c r="AK59" s="191"/>
      <c r="AL59" s="191"/>
      <c r="AM59" s="191"/>
      <c r="AN59" s="143">
        <f t="shared" si="12"/>
        <v>0</v>
      </c>
      <c r="AO59" s="191"/>
      <c r="AP59" s="191"/>
      <c r="AQ59" s="191"/>
      <c r="AR59" s="143">
        <f t="shared" si="13"/>
        <v>0</v>
      </c>
      <c r="AS59" s="191"/>
      <c r="AT59" s="191"/>
      <c r="AU59" s="191"/>
      <c r="AV59" s="143">
        <f t="shared" si="14"/>
        <v>0</v>
      </c>
      <c r="AW59" s="191"/>
      <c r="AX59" s="191"/>
      <c r="AY59" s="191"/>
      <c r="AZ59" s="143">
        <f t="shared" si="15"/>
        <v>0</v>
      </c>
      <c r="BA59" s="191"/>
      <c r="BB59" s="191"/>
      <c r="BC59" s="191"/>
      <c r="BD59" s="143">
        <f t="shared" si="16"/>
        <v>0</v>
      </c>
      <c r="BE59" s="143">
        <f t="shared" si="17"/>
        <v>0</v>
      </c>
      <c r="BF59" s="191"/>
    </row>
    <row r="60" spans="1:58" ht="27" customHeight="1">
      <c r="A60" s="146">
        <v>50</v>
      </c>
      <c r="B60" s="156"/>
      <c r="C60" s="148"/>
      <c r="D60" s="148"/>
      <c r="E60" s="149"/>
      <c r="F60" s="149"/>
      <c r="G60" s="150"/>
      <c r="H60" s="151"/>
      <c r="I60" s="152"/>
      <c r="J60" s="148"/>
      <c r="K60" s="148"/>
      <c r="L60" s="153"/>
      <c r="M60" s="154"/>
      <c r="N60" s="148"/>
      <c r="O60" s="148"/>
      <c r="P60" s="148"/>
      <c r="Q60" s="154"/>
      <c r="R60" s="148"/>
      <c r="S60" s="148"/>
      <c r="T60" s="148"/>
      <c r="U60" s="155"/>
      <c r="V60" s="153"/>
      <c r="W60" s="153"/>
      <c r="X60" s="191"/>
      <c r="Y60" s="191"/>
      <c r="Z60" s="191"/>
      <c r="AA60" s="191"/>
      <c r="AB60" s="143">
        <f t="shared" si="18"/>
        <v>0</v>
      </c>
      <c r="AC60" s="191"/>
      <c r="AD60" s="191"/>
      <c r="AE60" s="191"/>
      <c r="AF60" s="143">
        <f t="shared" si="10"/>
        <v>0</v>
      </c>
      <c r="AG60" s="191"/>
      <c r="AH60" s="191"/>
      <c r="AI60" s="191"/>
      <c r="AJ60" s="143">
        <f t="shared" si="11"/>
        <v>0</v>
      </c>
      <c r="AK60" s="191"/>
      <c r="AL60" s="191"/>
      <c r="AM60" s="191"/>
      <c r="AN60" s="143">
        <f t="shared" si="12"/>
        <v>0</v>
      </c>
      <c r="AO60" s="191"/>
      <c r="AP60" s="191"/>
      <c r="AQ60" s="191"/>
      <c r="AR60" s="143">
        <f t="shared" si="13"/>
        <v>0</v>
      </c>
      <c r="AS60" s="191"/>
      <c r="AT60" s="191"/>
      <c r="AU60" s="191"/>
      <c r="AV60" s="143">
        <f t="shared" si="14"/>
        <v>0</v>
      </c>
      <c r="AW60" s="191"/>
      <c r="AX60" s="191"/>
      <c r="AY60" s="191"/>
      <c r="AZ60" s="143">
        <f t="shared" si="15"/>
        <v>0</v>
      </c>
      <c r="BA60" s="191"/>
      <c r="BB60" s="191"/>
      <c r="BC60" s="191"/>
      <c r="BD60" s="143">
        <f t="shared" si="16"/>
        <v>0</v>
      </c>
      <c r="BE60" s="143">
        <f t="shared" si="17"/>
        <v>0</v>
      </c>
      <c r="BF60" s="191"/>
    </row>
    <row r="61" spans="1:58" ht="27" customHeight="1">
      <c r="A61" s="146">
        <v>51</v>
      </c>
      <c r="B61" s="156"/>
      <c r="C61" s="148"/>
      <c r="D61" s="148"/>
      <c r="E61" s="149"/>
      <c r="F61" s="149"/>
      <c r="G61" s="150"/>
      <c r="H61" s="151"/>
      <c r="I61" s="152"/>
      <c r="J61" s="148"/>
      <c r="K61" s="148"/>
      <c r="L61" s="153"/>
      <c r="M61" s="154"/>
      <c r="N61" s="148"/>
      <c r="O61" s="148"/>
      <c r="P61" s="148"/>
      <c r="Q61" s="154"/>
      <c r="R61" s="148"/>
      <c r="S61" s="148"/>
      <c r="T61" s="148"/>
      <c r="U61" s="155"/>
      <c r="V61" s="153"/>
      <c r="W61" s="153"/>
      <c r="X61" s="191"/>
      <c r="Y61" s="191"/>
      <c r="Z61" s="191"/>
      <c r="AA61" s="191"/>
      <c r="AB61" s="143">
        <f t="shared" si="18"/>
        <v>0</v>
      </c>
      <c r="AC61" s="191"/>
      <c r="AD61" s="191"/>
      <c r="AE61" s="191"/>
      <c r="AF61" s="143">
        <f t="shared" si="10"/>
        <v>0</v>
      </c>
      <c r="AG61" s="191"/>
      <c r="AH61" s="191"/>
      <c r="AI61" s="191"/>
      <c r="AJ61" s="143">
        <f t="shared" si="11"/>
        <v>0</v>
      </c>
      <c r="AK61" s="191"/>
      <c r="AL61" s="191"/>
      <c r="AM61" s="191"/>
      <c r="AN61" s="143">
        <f t="shared" si="12"/>
        <v>0</v>
      </c>
      <c r="AO61" s="191"/>
      <c r="AP61" s="191"/>
      <c r="AQ61" s="191"/>
      <c r="AR61" s="143">
        <f t="shared" si="13"/>
        <v>0</v>
      </c>
      <c r="AS61" s="191"/>
      <c r="AT61" s="191"/>
      <c r="AU61" s="191"/>
      <c r="AV61" s="143">
        <f t="shared" si="14"/>
        <v>0</v>
      </c>
      <c r="AW61" s="191"/>
      <c r="AX61" s="191"/>
      <c r="AY61" s="191"/>
      <c r="AZ61" s="143">
        <f t="shared" si="15"/>
        <v>0</v>
      </c>
      <c r="BA61" s="191"/>
      <c r="BB61" s="191"/>
      <c r="BC61" s="191"/>
      <c r="BD61" s="143">
        <f t="shared" si="16"/>
        <v>0</v>
      </c>
      <c r="BE61" s="143">
        <f t="shared" si="17"/>
        <v>0</v>
      </c>
      <c r="BF61" s="191"/>
    </row>
    <row r="62" spans="1:58" ht="27" customHeight="1">
      <c r="A62" s="146">
        <v>52</v>
      </c>
      <c r="B62" s="156"/>
      <c r="C62" s="148"/>
      <c r="D62" s="148"/>
      <c r="E62" s="149"/>
      <c r="F62" s="149"/>
      <c r="G62" s="150"/>
      <c r="H62" s="151"/>
      <c r="I62" s="152"/>
      <c r="J62" s="148"/>
      <c r="K62" s="148"/>
      <c r="L62" s="153"/>
      <c r="M62" s="154"/>
      <c r="N62" s="148"/>
      <c r="O62" s="148"/>
      <c r="P62" s="148"/>
      <c r="Q62" s="154"/>
      <c r="R62" s="148"/>
      <c r="S62" s="148"/>
      <c r="T62" s="148"/>
      <c r="U62" s="155"/>
      <c r="V62" s="153"/>
      <c r="W62" s="153"/>
      <c r="X62" s="191"/>
      <c r="Y62" s="191"/>
      <c r="Z62" s="191"/>
      <c r="AA62" s="191"/>
      <c r="AB62" s="143">
        <f t="shared" si="18"/>
        <v>0</v>
      </c>
      <c r="AC62" s="191"/>
      <c r="AD62" s="191"/>
      <c r="AE62" s="191"/>
      <c r="AF62" s="143">
        <f t="shared" si="10"/>
        <v>0</v>
      </c>
      <c r="AG62" s="191"/>
      <c r="AH62" s="191"/>
      <c r="AI62" s="191"/>
      <c r="AJ62" s="143">
        <f t="shared" si="11"/>
        <v>0</v>
      </c>
      <c r="AK62" s="191"/>
      <c r="AL62" s="191"/>
      <c r="AM62" s="191"/>
      <c r="AN62" s="143">
        <f t="shared" si="12"/>
        <v>0</v>
      </c>
      <c r="AO62" s="191"/>
      <c r="AP62" s="191"/>
      <c r="AQ62" s="191"/>
      <c r="AR62" s="143">
        <f t="shared" si="13"/>
        <v>0</v>
      </c>
      <c r="AS62" s="191"/>
      <c r="AT62" s="191"/>
      <c r="AU62" s="191"/>
      <c r="AV62" s="143">
        <f t="shared" si="14"/>
        <v>0</v>
      </c>
      <c r="AW62" s="191"/>
      <c r="AX62" s="191"/>
      <c r="AY62" s="191"/>
      <c r="AZ62" s="143">
        <f t="shared" si="15"/>
        <v>0</v>
      </c>
      <c r="BA62" s="191"/>
      <c r="BB62" s="191"/>
      <c r="BC62" s="191"/>
      <c r="BD62" s="143">
        <f t="shared" si="16"/>
        <v>0</v>
      </c>
      <c r="BE62" s="143">
        <f t="shared" si="17"/>
        <v>0</v>
      </c>
      <c r="BF62" s="191"/>
    </row>
    <row r="63" spans="1:58" ht="27" customHeight="1">
      <c r="A63" s="146">
        <v>53</v>
      </c>
      <c r="B63" s="156"/>
      <c r="C63" s="148"/>
      <c r="D63" s="148"/>
      <c r="E63" s="149"/>
      <c r="F63" s="149"/>
      <c r="G63" s="150"/>
      <c r="H63" s="151"/>
      <c r="I63" s="152"/>
      <c r="J63" s="148"/>
      <c r="K63" s="148"/>
      <c r="L63" s="153"/>
      <c r="M63" s="154"/>
      <c r="N63" s="148"/>
      <c r="O63" s="148"/>
      <c r="P63" s="148"/>
      <c r="Q63" s="154"/>
      <c r="R63" s="148"/>
      <c r="S63" s="148"/>
      <c r="T63" s="148"/>
      <c r="U63" s="155"/>
      <c r="V63" s="153"/>
      <c r="W63" s="153"/>
      <c r="X63" s="191"/>
      <c r="Y63" s="191"/>
      <c r="Z63" s="191"/>
      <c r="AA63" s="191"/>
      <c r="AB63" s="143">
        <f t="shared" si="18"/>
        <v>0</v>
      </c>
      <c r="AC63" s="191"/>
      <c r="AD63" s="191"/>
      <c r="AE63" s="191"/>
      <c r="AF63" s="143">
        <f t="shared" si="10"/>
        <v>0</v>
      </c>
      <c r="AG63" s="191"/>
      <c r="AH63" s="191"/>
      <c r="AI63" s="191"/>
      <c r="AJ63" s="143">
        <f t="shared" si="11"/>
        <v>0</v>
      </c>
      <c r="AK63" s="191"/>
      <c r="AL63" s="191"/>
      <c r="AM63" s="191"/>
      <c r="AN63" s="143">
        <f t="shared" si="12"/>
        <v>0</v>
      </c>
      <c r="AO63" s="191"/>
      <c r="AP63" s="191"/>
      <c r="AQ63" s="191"/>
      <c r="AR63" s="143">
        <f t="shared" si="13"/>
        <v>0</v>
      </c>
      <c r="AS63" s="191"/>
      <c r="AT63" s="191"/>
      <c r="AU63" s="191"/>
      <c r="AV63" s="143">
        <f t="shared" si="14"/>
        <v>0</v>
      </c>
      <c r="AW63" s="191"/>
      <c r="AX63" s="191"/>
      <c r="AY63" s="191"/>
      <c r="AZ63" s="143">
        <f t="shared" si="15"/>
        <v>0</v>
      </c>
      <c r="BA63" s="191"/>
      <c r="BB63" s="191"/>
      <c r="BC63" s="191"/>
      <c r="BD63" s="143">
        <f t="shared" si="16"/>
        <v>0</v>
      </c>
      <c r="BE63" s="143">
        <f t="shared" si="17"/>
        <v>0</v>
      </c>
      <c r="BF63" s="191"/>
    </row>
    <row r="64" spans="1:58" ht="27" customHeight="1">
      <c r="A64" s="146">
        <v>54</v>
      </c>
      <c r="B64" s="156"/>
      <c r="C64" s="148"/>
      <c r="D64" s="148"/>
      <c r="E64" s="149"/>
      <c r="F64" s="149"/>
      <c r="G64" s="150"/>
      <c r="H64" s="151"/>
      <c r="I64" s="152"/>
      <c r="J64" s="148"/>
      <c r="K64" s="148"/>
      <c r="L64" s="153"/>
      <c r="M64" s="154"/>
      <c r="N64" s="148"/>
      <c r="O64" s="148"/>
      <c r="P64" s="148"/>
      <c r="Q64" s="154"/>
      <c r="R64" s="148"/>
      <c r="S64" s="148"/>
      <c r="T64" s="148"/>
      <c r="U64" s="155"/>
      <c r="V64" s="153"/>
      <c r="W64" s="153"/>
      <c r="X64" s="191"/>
      <c r="Y64" s="191"/>
      <c r="Z64" s="191"/>
      <c r="AA64" s="191"/>
      <c r="AB64" s="143">
        <f t="shared" si="18"/>
        <v>0</v>
      </c>
      <c r="AC64" s="191"/>
      <c r="AD64" s="191"/>
      <c r="AE64" s="191"/>
      <c r="AF64" s="143">
        <f t="shared" si="10"/>
        <v>0</v>
      </c>
      <c r="AG64" s="191"/>
      <c r="AH64" s="191"/>
      <c r="AI64" s="191"/>
      <c r="AJ64" s="143">
        <f t="shared" si="11"/>
        <v>0</v>
      </c>
      <c r="AK64" s="191"/>
      <c r="AL64" s="191"/>
      <c r="AM64" s="191"/>
      <c r="AN64" s="143">
        <f t="shared" si="12"/>
        <v>0</v>
      </c>
      <c r="AO64" s="191"/>
      <c r="AP64" s="191"/>
      <c r="AQ64" s="191"/>
      <c r="AR64" s="143">
        <f t="shared" si="13"/>
        <v>0</v>
      </c>
      <c r="AS64" s="191"/>
      <c r="AT64" s="191"/>
      <c r="AU64" s="191"/>
      <c r="AV64" s="143">
        <f t="shared" si="14"/>
        <v>0</v>
      </c>
      <c r="AW64" s="191"/>
      <c r="AX64" s="191"/>
      <c r="AY64" s="191"/>
      <c r="AZ64" s="143">
        <f t="shared" si="15"/>
        <v>0</v>
      </c>
      <c r="BA64" s="191"/>
      <c r="BB64" s="191"/>
      <c r="BC64" s="191"/>
      <c r="BD64" s="143">
        <f t="shared" si="16"/>
        <v>0</v>
      </c>
      <c r="BE64" s="143">
        <f t="shared" si="17"/>
        <v>0</v>
      </c>
      <c r="BF64" s="191"/>
    </row>
    <row r="65" spans="1:58" ht="27" customHeight="1">
      <c r="A65" s="146">
        <v>55</v>
      </c>
      <c r="B65" s="156"/>
      <c r="C65" s="148"/>
      <c r="D65" s="148"/>
      <c r="E65" s="149"/>
      <c r="F65" s="149"/>
      <c r="G65" s="150"/>
      <c r="H65" s="151"/>
      <c r="I65" s="152"/>
      <c r="J65" s="148"/>
      <c r="K65" s="148"/>
      <c r="L65" s="153"/>
      <c r="M65" s="154"/>
      <c r="N65" s="148"/>
      <c r="O65" s="148"/>
      <c r="P65" s="148"/>
      <c r="Q65" s="154"/>
      <c r="R65" s="148"/>
      <c r="S65" s="148"/>
      <c r="T65" s="148"/>
      <c r="U65" s="155"/>
      <c r="V65" s="153"/>
      <c r="W65" s="153"/>
      <c r="X65" s="191"/>
      <c r="Y65" s="191"/>
      <c r="Z65" s="191"/>
      <c r="AA65" s="191"/>
      <c r="AB65" s="143">
        <f t="shared" si="18"/>
        <v>0</v>
      </c>
      <c r="AC65" s="191"/>
      <c r="AD65" s="191"/>
      <c r="AE65" s="191"/>
      <c r="AF65" s="143">
        <f t="shared" si="10"/>
        <v>0</v>
      </c>
      <c r="AG65" s="191"/>
      <c r="AH65" s="191"/>
      <c r="AI65" s="191"/>
      <c r="AJ65" s="143">
        <f t="shared" si="11"/>
        <v>0</v>
      </c>
      <c r="AK65" s="191"/>
      <c r="AL65" s="191"/>
      <c r="AM65" s="191"/>
      <c r="AN65" s="143">
        <f t="shared" si="12"/>
        <v>0</v>
      </c>
      <c r="AO65" s="191"/>
      <c r="AP65" s="191"/>
      <c r="AQ65" s="191"/>
      <c r="AR65" s="143">
        <f t="shared" si="13"/>
        <v>0</v>
      </c>
      <c r="AS65" s="191"/>
      <c r="AT65" s="191"/>
      <c r="AU65" s="191"/>
      <c r="AV65" s="143">
        <f t="shared" si="14"/>
        <v>0</v>
      </c>
      <c r="AW65" s="191"/>
      <c r="AX65" s="191"/>
      <c r="AY65" s="191"/>
      <c r="AZ65" s="143">
        <f t="shared" si="15"/>
        <v>0</v>
      </c>
      <c r="BA65" s="191"/>
      <c r="BB65" s="191"/>
      <c r="BC65" s="191"/>
      <c r="BD65" s="143">
        <f t="shared" si="16"/>
        <v>0</v>
      </c>
      <c r="BE65" s="143">
        <f t="shared" si="17"/>
        <v>0</v>
      </c>
      <c r="BF65" s="191"/>
    </row>
    <row r="66" spans="1:58" ht="27" customHeight="1">
      <c r="A66" s="146">
        <v>56</v>
      </c>
      <c r="B66" s="156"/>
      <c r="C66" s="148"/>
      <c r="D66" s="148"/>
      <c r="E66" s="149"/>
      <c r="F66" s="149"/>
      <c r="G66" s="150"/>
      <c r="H66" s="151"/>
      <c r="I66" s="152"/>
      <c r="J66" s="148"/>
      <c r="K66" s="148"/>
      <c r="L66" s="153"/>
      <c r="M66" s="154"/>
      <c r="N66" s="148"/>
      <c r="O66" s="148"/>
      <c r="P66" s="148"/>
      <c r="Q66" s="154"/>
      <c r="R66" s="148"/>
      <c r="S66" s="148"/>
      <c r="T66" s="148"/>
      <c r="U66" s="155"/>
      <c r="V66" s="153"/>
      <c r="W66" s="153"/>
      <c r="X66" s="191"/>
      <c r="Y66" s="191"/>
      <c r="Z66" s="191"/>
      <c r="AA66" s="191"/>
      <c r="AB66" s="143">
        <f t="shared" si="18"/>
        <v>0</v>
      </c>
      <c r="AC66" s="191"/>
      <c r="AD66" s="191"/>
      <c r="AE66" s="191"/>
      <c r="AF66" s="143">
        <f t="shared" si="10"/>
        <v>0</v>
      </c>
      <c r="AG66" s="191"/>
      <c r="AH66" s="191"/>
      <c r="AI66" s="191"/>
      <c r="AJ66" s="143">
        <f t="shared" si="11"/>
        <v>0</v>
      </c>
      <c r="AK66" s="191"/>
      <c r="AL66" s="191"/>
      <c r="AM66" s="191"/>
      <c r="AN66" s="143">
        <f t="shared" si="12"/>
        <v>0</v>
      </c>
      <c r="AO66" s="191"/>
      <c r="AP66" s="191"/>
      <c r="AQ66" s="191"/>
      <c r="AR66" s="143">
        <f t="shared" si="13"/>
        <v>0</v>
      </c>
      <c r="AS66" s="191"/>
      <c r="AT66" s="191"/>
      <c r="AU66" s="191"/>
      <c r="AV66" s="143">
        <f t="shared" si="14"/>
        <v>0</v>
      </c>
      <c r="AW66" s="191"/>
      <c r="AX66" s="191"/>
      <c r="AY66" s="191"/>
      <c r="AZ66" s="143">
        <f t="shared" si="15"/>
        <v>0</v>
      </c>
      <c r="BA66" s="191"/>
      <c r="BB66" s="191"/>
      <c r="BC66" s="191"/>
      <c r="BD66" s="143">
        <f t="shared" si="16"/>
        <v>0</v>
      </c>
      <c r="BE66" s="143">
        <f t="shared" si="17"/>
        <v>0</v>
      </c>
      <c r="BF66" s="191"/>
    </row>
    <row r="67" spans="1:58" ht="27" customHeight="1">
      <c r="A67" s="146">
        <v>57</v>
      </c>
      <c r="B67" s="156"/>
      <c r="C67" s="148"/>
      <c r="D67" s="148"/>
      <c r="E67" s="149"/>
      <c r="F67" s="149"/>
      <c r="G67" s="150"/>
      <c r="H67" s="151"/>
      <c r="I67" s="152"/>
      <c r="J67" s="148"/>
      <c r="K67" s="148"/>
      <c r="L67" s="153"/>
      <c r="M67" s="154"/>
      <c r="N67" s="148"/>
      <c r="O67" s="148"/>
      <c r="P67" s="148"/>
      <c r="Q67" s="154"/>
      <c r="R67" s="148"/>
      <c r="S67" s="148"/>
      <c r="T67" s="148"/>
      <c r="U67" s="155"/>
      <c r="V67" s="153"/>
      <c r="W67" s="153"/>
      <c r="X67" s="191"/>
      <c r="Y67" s="191"/>
      <c r="Z67" s="191"/>
      <c r="AA67" s="191"/>
      <c r="AB67" s="143">
        <f t="shared" si="18"/>
        <v>0</v>
      </c>
      <c r="AC67" s="191"/>
      <c r="AD67" s="191"/>
      <c r="AE67" s="191"/>
      <c r="AF67" s="143">
        <f t="shared" si="10"/>
        <v>0</v>
      </c>
      <c r="AG67" s="191"/>
      <c r="AH67" s="191"/>
      <c r="AI67" s="191"/>
      <c r="AJ67" s="143">
        <f t="shared" si="11"/>
        <v>0</v>
      </c>
      <c r="AK67" s="191"/>
      <c r="AL67" s="191"/>
      <c r="AM67" s="191"/>
      <c r="AN67" s="143">
        <f t="shared" si="12"/>
        <v>0</v>
      </c>
      <c r="AO67" s="191"/>
      <c r="AP67" s="191"/>
      <c r="AQ67" s="191"/>
      <c r="AR67" s="143">
        <f t="shared" si="13"/>
        <v>0</v>
      </c>
      <c r="AS67" s="191"/>
      <c r="AT67" s="191"/>
      <c r="AU67" s="191"/>
      <c r="AV67" s="143">
        <f t="shared" si="14"/>
        <v>0</v>
      </c>
      <c r="AW67" s="191"/>
      <c r="AX67" s="191"/>
      <c r="AY67" s="191"/>
      <c r="AZ67" s="143">
        <f t="shared" si="15"/>
        <v>0</v>
      </c>
      <c r="BA67" s="191"/>
      <c r="BB67" s="191"/>
      <c r="BC67" s="191"/>
      <c r="BD67" s="143">
        <f t="shared" si="16"/>
        <v>0</v>
      </c>
      <c r="BE67" s="143">
        <f t="shared" si="17"/>
        <v>0</v>
      </c>
      <c r="BF67" s="191"/>
    </row>
    <row r="68" spans="1:58" ht="27" customHeight="1">
      <c r="A68" s="146">
        <v>58</v>
      </c>
      <c r="B68" s="156"/>
      <c r="C68" s="148"/>
      <c r="D68" s="148"/>
      <c r="E68" s="149"/>
      <c r="F68" s="149"/>
      <c r="G68" s="150"/>
      <c r="H68" s="151"/>
      <c r="I68" s="152"/>
      <c r="J68" s="148"/>
      <c r="K68" s="148"/>
      <c r="L68" s="153"/>
      <c r="M68" s="154"/>
      <c r="N68" s="148"/>
      <c r="O68" s="148"/>
      <c r="P68" s="148"/>
      <c r="Q68" s="154"/>
      <c r="R68" s="148"/>
      <c r="S68" s="148"/>
      <c r="T68" s="148"/>
      <c r="U68" s="155"/>
      <c r="V68" s="153"/>
      <c r="W68" s="153"/>
      <c r="X68" s="191"/>
      <c r="Y68" s="191"/>
      <c r="Z68" s="191"/>
      <c r="AA68" s="191"/>
      <c r="AB68" s="143">
        <f t="shared" si="18"/>
        <v>0</v>
      </c>
      <c r="AC68" s="191"/>
      <c r="AD68" s="191"/>
      <c r="AE68" s="191"/>
      <c r="AF68" s="143">
        <f t="shared" si="10"/>
        <v>0</v>
      </c>
      <c r="AG68" s="191"/>
      <c r="AH68" s="191"/>
      <c r="AI68" s="191"/>
      <c r="AJ68" s="143">
        <f t="shared" si="11"/>
        <v>0</v>
      </c>
      <c r="AK68" s="191"/>
      <c r="AL68" s="191"/>
      <c r="AM68" s="191"/>
      <c r="AN68" s="143">
        <f t="shared" si="12"/>
        <v>0</v>
      </c>
      <c r="AO68" s="191"/>
      <c r="AP68" s="191"/>
      <c r="AQ68" s="191"/>
      <c r="AR68" s="143">
        <f t="shared" si="13"/>
        <v>0</v>
      </c>
      <c r="AS68" s="191"/>
      <c r="AT68" s="191"/>
      <c r="AU68" s="191"/>
      <c r="AV68" s="143">
        <f t="shared" si="14"/>
        <v>0</v>
      </c>
      <c r="AW68" s="191"/>
      <c r="AX68" s="191"/>
      <c r="AY68" s="191"/>
      <c r="AZ68" s="143">
        <f t="shared" si="15"/>
        <v>0</v>
      </c>
      <c r="BA68" s="191"/>
      <c r="BB68" s="191"/>
      <c r="BC68" s="191"/>
      <c r="BD68" s="143">
        <f t="shared" si="16"/>
        <v>0</v>
      </c>
      <c r="BE68" s="143">
        <f t="shared" si="17"/>
        <v>0</v>
      </c>
      <c r="BF68" s="191"/>
    </row>
    <row r="69" spans="1:58" ht="27" customHeight="1">
      <c r="A69" s="146">
        <v>59</v>
      </c>
      <c r="B69" s="156"/>
      <c r="C69" s="148"/>
      <c r="D69" s="148"/>
      <c r="E69" s="149"/>
      <c r="F69" s="149"/>
      <c r="G69" s="150"/>
      <c r="H69" s="151"/>
      <c r="I69" s="152"/>
      <c r="J69" s="148"/>
      <c r="K69" s="148"/>
      <c r="L69" s="153"/>
      <c r="M69" s="154"/>
      <c r="N69" s="148"/>
      <c r="O69" s="148"/>
      <c r="P69" s="148"/>
      <c r="Q69" s="154"/>
      <c r="R69" s="148"/>
      <c r="S69" s="148"/>
      <c r="T69" s="148"/>
      <c r="U69" s="155"/>
      <c r="V69" s="153"/>
      <c r="W69" s="153"/>
      <c r="X69" s="191"/>
      <c r="Y69" s="191"/>
      <c r="Z69" s="191"/>
      <c r="AA69" s="191"/>
      <c r="AB69" s="143">
        <f t="shared" si="18"/>
        <v>0</v>
      </c>
      <c r="AC69" s="191"/>
      <c r="AD69" s="191"/>
      <c r="AE69" s="191"/>
      <c r="AF69" s="143">
        <f t="shared" si="10"/>
        <v>0</v>
      </c>
      <c r="AG69" s="191"/>
      <c r="AH69" s="191"/>
      <c r="AI69" s="191"/>
      <c r="AJ69" s="143">
        <f t="shared" si="11"/>
        <v>0</v>
      </c>
      <c r="AK69" s="191"/>
      <c r="AL69" s="191"/>
      <c r="AM69" s="191"/>
      <c r="AN69" s="143">
        <f t="shared" si="12"/>
        <v>0</v>
      </c>
      <c r="AO69" s="191"/>
      <c r="AP69" s="191"/>
      <c r="AQ69" s="191"/>
      <c r="AR69" s="143">
        <f t="shared" si="13"/>
        <v>0</v>
      </c>
      <c r="AS69" s="191"/>
      <c r="AT69" s="191"/>
      <c r="AU69" s="191"/>
      <c r="AV69" s="143">
        <f t="shared" si="14"/>
        <v>0</v>
      </c>
      <c r="AW69" s="191"/>
      <c r="AX69" s="191"/>
      <c r="AY69" s="191"/>
      <c r="AZ69" s="143">
        <f t="shared" si="15"/>
        <v>0</v>
      </c>
      <c r="BA69" s="191"/>
      <c r="BB69" s="191"/>
      <c r="BC69" s="191"/>
      <c r="BD69" s="143">
        <f t="shared" si="16"/>
        <v>0</v>
      </c>
      <c r="BE69" s="143">
        <f t="shared" si="17"/>
        <v>0</v>
      </c>
      <c r="BF69" s="191"/>
    </row>
    <row r="70" spans="1:58" ht="27" customHeight="1">
      <c r="A70" s="146">
        <v>60</v>
      </c>
      <c r="B70" s="156"/>
      <c r="C70" s="148"/>
      <c r="D70" s="148"/>
      <c r="E70" s="149"/>
      <c r="F70" s="149"/>
      <c r="G70" s="150"/>
      <c r="H70" s="151"/>
      <c r="I70" s="152"/>
      <c r="J70" s="148"/>
      <c r="K70" s="148"/>
      <c r="L70" s="153"/>
      <c r="M70" s="154"/>
      <c r="N70" s="148"/>
      <c r="O70" s="148"/>
      <c r="P70" s="148"/>
      <c r="Q70" s="154"/>
      <c r="R70" s="148"/>
      <c r="S70" s="148"/>
      <c r="T70" s="148"/>
      <c r="U70" s="155"/>
      <c r="V70" s="153"/>
      <c r="W70" s="153"/>
      <c r="X70" s="191"/>
      <c r="Y70" s="191"/>
      <c r="Z70" s="191"/>
      <c r="AA70" s="191"/>
      <c r="AB70" s="143"/>
      <c r="AC70" s="191"/>
      <c r="AD70" s="191"/>
      <c r="AE70" s="191"/>
      <c r="AF70" s="143"/>
      <c r="AG70" s="191"/>
      <c r="AH70" s="191"/>
      <c r="AI70" s="191"/>
      <c r="AJ70" s="143"/>
      <c r="AK70" s="191"/>
      <c r="AL70" s="191"/>
      <c r="AM70" s="191"/>
      <c r="AN70" s="143"/>
      <c r="AO70" s="191"/>
      <c r="AP70" s="191"/>
      <c r="AQ70" s="191"/>
      <c r="AR70" s="143"/>
      <c r="AS70" s="191"/>
      <c r="AT70" s="191"/>
      <c r="AU70" s="191"/>
      <c r="AV70" s="143"/>
      <c r="AW70" s="191"/>
      <c r="AX70" s="191"/>
      <c r="AY70" s="191"/>
      <c r="AZ70" s="143"/>
      <c r="BA70" s="191"/>
      <c r="BB70" s="191"/>
      <c r="BC70" s="191"/>
      <c r="BD70" s="143"/>
      <c r="BE70" s="143"/>
      <c r="BF70" s="191"/>
    </row>
    <row r="71" spans="1:58" ht="27" customHeight="1">
      <c r="A71" s="157"/>
      <c r="B71" s="156"/>
      <c r="C71" s="148"/>
      <c r="D71" s="148"/>
      <c r="E71" s="149"/>
      <c r="F71" s="149"/>
      <c r="G71" s="150"/>
      <c r="H71" s="151"/>
      <c r="I71" s="152"/>
      <c r="J71" s="148"/>
      <c r="K71" s="148"/>
      <c r="L71" s="153"/>
      <c r="M71" s="154"/>
      <c r="N71" s="148"/>
      <c r="O71" s="148"/>
      <c r="P71" s="148"/>
      <c r="Q71" s="154"/>
      <c r="R71" s="148"/>
      <c r="S71" s="148"/>
      <c r="T71" s="148"/>
      <c r="U71" s="155"/>
      <c r="V71" s="153"/>
      <c r="W71" s="153"/>
      <c r="X71" s="191"/>
      <c r="Y71" s="191"/>
      <c r="Z71" s="191"/>
      <c r="AA71" s="191"/>
      <c r="AB71" s="143"/>
      <c r="AC71" s="191"/>
      <c r="AD71" s="191"/>
      <c r="AE71" s="191"/>
      <c r="AF71" s="143"/>
      <c r="AG71" s="191"/>
      <c r="AH71" s="191"/>
      <c r="AI71" s="191"/>
      <c r="AJ71" s="143"/>
      <c r="AK71" s="191"/>
      <c r="AL71" s="191"/>
      <c r="AM71" s="191"/>
      <c r="AN71" s="143"/>
      <c r="AO71" s="191"/>
      <c r="AP71" s="191"/>
      <c r="AQ71" s="191"/>
      <c r="AR71" s="143"/>
      <c r="AS71" s="191"/>
      <c r="AT71" s="191"/>
      <c r="AU71" s="191"/>
      <c r="AV71" s="143"/>
      <c r="AW71" s="191"/>
      <c r="AX71" s="191"/>
      <c r="AY71" s="191"/>
      <c r="AZ71" s="143"/>
      <c r="BA71" s="191"/>
      <c r="BB71" s="191"/>
      <c r="BC71" s="191"/>
      <c r="BD71" s="143"/>
      <c r="BE71" s="143"/>
      <c r="BF71" s="191"/>
    </row>
    <row r="72" spans="1:58" ht="27" customHeight="1">
      <c r="A72" s="157"/>
      <c r="B72" s="156"/>
      <c r="C72" s="148"/>
      <c r="D72" s="148"/>
      <c r="E72" s="149"/>
      <c r="F72" s="149"/>
      <c r="G72" s="150"/>
      <c r="H72" s="151"/>
      <c r="I72" s="152"/>
      <c r="J72" s="148"/>
      <c r="K72" s="148"/>
      <c r="L72" s="153"/>
      <c r="M72" s="154"/>
      <c r="N72" s="148"/>
      <c r="O72" s="148"/>
      <c r="P72" s="148"/>
      <c r="Q72" s="154"/>
      <c r="R72" s="148"/>
      <c r="S72" s="148"/>
      <c r="T72" s="148"/>
      <c r="U72" s="155"/>
      <c r="V72" s="153"/>
      <c r="W72" s="153"/>
      <c r="X72" s="191"/>
      <c r="Y72" s="191"/>
      <c r="Z72" s="191"/>
      <c r="AA72" s="191"/>
      <c r="AB72" s="143"/>
      <c r="AC72" s="191"/>
      <c r="AD72" s="191"/>
      <c r="AE72" s="191"/>
      <c r="AF72" s="143"/>
      <c r="AG72" s="191"/>
      <c r="AH72" s="191"/>
      <c r="AI72" s="191"/>
      <c r="AJ72" s="143"/>
      <c r="AK72" s="191"/>
      <c r="AL72" s="191"/>
      <c r="AM72" s="191"/>
      <c r="AN72" s="143"/>
      <c r="AO72" s="191"/>
      <c r="AP72" s="191"/>
      <c r="AQ72" s="191"/>
      <c r="AR72" s="143"/>
      <c r="AS72" s="191"/>
      <c r="AT72" s="191"/>
      <c r="AU72" s="191"/>
      <c r="AV72" s="143"/>
      <c r="AW72" s="191"/>
      <c r="AX72" s="191"/>
      <c r="AY72" s="191"/>
      <c r="AZ72" s="143"/>
      <c r="BA72" s="191"/>
      <c r="BB72" s="191"/>
      <c r="BC72" s="191"/>
      <c r="BD72" s="143"/>
      <c r="BE72" s="143"/>
      <c r="BF72" s="191"/>
    </row>
    <row r="73" spans="1:58" ht="27" customHeight="1">
      <c r="A73" s="157"/>
      <c r="B73" s="156"/>
      <c r="C73" s="148"/>
      <c r="D73" s="148"/>
      <c r="E73" s="149"/>
      <c r="F73" s="149"/>
      <c r="G73" s="150"/>
      <c r="H73" s="151"/>
      <c r="I73" s="152"/>
      <c r="J73" s="148"/>
      <c r="K73" s="148"/>
      <c r="L73" s="153"/>
      <c r="M73" s="154"/>
      <c r="N73" s="148"/>
      <c r="O73" s="148"/>
      <c r="P73" s="148"/>
      <c r="Q73" s="154"/>
      <c r="R73" s="148"/>
      <c r="S73" s="148"/>
      <c r="T73" s="148"/>
      <c r="U73" s="155"/>
      <c r="V73" s="153"/>
      <c r="W73" s="153"/>
      <c r="X73" s="191"/>
      <c r="Y73" s="191"/>
      <c r="Z73" s="191"/>
      <c r="AA73" s="191"/>
      <c r="AB73" s="143"/>
      <c r="AC73" s="191"/>
      <c r="AD73" s="191"/>
      <c r="AE73" s="191"/>
      <c r="AF73" s="143"/>
      <c r="AG73" s="191"/>
      <c r="AH73" s="191"/>
      <c r="AI73" s="191"/>
      <c r="AJ73" s="143"/>
      <c r="AK73" s="191"/>
      <c r="AL73" s="191"/>
      <c r="AM73" s="191"/>
      <c r="AN73" s="143"/>
      <c r="AO73" s="191"/>
      <c r="AP73" s="191"/>
      <c r="AQ73" s="191"/>
      <c r="AR73" s="143"/>
      <c r="AS73" s="191"/>
      <c r="AT73" s="191"/>
      <c r="AU73" s="191"/>
      <c r="AV73" s="143"/>
      <c r="AW73" s="191"/>
      <c r="AX73" s="191"/>
      <c r="AY73" s="191"/>
      <c r="AZ73" s="143"/>
      <c r="BA73" s="191"/>
      <c r="BB73" s="191"/>
      <c r="BC73" s="191"/>
      <c r="BD73" s="143"/>
      <c r="BE73" s="143"/>
      <c r="BF73" s="191"/>
    </row>
    <row r="74" spans="1:58" ht="27" customHeight="1">
      <c r="A74" s="157"/>
      <c r="B74" s="156"/>
      <c r="C74" s="148"/>
      <c r="D74" s="148"/>
      <c r="E74" s="149"/>
      <c r="F74" s="149"/>
      <c r="G74" s="150"/>
      <c r="H74" s="151"/>
      <c r="I74" s="152"/>
      <c r="J74" s="148"/>
      <c r="K74" s="148"/>
      <c r="L74" s="153"/>
      <c r="M74" s="154"/>
      <c r="N74" s="148"/>
      <c r="O74" s="148"/>
      <c r="P74" s="148"/>
      <c r="Q74" s="154"/>
      <c r="R74" s="148"/>
      <c r="S74" s="148"/>
      <c r="T74" s="148"/>
      <c r="U74" s="155"/>
      <c r="V74" s="153"/>
      <c r="W74" s="153"/>
      <c r="X74" s="191"/>
      <c r="Y74" s="191"/>
      <c r="Z74" s="191"/>
      <c r="AA74" s="191"/>
      <c r="AB74" s="143"/>
      <c r="AC74" s="191"/>
      <c r="AD74" s="191"/>
      <c r="AE74" s="191"/>
      <c r="AF74" s="143"/>
      <c r="AG74" s="191"/>
      <c r="AH74" s="191"/>
      <c r="AI74" s="191"/>
      <c r="AJ74" s="143"/>
      <c r="AK74" s="191"/>
      <c r="AL74" s="191"/>
      <c r="AM74" s="191"/>
      <c r="AN74" s="143"/>
      <c r="AO74" s="191"/>
      <c r="AP74" s="191"/>
      <c r="AQ74" s="191"/>
      <c r="AR74" s="143"/>
      <c r="AS74" s="191"/>
      <c r="AT74" s="191"/>
      <c r="AU74" s="191"/>
      <c r="AV74" s="143"/>
      <c r="AW74" s="191"/>
      <c r="AX74" s="191"/>
      <c r="AY74" s="191"/>
      <c r="AZ74" s="143"/>
      <c r="BA74" s="191"/>
      <c r="BB74" s="191"/>
      <c r="BC74" s="191"/>
      <c r="BD74" s="143"/>
      <c r="BE74" s="143"/>
      <c r="BF74" s="191"/>
    </row>
    <row r="75" spans="1:58" ht="27" customHeight="1">
      <c r="A75" s="157"/>
      <c r="B75" s="156"/>
      <c r="C75" s="148"/>
      <c r="D75" s="148"/>
      <c r="E75" s="149"/>
      <c r="F75" s="149"/>
      <c r="G75" s="150"/>
      <c r="H75" s="151"/>
      <c r="I75" s="152"/>
      <c r="J75" s="148"/>
      <c r="K75" s="148"/>
      <c r="L75" s="153"/>
      <c r="M75" s="154"/>
      <c r="N75" s="148"/>
      <c r="O75" s="148"/>
      <c r="P75" s="148"/>
      <c r="Q75" s="154"/>
      <c r="R75" s="148"/>
      <c r="S75" s="148"/>
      <c r="T75" s="148"/>
      <c r="U75" s="155"/>
      <c r="V75" s="153"/>
      <c r="W75" s="153"/>
      <c r="X75" s="191"/>
      <c r="Y75" s="191"/>
      <c r="Z75" s="191"/>
      <c r="AA75" s="191"/>
      <c r="AB75" s="143"/>
      <c r="AC75" s="191"/>
      <c r="AD75" s="191"/>
      <c r="AE75" s="191"/>
      <c r="AF75" s="143"/>
      <c r="AG75" s="191"/>
      <c r="AH75" s="191"/>
      <c r="AI75" s="191"/>
      <c r="AJ75" s="143"/>
      <c r="AK75" s="191"/>
      <c r="AL75" s="191"/>
      <c r="AM75" s="191"/>
      <c r="AN75" s="143"/>
      <c r="AO75" s="191"/>
      <c r="AP75" s="191"/>
      <c r="AQ75" s="191"/>
      <c r="AR75" s="143"/>
      <c r="AS75" s="191"/>
      <c r="AT75" s="191"/>
      <c r="AU75" s="191"/>
      <c r="AV75" s="143"/>
      <c r="AW75" s="191"/>
      <c r="AX75" s="191"/>
      <c r="AY75" s="191"/>
      <c r="AZ75" s="143"/>
      <c r="BA75" s="191"/>
      <c r="BB75" s="191"/>
      <c r="BC75" s="191"/>
      <c r="BD75" s="143"/>
      <c r="BE75" s="143"/>
      <c r="BF75" s="191"/>
    </row>
    <row r="76" spans="1:58" ht="27" customHeight="1">
      <c r="A76" s="157"/>
      <c r="B76" s="156"/>
      <c r="C76" s="148"/>
      <c r="D76" s="148"/>
      <c r="E76" s="149"/>
      <c r="F76" s="149"/>
      <c r="G76" s="150"/>
      <c r="H76" s="151"/>
      <c r="I76" s="152"/>
      <c r="J76" s="148"/>
      <c r="K76" s="148"/>
      <c r="L76" s="153"/>
      <c r="M76" s="154"/>
      <c r="N76" s="148"/>
      <c r="O76" s="148"/>
      <c r="P76" s="148"/>
      <c r="Q76" s="154"/>
      <c r="R76" s="148"/>
      <c r="S76" s="148"/>
      <c r="T76" s="148"/>
      <c r="U76" s="155"/>
      <c r="V76" s="153"/>
      <c r="W76" s="153"/>
      <c r="X76" s="191"/>
      <c r="Y76" s="191"/>
      <c r="Z76" s="191"/>
      <c r="AA76" s="191"/>
      <c r="AB76" s="143"/>
      <c r="AC76" s="191"/>
      <c r="AD76" s="191"/>
      <c r="AE76" s="191"/>
      <c r="AF76" s="143"/>
      <c r="AG76" s="191"/>
      <c r="AH76" s="191"/>
      <c r="AI76" s="191"/>
      <c r="AJ76" s="143"/>
      <c r="AK76" s="191"/>
      <c r="AL76" s="191"/>
      <c r="AM76" s="191"/>
      <c r="AN76" s="143"/>
      <c r="AO76" s="191"/>
      <c r="AP76" s="191"/>
      <c r="AQ76" s="191"/>
      <c r="AR76" s="143"/>
      <c r="AS76" s="191"/>
      <c r="AT76" s="191"/>
      <c r="AU76" s="191"/>
      <c r="AV76" s="143"/>
      <c r="AW76" s="191"/>
      <c r="AX76" s="191"/>
      <c r="AY76" s="191"/>
      <c r="AZ76" s="143"/>
      <c r="BA76" s="191"/>
      <c r="BB76" s="191"/>
      <c r="BC76" s="191"/>
      <c r="BD76" s="143"/>
      <c r="BE76" s="143"/>
      <c r="BF76" s="191"/>
    </row>
    <row r="77" spans="1:58" ht="27" customHeight="1">
      <c r="A77" s="157"/>
      <c r="B77" s="156"/>
      <c r="C77" s="148"/>
      <c r="D77" s="148"/>
      <c r="E77" s="149"/>
      <c r="F77" s="149"/>
      <c r="G77" s="150"/>
      <c r="H77" s="151"/>
      <c r="I77" s="152"/>
      <c r="J77" s="148"/>
      <c r="K77" s="148"/>
      <c r="L77" s="153"/>
      <c r="M77" s="154"/>
      <c r="N77" s="148"/>
      <c r="O77" s="148"/>
      <c r="P77" s="148"/>
      <c r="Q77" s="154"/>
      <c r="R77" s="148"/>
      <c r="S77" s="148"/>
      <c r="T77" s="148"/>
      <c r="U77" s="155"/>
      <c r="V77" s="153"/>
      <c r="W77" s="153"/>
      <c r="X77" s="191"/>
      <c r="Y77" s="191"/>
      <c r="Z77" s="191"/>
      <c r="AA77" s="191"/>
      <c r="AB77" s="143"/>
      <c r="AC77" s="191"/>
      <c r="AD77" s="191"/>
      <c r="AE77" s="191"/>
      <c r="AF77" s="143"/>
      <c r="AG77" s="191"/>
      <c r="AH77" s="191"/>
      <c r="AI77" s="191"/>
      <c r="AJ77" s="143"/>
      <c r="AK77" s="191"/>
      <c r="AL77" s="191"/>
      <c r="AM77" s="191"/>
      <c r="AN77" s="143"/>
      <c r="AO77" s="191"/>
      <c r="AP77" s="191"/>
      <c r="AQ77" s="191"/>
      <c r="AR77" s="143"/>
      <c r="AS77" s="191"/>
      <c r="AT77" s="191"/>
      <c r="AU77" s="191"/>
      <c r="AV77" s="143"/>
      <c r="AW77" s="191"/>
      <c r="AX77" s="191"/>
      <c r="AY77" s="191"/>
      <c r="AZ77" s="143"/>
      <c r="BA77" s="191"/>
      <c r="BB77" s="191"/>
      <c r="BC77" s="191"/>
      <c r="BD77" s="143"/>
      <c r="BE77" s="143"/>
      <c r="BF77" s="191"/>
    </row>
    <row r="78" spans="1:58" ht="27" customHeight="1">
      <c r="A78" s="157"/>
      <c r="B78" s="156"/>
      <c r="C78" s="148"/>
      <c r="D78" s="148"/>
      <c r="E78" s="149"/>
      <c r="F78" s="149"/>
      <c r="G78" s="150"/>
      <c r="H78" s="151"/>
      <c r="I78" s="152"/>
      <c r="J78" s="148"/>
      <c r="K78" s="148"/>
      <c r="L78" s="153"/>
      <c r="M78" s="154"/>
      <c r="N78" s="148"/>
      <c r="O78" s="148"/>
      <c r="P78" s="148"/>
      <c r="Q78" s="154"/>
      <c r="R78" s="148"/>
      <c r="S78" s="148"/>
      <c r="T78" s="148"/>
      <c r="U78" s="155"/>
      <c r="V78" s="153"/>
      <c r="W78" s="153"/>
      <c r="X78" s="191"/>
      <c r="Y78" s="191"/>
      <c r="Z78" s="191"/>
      <c r="AA78" s="191"/>
      <c r="AB78" s="143"/>
      <c r="AC78" s="191"/>
      <c r="AD78" s="191"/>
      <c r="AE78" s="191"/>
      <c r="AF78" s="143"/>
      <c r="AG78" s="191"/>
      <c r="AH78" s="191"/>
      <c r="AI78" s="191"/>
      <c r="AJ78" s="143"/>
      <c r="AK78" s="191"/>
      <c r="AL78" s="191"/>
      <c r="AM78" s="191"/>
      <c r="AN78" s="143"/>
      <c r="AO78" s="191"/>
      <c r="AP78" s="191"/>
      <c r="AQ78" s="191"/>
      <c r="AR78" s="143"/>
      <c r="AS78" s="191"/>
      <c r="AT78" s="191"/>
      <c r="AU78" s="191"/>
      <c r="AV78" s="143"/>
      <c r="AW78" s="191"/>
      <c r="AX78" s="191"/>
      <c r="AY78" s="191"/>
      <c r="AZ78" s="143"/>
      <c r="BA78" s="191"/>
      <c r="BB78" s="191"/>
      <c r="BC78" s="191"/>
      <c r="BD78" s="143"/>
      <c r="BE78" s="143"/>
      <c r="BF78" s="191"/>
    </row>
    <row r="79" spans="1:58" ht="27" customHeight="1">
      <c r="A79" s="157"/>
      <c r="B79" s="156"/>
      <c r="C79" s="148"/>
      <c r="D79" s="148"/>
      <c r="E79" s="149"/>
      <c r="F79" s="149"/>
      <c r="G79" s="150"/>
      <c r="H79" s="151"/>
      <c r="I79" s="152"/>
      <c r="J79" s="148"/>
      <c r="K79" s="148"/>
      <c r="L79" s="153"/>
      <c r="M79" s="154"/>
      <c r="N79" s="148"/>
      <c r="O79" s="148"/>
      <c r="P79" s="148"/>
      <c r="Q79" s="154"/>
      <c r="R79" s="148"/>
      <c r="S79" s="148"/>
      <c r="T79" s="148"/>
      <c r="U79" s="155"/>
      <c r="V79" s="153"/>
      <c r="W79" s="153"/>
      <c r="X79" s="191"/>
      <c r="Y79" s="191"/>
      <c r="Z79" s="191"/>
      <c r="AA79" s="191"/>
      <c r="AB79" s="143"/>
      <c r="AC79" s="191"/>
      <c r="AD79" s="191"/>
      <c r="AE79" s="191"/>
      <c r="AF79" s="143"/>
      <c r="AG79" s="191"/>
      <c r="AH79" s="191"/>
      <c r="AI79" s="191"/>
      <c r="AJ79" s="143"/>
      <c r="AK79" s="191"/>
      <c r="AL79" s="191"/>
      <c r="AM79" s="191"/>
      <c r="AN79" s="143"/>
      <c r="AO79" s="191"/>
      <c r="AP79" s="191"/>
      <c r="AQ79" s="191"/>
      <c r="AR79" s="143"/>
      <c r="AS79" s="191"/>
      <c r="AT79" s="191"/>
      <c r="AU79" s="191"/>
      <c r="AV79" s="143"/>
      <c r="AW79" s="191"/>
      <c r="AX79" s="191"/>
      <c r="AY79" s="191"/>
      <c r="AZ79" s="143"/>
      <c r="BA79" s="191"/>
      <c r="BB79" s="191"/>
      <c r="BC79" s="191"/>
      <c r="BD79" s="143"/>
      <c r="BE79" s="143"/>
      <c r="BF79" s="191"/>
    </row>
    <row r="80" spans="1:58" ht="27" customHeight="1">
      <c r="A80" s="157" t="s">
        <v>46</v>
      </c>
      <c r="B80" s="156"/>
      <c r="C80" s="148"/>
      <c r="D80" s="148"/>
      <c r="E80" s="149"/>
      <c r="F80" s="149"/>
      <c r="G80" s="150"/>
      <c r="H80" s="151"/>
      <c r="I80" s="152"/>
      <c r="J80" s="148"/>
      <c r="K80" s="148"/>
      <c r="L80" s="153"/>
      <c r="M80" s="154"/>
      <c r="N80" s="148"/>
      <c r="O80" s="148"/>
      <c r="P80" s="148"/>
      <c r="Q80" s="154"/>
      <c r="R80" s="148"/>
      <c r="S80" s="148"/>
      <c r="T80" s="148"/>
      <c r="U80" s="155"/>
      <c r="V80" s="153"/>
      <c r="W80" s="153"/>
      <c r="X80" s="191"/>
      <c r="Y80" s="191"/>
      <c r="Z80" s="191"/>
      <c r="AA80" s="191"/>
      <c r="AB80" s="143">
        <f t="shared" si="18"/>
        <v>0</v>
      </c>
      <c r="AC80" s="191"/>
      <c r="AD80" s="191"/>
      <c r="AE80" s="191"/>
      <c r="AF80" s="143">
        <f t="shared" si="10"/>
        <v>0</v>
      </c>
      <c r="AG80" s="191"/>
      <c r="AH80" s="191"/>
      <c r="AI80" s="191"/>
      <c r="AJ80" s="143">
        <f t="shared" si="11"/>
        <v>0</v>
      </c>
      <c r="AK80" s="191"/>
      <c r="AL80" s="191"/>
      <c r="AM80" s="191"/>
      <c r="AN80" s="143">
        <f t="shared" si="12"/>
        <v>0</v>
      </c>
      <c r="AO80" s="191"/>
      <c r="AP80" s="191"/>
      <c r="AQ80" s="191"/>
      <c r="AR80" s="143">
        <f t="shared" si="13"/>
        <v>0</v>
      </c>
      <c r="AS80" s="191"/>
      <c r="AT80" s="191"/>
      <c r="AU80" s="191"/>
      <c r="AV80" s="143">
        <f t="shared" si="14"/>
        <v>0</v>
      </c>
      <c r="AW80" s="191"/>
      <c r="AX80" s="191"/>
      <c r="AY80" s="191"/>
      <c r="AZ80" s="143">
        <f t="shared" si="15"/>
        <v>0</v>
      </c>
      <c r="BA80" s="191"/>
      <c r="BB80" s="191"/>
      <c r="BC80" s="191"/>
      <c r="BD80" s="143">
        <f t="shared" si="16"/>
        <v>0</v>
      </c>
      <c r="BE80" s="143">
        <f t="shared" si="17"/>
        <v>0</v>
      </c>
      <c r="BF80" s="191"/>
    </row>
    <row r="81" spans="1:58" ht="27" customHeight="1">
      <c r="A81" s="157" t="s">
        <v>46</v>
      </c>
      <c r="B81" s="156"/>
      <c r="C81" s="148"/>
      <c r="D81" s="148"/>
      <c r="E81" s="149"/>
      <c r="F81" s="149"/>
      <c r="G81" s="150"/>
      <c r="H81" s="151"/>
      <c r="I81" s="152"/>
      <c r="J81" s="148"/>
      <c r="K81" s="148"/>
      <c r="L81" s="153"/>
      <c r="M81" s="154"/>
      <c r="N81" s="148"/>
      <c r="O81" s="148"/>
      <c r="P81" s="148"/>
      <c r="Q81" s="154"/>
      <c r="R81" s="148"/>
      <c r="S81" s="148"/>
      <c r="T81" s="148"/>
      <c r="U81" s="155"/>
      <c r="V81" s="153"/>
      <c r="W81" s="153"/>
      <c r="X81" s="191"/>
      <c r="Y81" s="191"/>
      <c r="Z81" s="191"/>
      <c r="AA81" s="191"/>
      <c r="AB81" s="143">
        <f t="shared" si="18"/>
        <v>0</v>
      </c>
      <c r="AC81" s="191"/>
      <c r="AD81" s="191"/>
      <c r="AE81" s="191"/>
      <c r="AF81" s="143">
        <f t="shared" si="10"/>
        <v>0</v>
      </c>
      <c r="AG81" s="191"/>
      <c r="AH81" s="191"/>
      <c r="AI81" s="191"/>
      <c r="AJ81" s="143">
        <f t="shared" si="11"/>
        <v>0</v>
      </c>
      <c r="AK81" s="191"/>
      <c r="AL81" s="191"/>
      <c r="AM81" s="191"/>
      <c r="AN81" s="143">
        <f t="shared" si="12"/>
        <v>0</v>
      </c>
      <c r="AO81" s="191"/>
      <c r="AP81" s="191"/>
      <c r="AQ81" s="191"/>
      <c r="AR81" s="143">
        <f t="shared" si="13"/>
        <v>0</v>
      </c>
      <c r="AS81" s="191"/>
      <c r="AT81" s="191"/>
      <c r="AU81" s="191"/>
      <c r="AV81" s="143">
        <f t="shared" si="14"/>
        <v>0</v>
      </c>
      <c r="AW81" s="191"/>
      <c r="AX81" s="191"/>
      <c r="AY81" s="191"/>
      <c r="AZ81" s="143">
        <f t="shared" si="15"/>
        <v>0</v>
      </c>
      <c r="BA81" s="191"/>
      <c r="BB81" s="191"/>
      <c r="BC81" s="191"/>
      <c r="BD81" s="143">
        <f t="shared" si="16"/>
        <v>0</v>
      </c>
      <c r="BE81" s="143">
        <f t="shared" si="17"/>
        <v>0</v>
      </c>
      <c r="BF81" s="191"/>
    </row>
    <row r="82" spans="1:58" ht="27" customHeight="1">
      <c r="A82" s="157" t="s">
        <v>46</v>
      </c>
      <c r="B82" s="156"/>
      <c r="C82" s="148"/>
      <c r="D82" s="148"/>
      <c r="E82" s="149"/>
      <c r="F82" s="149"/>
      <c r="G82" s="150"/>
      <c r="H82" s="151"/>
      <c r="I82" s="152"/>
      <c r="J82" s="148"/>
      <c r="K82" s="148"/>
      <c r="L82" s="153"/>
      <c r="M82" s="154"/>
      <c r="N82" s="148"/>
      <c r="O82" s="148"/>
      <c r="P82" s="148"/>
      <c r="Q82" s="154"/>
      <c r="R82" s="148"/>
      <c r="S82" s="148"/>
      <c r="T82" s="148"/>
      <c r="U82" s="155"/>
      <c r="V82" s="153"/>
      <c r="W82" s="153"/>
      <c r="X82" s="191"/>
      <c r="Y82" s="191"/>
      <c r="Z82" s="191"/>
      <c r="AA82" s="191"/>
      <c r="AB82" s="143">
        <f t="shared" si="18"/>
        <v>0</v>
      </c>
      <c r="AC82" s="191"/>
      <c r="AD82" s="191"/>
      <c r="AE82" s="191"/>
      <c r="AF82" s="143">
        <f t="shared" si="10"/>
        <v>0</v>
      </c>
      <c r="AG82" s="191"/>
      <c r="AH82" s="191"/>
      <c r="AI82" s="191"/>
      <c r="AJ82" s="143">
        <f t="shared" si="11"/>
        <v>0</v>
      </c>
      <c r="AK82" s="191"/>
      <c r="AL82" s="191"/>
      <c r="AM82" s="191"/>
      <c r="AN82" s="143">
        <f t="shared" si="12"/>
        <v>0</v>
      </c>
      <c r="AO82" s="191"/>
      <c r="AP82" s="191"/>
      <c r="AQ82" s="191"/>
      <c r="AR82" s="143">
        <f t="shared" si="13"/>
        <v>0</v>
      </c>
      <c r="AS82" s="191"/>
      <c r="AT82" s="191"/>
      <c r="AU82" s="191"/>
      <c r="AV82" s="143">
        <f t="shared" si="14"/>
        <v>0</v>
      </c>
      <c r="AW82" s="191"/>
      <c r="AX82" s="191"/>
      <c r="AY82" s="191"/>
      <c r="AZ82" s="143">
        <f t="shared" si="15"/>
        <v>0</v>
      </c>
      <c r="BA82" s="191"/>
      <c r="BB82" s="191"/>
      <c r="BC82" s="191"/>
      <c r="BD82" s="143">
        <f t="shared" si="16"/>
        <v>0</v>
      </c>
      <c r="BE82" s="143">
        <f t="shared" si="17"/>
        <v>0</v>
      </c>
      <c r="BF82" s="191"/>
    </row>
    <row r="83" spans="1:58" ht="27" customHeight="1">
      <c r="A83" s="157" t="s">
        <v>46</v>
      </c>
      <c r="B83" s="156"/>
      <c r="C83" s="148"/>
      <c r="D83" s="148"/>
      <c r="E83" s="149"/>
      <c r="F83" s="149"/>
      <c r="G83" s="150"/>
      <c r="H83" s="151"/>
      <c r="I83" s="152"/>
      <c r="J83" s="148"/>
      <c r="K83" s="148"/>
      <c r="L83" s="153"/>
      <c r="M83" s="154"/>
      <c r="N83" s="148"/>
      <c r="O83" s="148"/>
      <c r="P83" s="148"/>
      <c r="Q83" s="154"/>
      <c r="R83" s="148"/>
      <c r="S83" s="148"/>
      <c r="T83" s="148"/>
      <c r="U83" s="155"/>
      <c r="V83" s="153"/>
      <c r="W83" s="153"/>
      <c r="X83" s="191"/>
      <c r="Y83" s="191"/>
      <c r="Z83" s="191"/>
      <c r="AA83" s="191"/>
      <c r="AB83" s="143">
        <f t="shared" si="18"/>
        <v>0</v>
      </c>
      <c r="AC83" s="191"/>
      <c r="AD83" s="191"/>
      <c r="AE83" s="191"/>
      <c r="AF83" s="143">
        <f t="shared" si="10"/>
        <v>0</v>
      </c>
      <c r="AG83" s="191"/>
      <c r="AH83" s="191"/>
      <c r="AI83" s="191"/>
      <c r="AJ83" s="143">
        <f t="shared" si="11"/>
        <v>0</v>
      </c>
      <c r="AK83" s="191"/>
      <c r="AL83" s="191"/>
      <c r="AM83" s="191"/>
      <c r="AN83" s="143">
        <f t="shared" si="12"/>
        <v>0</v>
      </c>
      <c r="AO83" s="191"/>
      <c r="AP83" s="191"/>
      <c r="AQ83" s="191"/>
      <c r="AR83" s="143">
        <f t="shared" si="13"/>
        <v>0</v>
      </c>
      <c r="AS83" s="191"/>
      <c r="AT83" s="191"/>
      <c r="AU83" s="191"/>
      <c r="AV83" s="143">
        <f t="shared" si="14"/>
        <v>0</v>
      </c>
      <c r="AW83" s="191"/>
      <c r="AX83" s="191"/>
      <c r="AY83" s="191"/>
      <c r="AZ83" s="143">
        <f t="shared" si="15"/>
        <v>0</v>
      </c>
      <c r="BA83" s="191"/>
      <c r="BB83" s="191"/>
      <c r="BC83" s="191"/>
      <c r="BD83" s="143">
        <f t="shared" si="16"/>
        <v>0</v>
      </c>
      <c r="BE83" s="143">
        <f t="shared" si="17"/>
        <v>0</v>
      </c>
      <c r="BF83" s="191"/>
    </row>
    <row r="84" spans="1:58" ht="27" customHeight="1">
      <c r="A84" s="157" t="s">
        <v>46</v>
      </c>
      <c r="B84" s="156"/>
      <c r="C84" s="148"/>
      <c r="D84" s="148"/>
      <c r="E84" s="149"/>
      <c r="F84" s="149"/>
      <c r="G84" s="150"/>
      <c r="H84" s="151"/>
      <c r="I84" s="152"/>
      <c r="J84" s="148"/>
      <c r="K84" s="148"/>
      <c r="L84" s="153"/>
      <c r="M84" s="154"/>
      <c r="N84" s="148"/>
      <c r="O84" s="148"/>
      <c r="P84" s="148"/>
      <c r="Q84" s="154"/>
      <c r="R84" s="148"/>
      <c r="S84" s="148"/>
      <c r="T84" s="148"/>
      <c r="U84" s="155"/>
      <c r="V84" s="153"/>
      <c r="W84" s="153"/>
      <c r="X84" s="191"/>
      <c r="Y84" s="191"/>
      <c r="Z84" s="191"/>
      <c r="AA84" s="191"/>
      <c r="AB84" s="143">
        <f t="shared" si="18"/>
        <v>0</v>
      </c>
      <c r="AC84" s="191"/>
      <c r="AD84" s="191"/>
      <c r="AE84" s="191"/>
      <c r="AF84" s="143">
        <f t="shared" si="10"/>
        <v>0</v>
      </c>
      <c r="AG84" s="191"/>
      <c r="AH84" s="191"/>
      <c r="AI84" s="191"/>
      <c r="AJ84" s="143">
        <f t="shared" si="11"/>
        <v>0</v>
      </c>
      <c r="AK84" s="191"/>
      <c r="AL84" s="191"/>
      <c r="AM84" s="191"/>
      <c r="AN84" s="143">
        <f t="shared" si="12"/>
        <v>0</v>
      </c>
      <c r="AO84" s="191"/>
      <c r="AP84" s="191"/>
      <c r="AQ84" s="191"/>
      <c r="AR84" s="143">
        <f t="shared" si="13"/>
        <v>0</v>
      </c>
      <c r="AS84" s="191"/>
      <c r="AT84" s="191"/>
      <c r="AU84" s="191"/>
      <c r="AV84" s="143">
        <f t="shared" si="14"/>
        <v>0</v>
      </c>
      <c r="AW84" s="191"/>
      <c r="AX84" s="191"/>
      <c r="AY84" s="191"/>
      <c r="AZ84" s="143">
        <f t="shared" si="15"/>
        <v>0</v>
      </c>
      <c r="BA84" s="191"/>
      <c r="BB84" s="191"/>
      <c r="BC84" s="191"/>
      <c r="BD84" s="143">
        <f t="shared" si="16"/>
        <v>0</v>
      </c>
      <c r="BE84" s="143">
        <f t="shared" si="17"/>
        <v>0</v>
      </c>
      <c r="BF84" s="191"/>
    </row>
    <row r="85" spans="1:58" ht="27" customHeight="1">
      <c r="A85" s="157" t="s">
        <v>46</v>
      </c>
      <c r="B85" s="156"/>
      <c r="C85" s="148"/>
      <c r="D85" s="148"/>
      <c r="E85" s="149"/>
      <c r="F85" s="149"/>
      <c r="G85" s="150"/>
      <c r="H85" s="151"/>
      <c r="I85" s="152"/>
      <c r="J85" s="148"/>
      <c r="K85" s="148"/>
      <c r="L85" s="153"/>
      <c r="M85" s="154"/>
      <c r="N85" s="148"/>
      <c r="O85" s="148"/>
      <c r="P85" s="148"/>
      <c r="Q85" s="154"/>
      <c r="R85" s="148"/>
      <c r="S85" s="148"/>
      <c r="T85" s="148"/>
      <c r="U85" s="155"/>
      <c r="V85" s="153"/>
      <c r="W85" s="153"/>
      <c r="X85" s="191"/>
      <c r="Y85" s="191"/>
      <c r="Z85" s="191"/>
      <c r="AA85" s="191"/>
      <c r="AB85" s="143">
        <f t="shared" si="18"/>
        <v>0</v>
      </c>
      <c r="AC85" s="191"/>
      <c r="AD85" s="191"/>
      <c r="AE85" s="191"/>
      <c r="AF85" s="143">
        <f t="shared" si="10"/>
        <v>0</v>
      </c>
      <c r="AG85" s="191"/>
      <c r="AH85" s="191"/>
      <c r="AI85" s="191"/>
      <c r="AJ85" s="143">
        <f t="shared" si="11"/>
        <v>0</v>
      </c>
      <c r="AK85" s="191"/>
      <c r="AL85" s="191"/>
      <c r="AM85" s="191"/>
      <c r="AN85" s="143">
        <f t="shared" si="12"/>
        <v>0</v>
      </c>
      <c r="AO85" s="191"/>
      <c r="AP85" s="191"/>
      <c r="AQ85" s="191"/>
      <c r="AR85" s="143">
        <f t="shared" si="13"/>
        <v>0</v>
      </c>
      <c r="AS85" s="191"/>
      <c r="AT85" s="191"/>
      <c r="AU85" s="191"/>
      <c r="AV85" s="143">
        <f t="shared" si="14"/>
        <v>0</v>
      </c>
      <c r="AW85" s="191"/>
      <c r="AX85" s="191"/>
      <c r="AY85" s="191"/>
      <c r="AZ85" s="143">
        <f t="shared" si="15"/>
        <v>0</v>
      </c>
      <c r="BA85" s="191"/>
      <c r="BB85" s="191"/>
      <c r="BC85" s="191"/>
      <c r="BD85" s="143">
        <f t="shared" si="16"/>
        <v>0</v>
      </c>
      <c r="BE85" s="143">
        <f t="shared" si="17"/>
        <v>0</v>
      </c>
      <c r="BF85" s="191"/>
    </row>
    <row r="86" spans="1:58" ht="27" customHeight="1">
      <c r="A86" s="157" t="s">
        <v>46</v>
      </c>
      <c r="B86" s="156"/>
      <c r="C86" s="148"/>
      <c r="D86" s="148"/>
      <c r="E86" s="149"/>
      <c r="F86" s="149"/>
      <c r="G86" s="150"/>
      <c r="H86" s="151"/>
      <c r="I86" s="152"/>
      <c r="J86" s="148"/>
      <c r="K86" s="148"/>
      <c r="L86" s="153"/>
      <c r="M86" s="154"/>
      <c r="N86" s="148"/>
      <c r="O86" s="148"/>
      <c r="P86" s="148"/>
      <c r="Q86" s="154"/>
      <c r="R86" s="148"/>
      <c r="S86" s="148"/>
      <c r="T86" s="148"/>
      <c r="U86" s="155"/>
      <c r="V86" s="153"/>
      <c r="W86" s="153"/>
      <c r="X86" s="191"/>
      <c r="Y86" s="191"/>
      <c r="Z86" s="191"/>
      <c r="AA86" s="191"/>
      <c r="AB86" s="143">
        <f t="shared" si="18"/>
        <v>0</v>
      </c>
      <c r="AC86" s="191"/>
      <c r="AD86" s="191"/>
      <c r="AE86" s="191"/>
      <c r="AF86" s="143">
        <f t="shared" si="10"/>
        <v>0</v>
      </c>
      <c r="AG86" s="191"/>
      <c r="AH86" s="191"/>
      <c r="AI86" s="191"/>
      <c r="AJ86" s="143">
        <f t="shared" si="11"/>
        <v>0</v>
      </c>
      <c r="AK86" s="191"/>
      <c r="AL86" s="191"/>
      <c r="AM86" s="191"/>
      <c r="AN86" s="143">
        <f t="shared" si="12"/>
        <v>0</v>
      </c>
      <c r="AO86" s="191"/>
      <c r="AP86" s="191"/>
      <c r="AQ86" s="191"/>
      <c r="AR86" s="143">
        <f t="shared" si="13"/>
        <v>0</v>
      </c>
      <c r="AS86" s="191"/>
      <c r="AT86" s="191"/>
      <c r="AU86" s="191"/>
      <c r="AV86" s="143">
        <f t="shared" si="14"/>
        <v>0</v>
      </c>
      <c r="AW86" s="191"/>
      <c r="AX86" s="191"/>
      <c r="AY86" s="191"/>
      <c r="AZ86" s="143">
        <f t="shared" si="15"/>
        <v>0</v>
      </c>
      <c r="BA86" s="191"/>
      <c r="BB86" s="191"/>
      <c r="BC86" s="191"/>
      <c r="BD86" s="143">
        <f t="shared" si="16"/>
        <v>0</v>
      </c>
      <c r="BE86" s="143">
        <f t="shared" si="17"/>
        <v>0</v>
      </c>
      <c r="BF86" s="191"/>
    </row>
    <row r="87" spans="1:58" ht="27" customHeight="1">
      <c r="A87" s="157" t="s">
        <v>46</v>
      </c>
      <c r="B87" s="156"/>
      <c r="C87" s="148"/>
      <c r="D87" s="148"/>
      <c r="E87" s="149"/>
      <c r="F87" s="149"/>
      <c r="G87" s="150"/>
      <c r="H87" s="151"/>
      <c r="I87" s="152"/>
      <c r="J87" s="148"/>
      <c r="K87" s="148"/>
      <c r="L87" s="153"/>
      <c r="M87" s="154"/>
      <c r="N87" s="148"/>
      <c r="O87" s="148"/>
      <c r="P87" s="148"/>
      <c r="Q87" s="154"/>
      <c r="R87" s="148"/>
      <c r="S87" s="148"/>
      <c r="T87" s="148"/>
      <c r="U87" s="155"/>
      <c r="V87" s="153"/>
      <c r="W87" s="153"/>
      <c r="X87" s="191"/>
      <c r="Y87" s="191"/>
      <c r="Z87" s="191"/>
      <c r="AA87" s="191"/>
      <c r="AB87" s="143">
        <f t="shared" si="18"/>
        <v>0</v>
      </c>
      <c r="AC87" s="191"/>
      <c r="AD87" s="191"/>
      <c r="AE87" s="191"/>
      <c r="AF87" s="143">
        <f t="shared" si="10"/>
        <v>0</v>
      </c>
      <c r="AG87" s="191"/>
      <c r="AH87" s="191"/>
      <c r="AI87" s="191"/>
      <c r="AJ87" s="143">
        <f t="shared" si="11"/>
        <v>0</v>
      </c>
      <c r="AK87" s="191"/>
      <c r="AL87" s="191"/>
      <c r="AM87" s="191"/>
      <c r="AN87" s="143">
        <f t="shared" si="12"/>
        <v>0</v>
      </c>
      <c r="AO87" s="191"/>
      <c r="AP87" s="191"/>
      <c r="AQ87" s="191"/>
      <c r="AR87" s="143">
        <f t="shared" si="13"/>
        <v>0</v>
      </c>
      <c r="AS87" s="191"/>
      <c r="AT87" s="191"/>
      <c r="AU87" s="191"/>
      <c r="AV87" s="143">
        <f t="shared" si="14"/>
        <v>0</v>
      </c>
      <c r="AW87" s="191"/>
      <c r="AX87" s="191"/>
      <c r="AY87" s="191"/>
      <c r="AZ87" s="143">
        <f t="shared" si="15"/>
        <v>0</v>
      </c>
      <c r="BA87" s="191"/>
      <c r="BB87" s="191"/>
      <c r="BC87" s="191"/>
      <c r="BD87" s="143">
        <f t="shared" si="16"/>
        <v>0</v>
      </c>
      <c r="BE87" s="143">
        <f t="shared" si="17"/>
        <v>0</v>
      </c>
      <c r="BF87" s="191"/>
    </row>
    <row r="88" spans="1:58" ht="27" customHeight="1">
      <c r="A88" s="157" t="s">
        <v>46</v>
      </c>
      <c r="B88" s="156"/>
      <c r="C88" s="148"/>
      <c r="D88" s="148"/>
      <c r="E88" s="149"/>
      <c r="F88" s="149"/>
      <c r="G88" s="150"/>
      <c r="H88" s="151"/>
      <c r="I88" s="152"/>
      <c r="J88" s="148"/>
      <c r="K88" s="148"/>
      <c r="L88" s="153"/>
      <c r="M88" s="154"/>
      <c r="N88" s="148"/>
      <c r="O88" s="148"/>
      <c r="P88" s="148"/>
      <c r="Q88" s="154"/>
      <c r="R88" s="148"/>
      <c r="S88" s="148"/>
      <c r="T88" s="148"/>
      <c r="U88" s="155"/>
      <c r="V88" s="153"/>
      <c r="W88" s="153"/>
      <c r="X88" s="191"/>
      <c r="Y88" s="191"/>
      <c r="Z88" s="191"/>
      <c r="AA88" s="191"/>
      <c r="AB88" s="143">
        <f t="shared" si="18"/>
        <v>0</v>
      </c>
      <c r="AC88" s="191"/>
      <c r="AD88" s="191"/>
      <c r="AE88" s="191"/>
      <c r="AF88" s="143">
        <f t="shared" si="10"/>
        <v>0</v>
      </c>
      <c r="AG88" s="191"/>
      <c r="AH88" s="191"/>
      <c r="AI88" s="191"/>
      <c r="AJ88" s="143">
        <f t="shared" si="11"/>
        <v>0</v>
      </c>
      <c r="AK88" s="191"/>
      <c r="AL88" s="191"/>
      <c r="AM88" s="191"/>
      <c r="AN88" s="143">
        <f t="shared" si="12"/>
        <v>0</v>
      </c>
      <c r="AO88" s="191"/>
      <c r="AP88" s="191"/>
      <c r="AQ88" s="191"/>
      <c r="AR88" s="143">
        <f t="shared" si="13"/>
        <v>0</v>
      </c>
      <c r="AS88" s="191"/>
      <c r="AT88" s="191"/>
      <c r="AU88" s="191"/>
      <c r="AV88" s="143">
        <f t="shared" si="14"/>
        <v>0</v>
      </c>
      <c r="AW88" s="191"/>
      <c r="AX88" s="191"/>
      <c r="AY88" s="191"/>
      <c r="AZ88" s="143">
        <f t="shared" si="15"/>
        <v>0</v>
      </c>
      <c r="BA88" s="191"/>
      <c r="BB88" s="191"/>
      <c r="BC88" s="191"/>
      <c r="BD88" s="143">
        <f t="shared" si="16"/>
        <v>0</v>
      </c>
      <c r="BE88" s="143">
        <f t="shared" si="17"/>
        <v>0</v>
      </c>
      <c r="BF88" s="191"/>
    </row>
    <row r="89" spans="1:58" ht="27" customHeight="1">
      <c r="A89" s="157" t="s">
        <v>46</v>
      </c>
      <c r="B89" s="156"/>
      <c r="C89" s="148"/>
      <c r="D89" s="148"/>
      <c r="E89" s="149"/>
      <c r="F89" s="149"/>
      <c r="G89" s="150"/>
      <c r="H89" s="151"/>
      <c r="I89" s="152"/>
      <c r="J89" s="148"/>
      <c r="K89" s="148"/>
      <c r="L89" s="153"/>
      <c r="M89" s="154"/>
      <c r="N89" s="148"/>
      <c r="O89" s="148"/>
      <c r="P89" s="148"/>
      <c r="Q89" s="154"/>
      <c r="R89" s="148"/>
      <c r="S89" s="148"/>
      <c r="T89" s="148"/>
      <c r="U89" s="155"/>
      <c r="V89" s="153"/>
      <c r="W89" s="153"/>
      <c r="X89" s="191"/>
      <c r="Y89" s="191"/>
      <c r="Z89" s="191"/>
      <c r="AA89" s="191"/>
      <c r="AB89" s="143">
        <f t="shared" si="18"/>
        <v>0</v>
      </c>
      <c r="AC89" s="191"/>
      <c r="AD89" s="191"/>
      <c r="AE89" s="191"/>
      <c r="AF89" s="143">
        <f t="shared" si="10"/>
        <v>0</v>
      </c>
      <c r="AG89" s="191"/>
      <c r="AH89" s="191"/>
      <c r="AI89" s="191"/>
      <c r="AJ89" s="143">
        <f t="shared" si="11"/>
        <v>0</v>
      </c>
      <c r="AK89" s="191"/>
      <c r="AL89" s="191"/>
      <c r="AM89" s="191"/>
      <c r="AN89" s="143">
        <f t="shared" si="12"/>
        <v>0</v>
      </c>
      <c r="AO89" s="191"/>
      <c r="AP89" s="191"/>
      <c r="AQ89" s="191"/>
      <c r="AR89" s="143">
        <f t="shared" si="13"/>
        <v>0</v>
      </c>
      <c r="AS89" s="191"/>
      <c r="AT89" s="191"/>
      <c r="AU89" s="191"/>
      <c r="AV89" s="143">
        <f t="shared" si="14"/>
        <v>0</v>
      </c>
      <c r="AW89" s="191"/>
      <c r="AX89" s="191"/>
      <c r="AY89" s="191"/>
      <c r="AZ89" s="143">
        <f t="shared" si="15"/>
        <v>0</v>
      </c>
      <c r="BA89" s="191"/>
      <c r="BB89" s="191"/>
      <c r="BC89" s="191"/>
      <c r="BD89" s="143">
        <f t="shared" si="16"/>
        <v>0</v>
      </c>
      <c r="BE89" s="143">
        <f t="shared" si="17"/>
        <v>0</v>
      </c>
      <c r="BF89" s="191"/>
    </row>
    <row r="90" spans="1:58" ht="27" customHeight="1">
      <c r="A90" s="157" t="s">
        <v>46</v>
      </c>
      <c r="B90" s="156"/>
      <c r="C90" s="148"/>
      <c r="D90" s="148"/>
      <c r="E90" s="149"/>
      <c r="F90" s="149"/>
      <c r="G90" s="150"/>
      <c r="H90" s="151"/>
      <c r="I90" s="152"/>
      <c r="J90" s="148"/>
      <c r="K90" s="148"/>
      <c r="L90" s="153"/>
      <c r="M90" s="154"/>
      <c r="N90" s="148"/>
      <c r="O90" s="148"/>
      <c r="P90" s="148"/>
      <c r="Q90" s="154"/>
      <c r="R90" s="148"/>
      <c r="S90" s="148"/>
      <c r="T90" s="148"/>
      <c r="U90" s="155"/>
      <c r="V90" s="153"/>
      <c r="W90" s="153"/>
      <c r="X90" s="191"/>
      <c r="Y90" s="191"/>
      <c r="Z90" s="191"/>
      <c r="AA90" s="191"/>
      <c r="AB90" s="143">
        <f t="shared" si="18"/>
        <v>0</v>
      </c>
      <c r="AC90" s="191"/>
      <c r="AD90" s="191"/>
      <c r="AE90" s="191"/>
      <c r="AF90" s="143">
        <f t="shared" si="10"/>
        <v>0</v>
      </c>
      <c r="AG90" s="191"/>
      <c r="AH90" s="191"/>
      <c r="AI90" s="191"/>
      <c r="AJ90" s="143">
        <f t="shared" si="11"/>
        <v>0</v>
      </c>
      <c r="AK90" s="191"/>
      <c r="AL90" s="191"/>
      <c r="AM90" s="191"/>
      <c r="AN90" s="143">
        <f t="shared" si="12"/>
        <v>0</v>
      </c>
      <c r="AO90" s="191"/>
      <c r="AP90" s="191"/>
      <c r="AQ90" s="191"/>
      <c r="AR90" s="143">
        <f t="shared" si="13"/>
        <v>0</v>
      </c>
      <c r="AS90" s="191"/>
      <c r="AT90" s="191"/>
      <c r="AU90" s="191"/>
      <c r="AV90" s="143">
        <f t="shared" si="14"/>
        <v>0</v>
      </c>
      <c r="AW90" s="191"/>
      <c r="AX90" s="191"/>
      <c r="AY90" s="191"/>
      <c r="AZ90" s="143">
        <f t="shared" si="15"/>
        <v>0</v>
      </c>
      <c r="BA90" s="191"/>
      <c r="BB90" s="191"/>
      <c r="BC90" s="191"/>
      <c r="BD90" s="143">
        <f t="shared" si="16"/>
        <v>0</v>
      </c>
      <c r="BE90" s="143">
        <f t="shared" si="17"/>
        <v>0</v>
      </c>
      <c r="BF90" s="191"/>
    </row>
    <row r="91" spans="1:58" ht="27" customHeight="1">
      <c r="A91" s="157" t="s">
        <v>46</v>
      </c>
      <c r="B91" s="156"/>
      <c r="C91" s="148"/>
      <c r="D91" s="148"/>
      <c r="E91" s="149"/>
      <c r="F91" s="149"/>
      <c r="G91" s="150"/>
      <c r="H91" s="151"/>
      <c r="I91" s="152"/>
      <c r="J91" s="148"/>
      <c r="K91" s="148"/>
      <c r="L91" s="153"/>
      <c r="M91" s="154"/>
      <c r="N91" s="148"/>
      <c r="O91" s="148"/>
      <c r="P91" s="148"/>
      <c r="Q91" s="154"/>
      <c r="R91" s="148"/>
      <c r="S91" s="148"/>
      <c r="T91" s="148"/>
      <c r="U91" s="155"/>
      <c r="V91" s="153"/>
      <c r="W91" s="153"/>
      <c r="X91" s="191"/>
      <c r="Y91" s="191"/>
      <c r="Z91" s="191"/>
      <c r="AA91" s="191"/>
      <c r="AB91" s="143">
        <f t="shared" si="18"/>
        <v>0</v>
      </c>
      <c r="AC91" s="191"/>
      <c r="AD91" s="191"/>
      <c r="AE91" s="191"/>
      <c r="AF91" s="143">
        <f t="shared" si="10"/>
        <v>0</v>
      </c>
      <c r="AG91" s="191"/>
      <c r="AH91" s="191"/>
      <c r="AI91" s="191"/>
      <c r="AJ91" s="143">
        <f t="shared" si="11"/>
        <v>0</v>
      </c>
      <c r="AK91" s="191"/>
      <c r="AL91" s="191"/>
      <c r="AM91" s="191"/>
      <c r="AN91" s="143">
        <f t="shared" si="12"/>
        <v>0</v>
      </c>
      <c r="AO91" s="191"/>
      <c r="AP91" s="191"/>
      <c r="AQ91" s="191"/>
      <c r="AR91" s="143">
        <f t="shared" si="13"/>
        <v>0</v>
      </c>
      <c r="AS91" s="191"/>
      <c r="AT91" s="191"/>
      <c r="AU91" s="191"/>
      <c r="AV91" s="143">
        <f t="shared" si="14"/>
        <v>0</v>
      </c>
      <c r="AW91" s="191"/>
      <c r="AX91" s="191"/>
      <c r="AY91" s="191"/>
      <c r="AZ91" s="143">
        <f t="shared" si="15"/>
        <v>0</v>
      </c>
      <c r="BA91" s="191"/>
      <c r="BB91" s="191"/>
      <c r="BC91" s="191"/>
      <c r="BD91" s="143">
        <f t="shared" si="16"/>
        <v>0</v>
      </c>
      <c r="BE91" s="143">
        <f t="shared" si="17"/>
        <v>0</v>
      </c>
      <c r="BF91" s="191"/>
    </row>
    <row r="92" spans="1:58" ht="27" customHeight="1">
      <c r="A92" s="157" t="s">
        <v>46</v>
      </c>
      <c r="B92" s="156"/>
      <c r="C92" s="148"/>
      <c r="D92" s="148"/>
      <c r="E92" s="149"/>
      <c r="F92" s="149"/>
      <c r="G92" s="150"/>
      <c r="H92" s="151"/>
      <c r="I92" s="152"/>
      <c r="J92" s="148"/>
      <c r="K92" s="148"/>
      <c r="L92" s="153"/>
      <c r="M92" s="154"/>
      <c r="N92" s="148"/>
      <c r="O92" s="148"/>
      <c r="P92" s="148"/>
      <c r="Q92" s="154"/>
      <c r="R92" s="148"/>
      <c r="S92" s="148"/>
      <c r="T92" s="148"/>
      <c r="U92" s="155"/>
      <c r="V92" s="153"/>
      <c r="W92" s="153"/>
      <c r="X92" s="191"/>
      <c r="Y92" s="191"/>
      <c r="Z92" s="191"/>
      <c r="AA92" s="191"/>
      <c r="AB92" s="143">
        <f t="shared" si="18"/>
        <v>0</v>
      </c>
      <c r="AC92" s="191"/>
      <c r="AD92" s="191"/>
      <c r="AE92" s="191"/>
      <c r="AF92" s="143">
        <f t="shared" si="10"/>
        <v>0</v>
      </c>
      <c r="AG92" s="191"/>
      <c r="AH92" s="191"/>
      <c r="AI92" s="191"/>
      <c r="AJ92" s="143">
        <f t="shared" si="11"/>
        <v>0</v>
      </c>
      <c r="AK92" s="191"/>
      <c r="AL92" s="191"/>
      <c r="AM92" s="191"/>
      <c r="AN92" s="143">
        <f t="shared" si="12"/>
        <v>0</v>
      </c>
      <c r="AO92" s="191"/>
      <c r="AP92" s="191"/>
      <c r="AQ92" s="191"/>
      <c r="AR92" s="143">
        <f t="shared" si="13"/>
        <v>0</v>
      </c>
      <c r="AS92" s="191"/>
      <c r="AT92" s="191"/>
      <c r="AU92" s="191"/>
      <c r="AV92" s="143">
        <f t="shared" si="14"/>
        <v>0</v>
      </c>
      <c r="AW92" s="191"/>
      <c r="AX92" s="191"/>
      <c r="AY92" s="191"/>
      <c r="AZ92" s="143">
        <f t="shared" si="15"/>
        <v>0</v>
      </c>
      <c r="BA92" s="191"/>
      <c r="BB92" s="191"/>
      <c r="BC92" s="191"/>
      <c r="BD92" s="143">
        <f t="shared" si="16"/>
        <v>0</v>
      </c>
      <c r="BE92" s="143">
        <f t="shared" si="17"/>
        <v>0</v>
      </c>
      <c r="BF92" s="191"/>
    </row>
    <row r="93" spans="1:58" ht="27" customHeight="1">
      <c r="A93" s="157" t="s">
        <v>46</v>
      </c>
      <c r="B93" s="156"/>
      <c r="C93" s="148"/>
      <c r="D93" s="148"/>
      <c r="E93" s="149"/>
      <c r="F93" s="149"/>
      <c r="G93" s="150"/>
      <c r="H93" s="151"/>
      <c r="I93" s="152"/>
      <c r="J93" s="148"/>
      <c r="K93" s="148"/>
      <c r="L93" s="153"/>
      <c r="M93" s="154"/>
      <c r="N93" s="148"/>
      <c r="O93" s="148"/>
      <c r="P93" s="148"/>
      <c r="Q93" s="154"/>
      <c r="R93" s="148"/>
      <c r="S93" s="148"/>
      <c r="T93" s="148"/>
      <c r="U93" s="155"/>
      <c r="V93" s="153"/>
      <c r="W93" s="153"/>
      <c r="X93" s="191"/>
      <c r="Y93" s="191"/>
      <c r="Z93" s="191"/>
      <c r="AA93" s="191"/>
      <c r="AB93" s="143">
        <f t="shared" si="18"/>
        <v>0</v>
      </c>
      <c r="AC93" s="191"/>
      <c r="AD93" s="191"/>
      <c r="AE93" s="191"/>
      <c r="AF93" s="143">
        <f t="shared" si="10"/>
        <v>0</v>
      </c>
      <c r="AG93" s="191"/>
      <c r="AH93" s="191"/>
      <c r="AI93" s="191"/>
      <c r="AJ93" s="143">
        <f t="shared" si="11"/>
        <v>0</v>
      </c>
      <c r="AK93" s="191"/>
      <c r="AL93" s="191"/>
      <c r="AM93" s="191"/>
      <c r="AN93" s="143">
        <f t="shared" si="12"/>
        <v>0</v>
      </c>
      <c r="AO93" s="191"/>
      <c r="AP93" s="191"/>
      <c r="AQ93" s="191"/>
      <c r="AR93" s="143">
        <f t="shared" si="13"/>
        <v>0</v>
      </c>
      <c r="AS93" s="191"/>
      <c r="AT93" s="191"/>
      <c r="AU93" s="191"/>
      <c r="AV93" s="143">
        <f t="shared" si="14"/>
        <v>0</v>
      </c>
      <c r="AW93" s="191"/>
      <c r="AX93" s="191"/>
      <c r="AY93" s="191"/>
      <c r="AZ93" s="143">
        <f t="shared" si="15"/>
        <v>0</v>
      </c>
      <c r="BA93" s="191"/>
      <c r="BB93" s="191"/>
      <c r="BC93" s="191"/>
      <c r="BD93" s="143">
        <f t="shared" si="16"/>
        <v>0</v>
      </c>
      <c r="BE93" s="143">
        <f t="shared" si="17"/>
        <v>0</v>
      </c>
      <c r="BF93" s="191"/>
    </row>
    <row r="94" spans="1:58" ht="27" customHeight="1">
      <c r="A94" s="157" t="s">
        <v>46</v>
      </c>
      <c r="B94" s="156"/>
      <c r="C94" s="148"/>
      <c r="D94" s="148"/>
      <c r="E94" s="149"/>
      <c r="F94" s="149"/>
      <c r="G94" s="150"/>
      <c r="H94" s="151"/>
      <c r="I94" s="152"/>
      <c r="J94" s="148"/>
      <c r="K94" s="148"/>
      <c r="L94" s="153"/>
      <c r="M94" s="154"/>
      <c r="N94" s="148"/>
      <c r="O94" s="148"/>
      <c r="P94" s="148"/>
      <c r="Q94" s="154"/>
      <c r="R94" s="148"/>
      <c r="S94" s="148"/>
      <c r="T94" s="148"/>
      <c r="U94" s="155"/>
      <c r="V94" s="153"/>
      <c r="W94" s="153"/>
      <c r="X94" s="191"/>
      <c r="Y94" s="191"/>
      <c r="Z94" s="191"/>
      <c r="AA94" s="191"/>
      <c r="AB94" s="143">
        <f t="shared" si="18"/>
        <v>0</v>
      </c>
      <c r="AC94" s="191"/>
      <c r="AD94" s="191"/>
      <c r="AE94" s="191"/>
      <c r="AF94" s="143">
        <f t="shared" si="10"/>
        <v>0</v>
      </c>
      <c r="AG94" s="191"/>
      <c r="AH94" s="191"/>
      <c r="AI94" s="191"/>
      <c r="AJ94" s="143">
        <f t="shared" si="11"/>
        <v>0</v>
      </c>
      <c r="AK94" s="191"/>
      <c r="AL94" s="191"/>
      <c r="AM94" s="191"/>
      <c r="AN94" s="143">
        <f t="shared" si="12"/>
        <v>0</v>
      </c>
      <c r="AO94" s="191"/>
      <c r="AP94" s="191"/>
      <c r="AQ94" s="191"/>
      <c r="AR94" s="143">
        <f t="shared" si="13"/>
        <v>0</v>
      </c>
      <c r="AS94" s="191"/>
      <c r="AT94" s="191"/>
      <c r="AU94" s="191"/>
      <c r="AV94" s="143">
        <f t="shared" si="14"/>
        <v>0</v>
      </c>
      <c r="AW94" s="191"/>
      <c r="AX94" s="191"/>
      <c r="AY94" s="191"/>
      <c r="AZ94" s="143">
        <f t="shared" si="15"/>
        <v>0</v>
      </c>
      <c r="BA94" s="191"/>
      <c r="BB94" s="191"/>
      <c r="BC94" s="191"/>
      <c r="BD94" s="143">
        <f t="shared" si="16"/>
        <v>0</v>
      </c>
      <c r="BE94" s="143">
        <f t="shared" si="17"/>
        <v>0</v>
      </c>
      <c r="BF94" s="191"/>
    </row>
    <row r="95" spans="1:58" ht="27" customHeight="1">
      <c r="A95" s="157" t="s">
        <v>46</v>
      </c>
      <c r="B95" s="156"/>
      <c r="C95" s="148"/>
      <c r="D95" s="148"/>
      <c r="E95" s="149"/>
      <c r="F95" s="149"/>
      <c r="G95" s="150"/>
      <c r="H95" s="151"/>
      <c r="I95" s="152"/>
      <c r="J95" s="148"/>
      <c r="K95" s="148"/>
      <c r="L95" s="153"/>
      <c r="M95" s="154"/>
      <c r="N95" s="148"/>
      <c r="O95" s="148"/>
      <c r="P95" s="148"/>
      <c r="Q95" s="154"/>
      <c r="R95" s="148"/>
      <c r="S95" s="148"/>
      <c r="T95" s="148"/>
      <c r="U95" s="155"/>
      <c r="V95" s="153"/>
      <c r="W95" s="153"/>
      <c r="X95" s="191"/>
      <c r="Y95" s="191"/>
      <c r="Z95" s="191"/>
      <c r="AA95" s="191"/>
      <c r="AB95" s="143">
        <f t="shared" si="18"/>
        <v>0</v>
      </c>
      <c r="AC95" s="191"/>
      <c r="AD95" s="191"/>
      <c r="AE95" s="191"/>
      <c r="AF95" s="143">
        <f t="shared" si="10"/>
        <v>0</v>
      </c>
      <c r="AG95" s="191"/>
      <c r="AH95" s="191"/>
      <c r="AI95" s="191"/>
      <c r="AJ95" s="143">
        <f t="shared" si="11"/>
        <v>0</v>
      </c>
      <c r="AK95" s="191"/>
      <c r="AL95" s="191"/>
      <c r="AM95" s="191"/>
      <c r="AN95" s="143">
        <f t="shared" si="12"/>
        <v>0</v>
      </c>
      <c r="AO95" s="191"/>
      <c r="AP95" s="191"/>
      <c r="AQ95" s="191"/>
      <c r="AR95" s="143">
        <f t="shared" si="13"/>
        <v>0</v>
      </c>
      <c r="AS95" s="191"/>
      <c r="AT95" s="191"/>
      <c r="AU95" s="191"/>
      <c r="AV95" s="143">
        <f t="shared" si="14"/>
        <v>0</v>
      </c>
      <c r="AW95" s="191"/>
      <c r="AX95" s="191"/>
      <c r="AY95" s="191"/>
      <c r="AZ95" s="143">
        <f t="shared" si="15"/>
        <v>0</v>
      </c>
      <c r="BA95" s="191"/>
      <c r="BB95" s="191"/>
      <c r="BC95" s="191"/>
      <c r="BD95" s="143">
        <f t="shared" si="16"/>
        <v>0</v>
      </c>
      <c r="BE95" s="143">
        <f t="shared" si="17"/>
        <v>0</v>
      </c>
      <c r="BF95" s="191"/>
    </row>
    <row r="96" spans="1:58" ht="27" customHeight="1">
      <c r="A96" s="157" t="s">
        <v>46</v>
      </c>
      <c r="B96" s="156"/>
      <c r="C96" s="148"/>
      <c r="D96" s="148"/>
      <c r="E96" s="153"/>
      <c r="F96" s="149"/>
      <c r="G96" s="150"/>
      <c r="H96" s="151"/>
      <c r="I96" s="152"/>
      <c r="J96" s="148"/>
      <c r="K96" s="148"/>
      <c r="L96" s="153"/>
      <c r="M96" s="154"/>
      <c r="N96" s="148"/>
      <c r="O96" s="148"/>
      <c r="P96" s="148"/>
      <c r="Q96" s="154"/>
      <c r="R96" s="148"/>
      <c r="S96" s="148"/>
      <c r="T96" s="148"/>
      <c r="U96" s="155"/>
      <c r="V96" s="153"/>
      <c r="W96" s="153"/>
      <c r="X96" s="191"/>
      <c r="Y96" s="191"/>
      <c r="Z96" s="191"/>
      <c r="AA96" s="191"/>
      <c r="AB96" s="143">
        <f t="shared" si="18"/>
        <v>0</v>
      </c>
      <c r="AC96" s="191"/>
      <c r="AD96" s="191"/>
      <c r="AE96" s="191"/>
      <c r="AF96" s="143">
        <f t="shared" si="10"/>
        <v>0</v>
      </c>
      <c r="AG96" s="191"/>
      <c r="AH96" s="191"/>
      <c r="AI96" s="191"/>
      <c r="AJ96" s="143">
        <f t="shared" si="11"/>
        <v>0</v>
      </c>
      <c r="AK96" s="191"/>
      <c r="AL96" s="191"/>
      <c r="AM96" s="191"/>
      <c r="AN96" s="143">
        <f t="shared" si="12"/>
        <v>0</v>
      </c>
      <c r="AO96" s="191"/>
      <c r="AP96" s="191"/>
      <c r="AQ96" s="191"/>
      <c r="AR96" s="143">
        <f t="shared" si="13"/>
        <v>0</v>
      </c>
      <c r="AS96" s="191"/>
      <c r="AT96" s="191"/>
      <c r="AU96" s="191"/>
      <c r="AV96" s="143">
        <f t="shared" si="14"/>
        <v>0</v>
      </c>
      <c r="AW96" s="191"/>
      <c r="AX96" s="191"/>
      <c r="AY96" s="191"/>
      <c r="AZ96" s="143">
        <f t="shared" si="15"/>
        <v>0</v>
      </c>
      <c r="BA96" s="191"/>
      <c r="BB96" s="191"/>
      <c r="BC96" s="191"/>
      <c r="BD96" s="143">
        <f t="shared" si="16"/>
        <v>0</v>
      </c>
      <c r="BE96" s="143">
        <f t="shared" si="17"/>
        <v>0</v>
      </c>
      <c r="BF96" s="191"/>
    </row>
    <row r="97" spans="1:58" ht="27" customHeight="1">
      <c r="A97" s="157" t="s">
        <v>46</v>
      </c>
      <c r="B97" s="156"/>
      <c r="C97" s="148"/>
      <c r="D97" s="148"/>
      <c r="E97" s="149"/>
      <c r="F97" s="149"/>
      <c r="G97" s="150"/>
      <c r="H97" s="151"/>
      <c r="I97" s="152"/>
      <c r="J97" s="148"/>
      <c r="K97" s="148"/>
      <c r="L97" s="153"/>
      <c r="M97" s="154"/>
      <c r="N97" s="148"/>
      <c r="O97" s="148"/>
      <c r="P97" s="148"/>
      <c r="Q97" s="154"/>
      <c r="R97" s="148"/>
      <c r="S97" s="148"/>
      <c r="T97" s="148"/>
      <c r="U97" s="155"/>
      <c r="V97" s="153"/>
      <c r="W97" s="153"/>
      <c r="X97" s="191"/>
      <c r="Y97" s="191"/>
      <c r="Z97" s="191"/>
      <c r="AA97" s="191"/>
      <c r="AB97" s="143">
        <f t="shared" si="18"/>
        <v>0</v>
      </c>
      <c r="AC97" s="191"/>
      <c r="AD97" s="191"/>
      <c r="AE97" s="191"/>
      <c r="AF97" s="143">
        <f t="shared" si="10"/>
        <v>0</v>
      </c>
      <c r="AG97" s="191"/>
      <c r="AH97" s="191"/>
      <c r="AI97" s="191"/>
      <c r="AJ97" s="143">
        <f t="shared" si="11"/>
        <v>0</v>
      </c>
      <c r="AK97" s="191"/>
      <c r="AL97" s="191"/>
      <c r="AM97" s="191"/>
      <c r="AN97" s="143">
        <f t="shared" si="12"/>
        <v>0</v>
      </c>
      <c r="AO97" s="191"/>
      <c r="AP97" s="191"/>
      <c r="AQ97" s="191"/>
      <c r="AR97" s="143">
        <f t="shared" si="13"/>
        <v>0</v>
      </c>
      <c r="AS97" s="191"/>
      <c r="AT97" s="191"/>
      <c r="AU97" s="191"/>
      <c r="AV97" s="143">
        <f t="shared" si="14"/>
        <v>0</v>
      </c>
      <c r="AW97" s="191"/>
      <c r="AX97" s="191"/>
      <c r="AY97" s="191"/>
      <c r="AZ97" s="143">
        <f t="shared" si="15"/>
        <v>0</v>
      </c>
      <c r="BA97" s="191"/>
      <c r="BB97" s="191"/>
      <c r="BC97" s="191"/>
      <c r="BD97" s="143">
        <f t="shared" si="16"/>
        <v>0</v>
      </c>
      <c r="BE97" s="143">
        <f t="shared" si="17"/>
        <v>0</v>
      </c>
      <c r="BF97" s="191"/>
    </row>
    <row r="98" spans="1:58" ht="27" customHeight="1">
      <c r="A98" s="157" t="s">
        <v>46</v>
      </c>
      <c r="B98" s="156"/>
      <c r="C98" s="148"/>
      <c r="D98" s="148"/>
      <c r="E98" s="149"/>
      <c r="F98" s="149"/>
      <c r="G98" s="150"/>
      <c r="H98" s="151"/>
      <c r="I98" s="152"/>
      <c r="J98" s="148"/>
      <c r="K98" s="148"/>
      <c r="L98" s="153"/>
      <c r="M98" s="154"/>
      <c r="N98" s="148"/>
      <c r="O98" s="148"/>
      <c r="P98" s="148"/>
      <c r="Q98" s="154"/>
      <c r="R98" s="148"/>
      <c r="S98" s="148"/>
      <c r="T98" s="148"/>
      <c r="U98" s="155"/>
      <c r="V98" s="153"/>
      <c r="W98" s="153"/>
      <c r="X98" s="191"/>
      <c r="Y98" s="191"/>
      <c r="Z98" s="191"/>
      <c r="AA98" s="191"/>
      <c r="AB98" s="143">
        <f t="shared" si="18"/>
        <v>0</v>
      </c>
      <c r="AC98" s="191"/>
      <c r="AD98" s="191"/>
      <c r="AE98" s="191"/>
      <c r="AF98" s="143">
        <f t="shared" si="10"/>
        <v>0</v>
      </c>
      <c r="AG98" s="191"/>
      <c r="AH98" s="191"/>
      <c r="AI98" s="191"/>
      <c r="AJ98" s="143">
        <f t="shared" si="11"/>
        <v>0</v>
      </c>
      <c r="AK98" s="191"/>
      <c r="AL98" s="191"/>
      <c r="AM98" s="191"/>
      <c r="AN98" s="143">
        <f t="shared" si="12"/>
        <v>0</v>
      </c>
      <c r="AO98" s="191"/>
      <c r="AP98" s="191"/>
      <c r="AQ98" s="191"/>
      <c r="AR98" s="143">
        <f t="shared" si="13"/>
        <v>0</v>
      </c>
      <c r="AS98" s="191"/>
      <c r="AT98" s="191"/>
      <c r="AU98" s="191"/>
      <c r="AV98" s="143">
        <f t="shared" si="14"/>
        <v>0</v>
      </c>
      <c r="AW98" s="191"/>
      <c r="AX98" s="191"/>
      <c r="AY98" s="191"/>
      <c r="AZ98" s="143">
        <f t="shared" si="15"/>
        <v>0</v>
      </c>
      <c r="BA98" s="191"/>
      <c r="BB98" s="191"/>
      <c r="BC98" s="191"/>
      <c r="BD98" s="143">
        <f t="shared" si="16"/>
        <v>0</v>
      </c>
      <c r="BE98" s="143">
        <f t="shared" si="17"/>
        <v>0</v>
      </c>
      <c r="BF98" s="191"/>
    </row>
    <row r="99" spans="1:58" ht="27" customHeight="1">
      <c r="A99" s="157" t="s">
        <v>46</v>
      </c>
      <c r="B99" s="156"/>
      <c r="C99" s="148"/>
      <c r="D99" s="148"/>
      <c r="E99" s="149"/>
      <c r="F99" s="149"/>
      <c r="G99" s="150"/>
      <c r="H99" s="151"/>
      <c r="I99" s="152"/>
      <c r="J99" s="148"/>
      <c r="K99" s="148"/>
      <c r="L99" s="153"/>
      <c r="M99" s="154"/>
      <c r="N99" s="148"/>
      <c r="O99" s="148"/>
      <c r="P99" s="148"/>
      <c r="Q99" s="154"/>
      <c r="R99" s="148"/>
      <c r="S99" s="148"/>
      <c r="T99" s="148"/>
      <c r="U99" s="155"/>
      <c r="V99" s="153"/>
      <c r="W99" s="153"/>
      <c r="X99" s="191"/>
      <c r="Y99" s="191"/>
      <c r="Z99" s="191"/>
      <c r="AA99" s="191"/>
      <c r="AB99" s="143">
        <f t="shared" si="18"/>
        <v>0</v>
      </c>
      <c r="AC99" s="191"/>
      <c r="AD99" s="191"/>
      <c r="AE99" s="191"/>
      <c r="AF99" s="143">
        <f t="shared" si="10"/>
        <v>0</v>
      </c>
      <c r="AG99" s="191"/>
      <c r="AH99" s="191"/>
      <c r="AI99" s="191"/>
      <c r="AJ99" s="143">
        <f t="shared" si="11"/>
        <v>0</v>
      </c>
      <c r="AK99" s="191"/>
      <c r="AL99" s="191"/>
      <c r="AM99" s="191"/>
      <c r="AN99" s="143">
        <f t="shared" si="12"/>
        <v>0</v>
      </c>
      <c r="AO99" s="191"/>
      <c r="AP99" s="191"/>
      <c r="AQ99" s="191"/>
      <c r="AR99" s="143">
        <f t="shared" si="13"/>
        <v>0</v>
      </c>
      <c r="AS99" s="191"/>
      <c r="AT99" s="191"/>
      <c r="AU99" s="191"/>
      <c r="AV99" s="143">
        <f t="shared" si="14"/>
        <v>0</v>
      </c>
      <c r="AW99" s="191"/>
      <c r="AX99" s="191"/>
      <c r="AY99" s="191"/>
      <c r="AZ99" s="143">
        <f t="shared" si="15"/>
        <v>0</v>
      </c>
      <c r="BA99" s="191"/>
      <c r="BB99" s="191"/>
      <c r="BC99" s="191"/>
      <c r="BD99" s="143">
        <f t="shared" si="16"/>
        <v>0</v>
      </c>
      <c r="BE99" s="143">
        <f t="shared" si="17"/>
        <v>0</v>
      </c>
      <c r="BF99" s="191"/>
    </row>
    <row r="100" spans="1:58" ht="27" customHeight="1">
      <c r="A100" s="157" t="s">
        <v>46</v>
      </c>
      <c r="B100" s="156"/>
      <c r="C100" s="148"/>
      <c r="D100" s="148"/>
      <c r="E100" s="149"/>
      <c r="F100" s="149"/>
      <c r="G100" s="150"/>
      <c r="H100" s="151"/>
      <c r="I100" s="152"/>
      <c r="J100" s="148"/>
      <c r="K100" s="148"/>
      <c r="L100" s="153"/>
      <c r="M100" s="154"/>
      <c r="N100" s="148"/>
      <c r="O100" s="148"/>
      <c r="P100" s="148"/>
      <c r="Q100" s="154"/>
      <c r="R100" s="148"/>
      <c r="S100" s="148"/>
      <c r="T100" s="148"/>
      <c r="U100" s="155"/>
      <c r="V100" s="153"/>
      <c r="W100" s="153"/>
      <c r="X100" s="191"/>
      <c r="Y100" s="191"/>
      <c r="Z100" s="191"/>
      <c r="AA100" s="191"/>
      <c r="AB100" s="143">
        <f t="shared" si="18"/>
        <v>0</v>
      </c>
      <c r="AC100" s="191"/>
      <c r="AD100" s="191"/>
      <c r="AE100" s="191"/>
      <c r="AF100" s="143">
        <f t="shared" si="10"/>
        <v>0</v>
      </c>
      <c r="AG100" s="191"/>
      <c r="AH100" s="191"/>
      <c r="AI100" s="191"/>
      <c r="AJ100" s="143">
        <f t="shared" si="11"/>
        <v>0</v>
      </c>
      <c r="AK100" s="191"/>
      <c r="AL100" s="191"/>
      <c r="AM100" s="191"/>
      <c r="AN100" s="143">
        <f t="shared" si="12"/>
        <v>0</v>
      </c>
      <c r="AO100" s="191"/>
      <c r="AP100" s="191"/>
      <c r="AQ100" s="191"/>
      <c r="AR100" s="143">
        <f t="shared" si="13"/>
        <v>0</v>
      </c>
      <c r="AS100" s="191"/>
      <c r="AT100" s="191"/>
      <c r="AU100" s="191"/>
      <c r="AV100" s="143">
        <f t="shared" si="14"/>
        <v>0</v>
      </c>
      <c r="AW100" s="191"/>
      <c r="AX100" s="191"/>
      <c r="AY100" s="191"/>
      <c r="AZ100" s="143">
        <f t="shared" si="15"/>
        <v>0</v>
      </c>
      <c r="BA100" s="191"/>
      <c r="BB100" s="191"/>
      <c r="BC100" s="191"/>
      <c r="BD100" s="143">
        <f t="shared" si="16"/>
        <v>0</v>
      </c>
      <c r="BE100" s="143">
        <f t="shared" si="17"/>
        <v>0</v>
      </c>
      <c r="BF100" s="191"/>
    </row>
    <row r="101" spans="1:58" ht="27" customHeight="1">
      <c r="A101" s="157" t="s">
        <v>46</v>
      </c>
      <c r="B101" s="156"/>
      <c r="C101" s="148"/>
      <c r="D101" s="148"/>
      <c r="E101" s="149"/>
      <c r="F101" s="149"/>
      <c r="G101" s="150"/>
      <c r="H101" s="151"/>
      <c r="I101" s="152"/>
      <c r="J101" s="148"/>
      <c r="K101" s="148"/>
      <c r="L101" s="153"/>
      <c r="M101" s="154"/>
      <c r="N101" s="148"/>
      <c r="O101" s="148"/>
      <c r="P101" s="148"/>
      <c r="Q101" s="154"/>
      <c r="R101" s="148"/>
      <c r="S101" s="148"/>
      <c r="T101" s="148"/>
      <c r="U101" s="155"/>
      <c r="V101" s="153"/>
      <c r="W101" s="153"/>
      <c r="X101" s="191"/>
      <c r="Y101" s="191"/>
      <c r="Z101" s="191"/>
      <c r="AA101" s="191"/>
      <c r="AB101" s="143">
        <f t="shared" si="18"/>
        <v>0</v>
      </c>
      <c r="AC101" s="191"/>
      <c r="AD101" s="191"/>
      <c r="AE101" s="191"/>
      <c r="AF101" s="143">
        <f t="shared" si="10"/>
        <v>0</v>
      </c>
      <c r="AG101" s="191"/>
      <c r="AH101" s="191"/>
      <c r="AI101" s="191"/>
      <c r="AJ101" s="143">
        <f t="shared" si="11"/>
        <v>0</v>
      </c>
      <c r="AK101" s="191"/>
      <c r="AL101" s="191"/>
      <c r="AM101" s="191"/>
      <c r="AN101" s="143">
        <f t="shared" si="12"/>
        <v>0</v>
      </c>
      <c r="AO101" s="191"/>
      <c r="AP101" s="191"/>
      <c r="AQ101" s="191"/>
      <c r="AR101" s="143">
        <f t="shared" si="13"/>
        <v>0</v>
      </c>
      <c r="AS101" s="191"/>
      <c r="AT101" s="191"/>
      <c r="AU101" s="191"/>
      <c r="AV101" s="143">
        <f t="shared" si="14"/>
        <v>0</v>
      </c>
      <c r="AW101" s="191"/>
      <c r="AX101" s="191"/>
      <c r="AY101" s="191"/>
      <c r="AZ101" s="143">
        <f t="shared" si="15"/>
        <v>0</v>
      </c>
      <c r="BA101" s="191"/>
      <c r="BB101" s="191"/>
      <c r="BC101" s="191"/>
      <c r="BD101" s="143">
        <f t="shared" si="16"/>
        <v>0</v>
      </c>
      <c r="BE101" s="143">
        <f t="shared" si="17"/>
        <v>0</v>
      </c>
      <c r="BF101" s="191"/>
    </row>
    <row r="102" spans="1:58" ht="27" customHeight="1">
      <c r="A102" s="157" t="s">
        <v>46</v>
      </c>
      <c r="B102" s="156"/>
      <c r="C102" s="148"/>
      <c r="D102" s="148"/>
      <c r="E102" s="149"/>
      <c r="F102" s="149"/>
      <c r="G102" s="150"/>
      <c r="H102" s="151"/>
      <c r="I102" s="152"/>
      <c r="J102" s="148"/>
      <c r="K102" s="148"/>
      <c r="L102" s="153"/>
      <c r="M102" s="154"/>
      <c r="N102" s="148"/>
      <c r="O102" s="148"/>
      <c r="P102" s="148"/>
      <c r="Q102" s="154"/>
      <c r="R102" s="148"/>
      <c r="S102" s="148"/>
      <c r="T102" s="148"/>
      <c r="U102" s="155"/>
      <c r="V102" s="153"/>
      <c r="W102" s="153"/>
      <c r="X102" s="191"/>
      <c r="Y102" s="191"/>
      <c r="Z102" s="191"/>
      <c r="AA102" s="191"/>
      <c r="AB102" s="143">
        <f t="shared" si="18"/>
        <v>0</v>
      </c>
      <c r="AC102" s="191"/>
      <c r="AD102" s="191"/>
      <c r="AE102" s="191"/>
      <c r="AF102" s="143">
        <f t="shared" si="10"/>
        <v>0</v>
      </c>
      <c r="AG102" s="191"/>
      <c r="AH102" s="191"/>
      <c r="AI102" s="191"/>
      <c r="AJ102" s="143">
        <f t="shared" si="11"/>
        <v>0</v>
      </c>
      <c r="AK102" s="191"/>
      <c r="AL102" s="191"/>
      <c r="AM102" s="191"/>
      <c r="AN102" s="143">
        <f t="shared" si="12"/>
        <v>0</v>
      </c>
      <c r="AO102" s="191"/>
      <c r="AP102" s="191"/>
      <c r="AQ102" s="191"/>
      <c r="AR102" s="143">
        <f t="shared" si="13"/>
        <v>0</v>
      </c>
      <c r="AS102" s="191"/>
      <c r="AT102" s="191"/>
      <c r="AU102" s="191"/>
      <c r="AV102" s="143">
        <f t="shared" si="14"/>
        <v>0</v>
      </c>
      <c r="AW102" s="191"/>
      <c r="AX102" s="191"/>
      <c r="AY102" s="191"/>
      <c r="AZ102" s="143">
        <f t="shared" si="15"/>
        <v>0</v>
      </c>
      <c r="BA102" s="191"/>
      <c r="BB102" s="191"/>
      <c r="BC102" s="191"/>
      <c r="BD102" s="143">
        <f t="shared" si="16"/>
        <v>0</v>
      </c>
      <c r="BE102" s="143">
        <f t="shared" si="17"/>
        <v>0</v>
      </c>
      <c r="BF102" s="191"/>
    </row>
    <row r="103" spans="1:58" ht="27" customHeight="1">
      <c r="A103" s="157" t="s">
        <v>46</v>
      </c>
      <c r="B103" s="156"/>
      <c r="C103" s="148"/>
      <c r="D103" s="148"/>
      <c r="E103" s="149"/>
      <c r="F103" s="149"/>
      <c r="G103" s="150"/>
      <c r="H103" s="151"/>
      <c r="I103" s="152"/>
      <c r="J103" s="148"/>
      <c r="K103" s="148"/>
      <c r="L103" s="153"/>
      <c r="M103" s="154"/>
      <c r="N103" s="148"/>
      <c r="O103" s="148"/>
      <c r="P103" s="148"/>
      <c r="Q103" s="154"/>
      <c r="R103" s="148"/>
      <c r="S103" s="148"/>
      <c r="T103" s="148"/>
      <c r="U103" s="155"/>
      <c r="V103" s="153"/>
      <c r="W103" s="153"/>
      <c r="X103" s="191"/>
      <c r="Y103" s="191"/>
      <c r="Z103" s="191"/>
      <c r="AA103" s="191"/>
      <c r="AB103" s="143">
        <f t="shared" si="18"/>
        <v>0</v>
      </c>
      <c r="AC103" s="191"/>
      <c r="AD103" s="191"/>
      <c r="AE103" s="191"/>
      <c r="AF103" s="143">
        <f t="shared" si="10"/>
        <v>0</v>
      </c>
      <c r="AG103" s="191"/>
      <c r="AH103" s="191"/>
      <c r="AI103" s="191"/>
      <c r="AJ103" s="143">
        <f t="shared" si="11"/>
        <v>0</v>
      </c>
      <c r="AK103" s="191"/>
      <c r="AL103" s="191"/>
      <c r="AM103" s="191"/>
      <c r="AN103" s="143">
        <f t="shared" si="12"/>
        <v>0</v>
      </c>
      <c r="AO103" s="191"/>
      <c r="AP103" s="191"/>
      <c r="AQ103" s="191"/>
      <c r="AR103" s="143">
        <f t="shared" si="13"/>
        <v>0</v>
      </c>
      <c r="AS103" s="191"/>
      <c r="AT103" s="191"/>
      <c r="AU103" s="191"/>
      <c r="AV103" s="143">
        <f t="shared" si="14"/>
        <v>0</v>
      </c>
      <c r="AW103" s="191"/>
      <c r="AX103" s="191"/>
      <c r="AY103" s="191"/>
      <c r="AZ103" s="143">
        <f t="shared" si="15"/>
        <v>0</v>
      </c>
      <c r="BA103" s="191"/>
      <c r="BB103" s="191"/>
      <c r="BC103" s="191"/>
      <c r="BD103" s="143">
        <f t="shared" si="16"/>
        <v>0</v>
      </c>
      <c r="BE103" s="143">
        <f t="shared" si="17"/>
        <v>0</v>
      </c>
      <c r="BF103" s="191"/>
    </row>
    <row r="104" spans="1:58" ht="27" customHeight="1">
      <c r="A104" s="157" t="s">
        <v>46</v>
      </c>
      <c r="B104" s="156"/>
      <c r="C104" s="148"/>
      <c r="D104" s="148"/>
      <c r="E104" s="149"/>
      <c r="F104" s="149"/>
      <c r="G104" s="150"/>
      <c r="H104" s="151"/>
      <c r="I104" s="152"/>
      <c r="J104" s="148"/>
      <c r="K104" s="148"/>
      <c r="L104" s="153"/>
      <c r="M104" s="154"/>
      <c r="N104" s="148"/>
      <c r="O104" s="148"/>
      <c r="P104" s="148"/>
      <c r="Q104" s="154"/>
      <c r="R104" s="148"/>
      <c r="S104" s="148"/>
      <c r="T104" s="148"/>
      <c r="U104" s="155"/>
      <c r="V104" s="153"/>
      <c r="W104" s="153"/>
      <c r="X104" s="191"/>
      <c r="Y104" s="191"/>
      <c r="Z104" s="191"/>
      <c r="AA104" s="191"/>
      <c r="AB104" s="143">
        <f t="shared" si="18"/>
        <v>0</v>
      </c>
      <c r="AC104" s="191"/>
      <c r="AD104" s="191"/>
      <c r="AE104" s="191"/>
      <c r="AF104" s="143">
        <f t="shared" si="10"/>
        <v>0</v>
      </c>
      <c r="AG104" s="191"/>
      <c r="AH104" s="191"/>
      <c r="AI104" s="191"/>
      <c r="AJ104" s="143">
        <f t="shared" si="11"/>
        <v>0</v>
      </c>
      <c r="AK104" s="191"/>
      <c r="AL104" s="191"/>
      <c r="AM104" s="191"/>
      <c r="AN104" s="143">
        <f t="shared" si="12"/>
        <v>0</v>
      </c>
      <c r="AO104" s="191"/>
      <c r="AP104" s="191"/>
      <c r="AQ104" s="191"/>
      <c r="AR104" s="143">
        <f t="shared" si="13"/>
        <v>0</v>
      </c>
      <c r="AS104" s="191"/>
      <c r="AT104" s="191"/>
      <c r="AU104" s="191"/>
      <c r="AV104" s="143">
        <f t="shared" si="14"/>
        <v>0</v>
      </c>
      <c r="AW104" s="191"/>
      <c r="AX104" s="191"/>
      <c r="AY104" s="191"/>
      <c r="AZ104" s="143">
        <f t="shared" si="15"/>
        <v>0</v>
      </c>
      <c r="BA104" s="191"/>
      <c r="BB104" s="191"/>
      <c r="BC104" s="191"/>
      <c r="BD104" s="143">
        <f t="shared" si="16"/>
        <v>0</v>
      </c>
      <c r="BE104" s="143">
        <f t="shared" si="17"/>
        <v>0</v>
      </c>
      <c r="BF104" s="191"/>
    </row>
    <row r="105" spans="1:58" ht="27" customHeight="1">
      <c r="A105" s="157" t="s">
        <v>46</v>
      </c>
      <c r="B105" s="156"/>
      <c r="C105" s="148"/>
      <c r="D105" s="148"/>
      <c r="E105" s="149"/>
      <c r="F105" s="149"/>
      <c r="G105" s="150"/>
      <c r="H105" s="151"/>
      <c r="I105" s="152"/>
      <c r="J105" s="148"/>
      <c r="K105" s="148"/>
      <c r="L105" s="153"/>
      <c r="M105" s="154"/>
      <c r="N105" s="148"/>
      <c r="O105" s="148"/>
      <c r="P105" s="148"/>
      <c r="Q105" s="154"/>
      <c r="R105" s="148"/>
      <c r="S105" s="148"/>
      <c r="T105" s="148"/>
      <c r="U105" s="155"/>
      <c r="V105" s="153"/>
      <c r="W105" s="153"/>
      <c r="X105" s="191"/>
      <c r="Y105" s="191"/>
      <c r="Z105" s="191"/>
      <c r="AA105" s="191"/>
      <c r="AB105" s="143">
        <f t="shared" si="18"/>
        <v>0</v>
      </c>
      <c r="AC105" s="191"/>
      <c r="AD105" s="191"/>
      <c r="AE105" s="191"/>
      <c r="AF105" s="143">
        <f t="shared" si="10"/>
        <v>0</v>
      </c>
      <c r="AG105" s="191"/>
      <c r="AH105" s="191"/>
      <c r="AI105" s="191"/>
      <c r="AJ105" s="143">
        <f t="shared" si="11"/>
        <v>0</v>
      </c>
      <c r="AK105" s="191"/>
      <c r="AL105" s="191"/>
      <c r="AM105" s="191"/>
      <c r="AN105" s="143">
        <f t="shared" si="12"/>
        <v>0</v>
      </c>
      <c r="AO105" s="191"/>
      <c r="AP105" s="191"/>
      <c r="AQ105" s="191"/>
      <c r="AR105" s="143">
        <f t="shared" si="13"/>
        <v>0</v>
      </c>
      <c r="AS105" s="191"/>
      <c r="AT105" s="191"/>
      <c r="AU105" s="191"/>
      <c r="AV105" s="143">
        <f t="shared" si="14"/>
        <v>0</v>
      </c>
      <c r="AW105" s="191"/>
      <c r="AX105" s="191"/>
      <c r="AY105" s="191"/>
      <c r="AZ105" s="143">
        <f t="shared" si="15"/>
        <v>0</v>
      </c>
      <c r="BA105" s="191"/>
      <c r="BB105" s="191"/>
      <c r="BC105" s="191"/>
      <c r="BD105" s="143">
        <f t="shared" si="16"/>
        <v>0</v>
      </c>
      <c r="BE105" s="143">
        <f t="shared" si="17"/>
        <v>0</v>
      </c>
      <c r="BF105" s="191"/>
    </row>
    <row r="106" spans="1:58" ht="27" customHeight="1">
      <c r="A106" s="157" t="s">
        <v>46</v>
      </c>
      <c r="B106" s="156"/>
      <c r="C106" s="148"/>
      <c r="D106" s="148"/>
      <c r="E106" s="149"/>
      <c r="F106" s="149"/>
      <c r="G106" s="150"/>
      <c r="H106" s="151"/>
      <c r="I106" s="152"/>
      <c r="J106" s="148"/>
      <c r="K106" s="148"/>
      <c r="L106" s="153"/>
      <c r="M106" s="154"/>
      <c r="N106" s="148"/>
      <c r="O106" s="148"/>
      <c r="P106" s="148"/>
      <c r="Q106" s="154"/>
      <c r="R106" s="148"/>
      <c r="S106" s="148"/>
      <c r="T106" s="148"/>
      <c r="U106" s="155"/>
      <c r="V106" s="153"/>
      <c r="W106" s="153"/>
      <c r="X106" s="191"/>
      <c r="Y106" s="191"/>
      <c r="Z106" s="191"/>
      <c r="AA106" s="191"/>
      <c r="AB106" s="143">
        <f t="shared" si="18"/>
        <v>0</v>
      </c>
      <c r="AC106" s="191"/>
      <c r="AD106" s="191"/>
      <c r="AE106" s="191"/>
      <c r="AF106" s="143">
        <f t="shared" si="10"/>
        <v>0</v>
      </c>
      <c r="AG106" s="191"/>
      <c r="AH106" s="191"/>
      <c r="AI106" s="191"/>
      <c r="AJ106" s="143">
        <f t="shared" si="11"/>
        <v>0</v>
      </c>
      <c r="AK106" s="191"/>
      <c r="AL106" s="191"/>
      <c r="AM106" s="191"/>
      <c r="AN106" s="143">
        <f t="shared" si="12"/>
        <v>0</v>
      </c>
      <c r="AO106" s="191"/>
      <c r="AP106" s="191"/>
      <c r="AQ106" s="191"/>
      <c r="AR106" s="143">
        <f t="shared" si="13"/>
        <v>0</v>
      </c>
      <c r="AS106" s="191"/>
      <c r="AT106" s="191"/>
      <c r="AU106" s="191"/>
      <c r="AV106" s="143">
        <f t="shared" si="14"/>
        <v>0</v>
      </c>
      <c r="AW106" s="191"/>
      <c r="AX106" s="191"/>
      <c r="AY106" s="191"/>
      <c r="AZ106" s="143">
        <f t="shared" si="15"/>
        <v>0</v>
      </c>
      <c r="BA106" s="191"/>
      <c r="BB106" s="191"/>
      <c r="BC106" s="191"/>
      <c r="BD106" s="143">
        <f t="shared" si="16"/>
        <v>0</v>
      </c>
      <c r="BE106" s="143">
        <f t="shared" si="17"/>
        <v>0</v>
      </c>
      <c r="BF106" s="191"/>
    </row>
    <row r="107" spans="1:58" ht="27" customHeight="1">
      <c r="A107" s="157" t="s">
        <v>46</v>
      </c>
      <c r="B107" s="156"/>
      <c r="C107" s="148"/>
      <c r="D107" s="148"/>
      <c r="E107" s="149"/>
      <c r="F107" s="149"/>
      <c r="G107" s="150"/>
      <c r="H107" s="151"/>
      <c r="I107" s="152"/>
      <c r="J107" s="148"/>
      <c r="K107" s="148"/>
      <c r="L107" s="153"/>
      <c r="M107" s="154"/>
      <c r="N107" s="148"/>
      <c r="O107" s="148"/>
      <c r="P107" s="148"/>
      <c r="Q107" s="154"/>
      <c r="R107" s="148"/>
      <c r="S107" s="148"/>
      <c r="T107" s="148"/>
      <c r="U107" s="155"/>
      <c r="V107" s="153"/>
      <c r="W107" s="153"/>
      <c r="X107" s="191"/>
      <c r="Y107" s="191"/>
      <c r="Z107" s="191"/>
      <c r="AA107" s="191"/>
      <c r="AB107" s="143">
        <f t="shared" si="18"/>
        <v>0</v>
      </c>
      <c r="AC107" s="191"/>
      <c r="AD107" s="191"/>
      <c r="AE107" s="191"/>
      <c r="AF107" s="143">
        <f t="shared" si="10"/>
        <v>0</v>
      </c>
      <c r="AG107" s="191"/>
      <c r="AH107" s="191"/>
      <c r="AI107" s="191"/>
      <c r="AJ107" s="143">
        <f t="shared" si="11"/>
        <v>0</v>
      </c>
      <c r="AK107" s="191"/>
      <c r="AL107" s="191"/>
      <c r="AM107" s="191"/>
      <c r="AN107" s="143">
        <f t="shared" si="12"/>
        <v>0</v>
      </c>
      <c r="AO107" s="191"/>
      <c r="AP107" s="191"/>
      <c r="AQ107" s="191"/>
      <c r="AR107" s="143">
        <f t="shared" si="13"/>
        <v>0</v>
      </c>
      <c r="AS107" s="191"/>
      <c r="AT107" s="191"/>
      <c r="AU107" s="191"/>
      <c r="AV107" s="143">
        <f t="shared" si="14"/>
        <v>0</v>
      </c>
      <c r="AW107" s="191"/>
      <c r="AX107" s="191"/>
      <c r="AY107" s="191"/>
      <c r="AZ107" s="143">
        <f t="shared" si="15"/>
        <v>0</v>
      </c>
      <c r="BA107" s="191"/>
      <c r="BB107" s="191"/>
      <c r="BC107" s="191"/>
      <c r="BD107" s="143">
        <f t="shared" si="16"/>
        <v>0</v>
      </c>
      <c r="BE107" s="143">
        <f t="shared" si="17"/>
        <v>0</v>
      </c>
      <c r="BF107" s="191"/>
    </row>
    <row r="108" spans="1:58" ht="27" customHeight="1">
      <c r="A108" s="157" t="s">
        <v>46</v>
      </c>
      <c r="B108" s="156"/>
      <c r="C108" s="148"/>
      <c r="D108" s="148"/>
      <c r="E108" s="149"/>
      <c r="F108" s="149"/>
      <c r="G108" s="150"/>
      <c r="H108" s="151"/>
      <c r="I108" s="152"/>
      <c r="J108" s="148"/>
      <c r="K108" s="148"/>
      <c r="L108" s="153"/>
      <c r="M108" s="154"/>
      <c r="N108" s="148"/>
      <c r="O108" s="148"/>
      <c r="P108" s="148"/>
      <c r="Q108" s="154"/>
      <c r="R108" s="148"/>
      <c r="S108" s="148"/>
      <c r="T108" s="148"/>
      <c r="U108" s="155"/>
      <c r="V108" s="153"/>
      <c r="W108" s="153"/>
      <c r="X108" s="191"/>
      <c r="Y108" s="191"/>
      <c r="Z108" s="191"/>
      <c r="AA108" s="191"/>
      <c r="AB108" s="143">
        <f t="shared" si="18"/>
        <v>0</v>
      </c>
      <c r="AC108" s="191"/>
      <c r="AD108" s="191"/>
      <c r="AE108" s="191"/>
      <c r="AF108" s="143">
        <f t="shared" si="10"/>
        <v>0</v>
      </c>
      <c r="AG108" s="191"/>
      <c r="AH108" s="191"/>
      <c r="AI108" s="191"/>
      <c r="AJ108" s="143">
        <f t="shared" si="11"/>
        <v>0</v>
      </c>
      <c r="AK108" s="191"/>
      <c r="AL108" s="191"/>
      <c r="AM108" s="191"/>
      <c r="AN108" s="143">
        <f t="shared" si="12"/>
        <v>0</v>
      </c>
      <c r="AO108" s="191"/>
      <c r="AP108" s="191"/>
      <c r="AQ108" s="191"/>
      <c r="AR108" s="143">
        <f t="shared" si="13"/>
        <v>0</v>
      </c>
      <c r="AS108" s="191"/>
      <c r="AT108" s="191"/>
      <c r="AU108" s="191"/>
      <c r="AV108" s="143">
        <f t="shared" si="14"/>
        <v>0</v>
      </c>
      <c r="AW108" s="191"/>
      <c r="AX108" s="191"/>
      <c r="AY108" s="191"/>
      <c r="AZ108" s="143">
        <f t="shared" si="15"/>
        <v>0</v>
      </c>
      <c r="BA108" s="191"/>
      <c r="BB108" s="191"/>
      <c r="BC108" s="191"/>
      <c r="BD108" s="143">
        <f t="shared" si="16"/>
        <v>0</v>
      </c>
      <c r="BE108" s="143">
        <f t="shared" si="17"/>
        <v>0</v>
      </c>
      <c r="BF108" s="191"/>
    </row>
    <row r="109" spans="1:58" ht="27" customHeight="1">
      <c r="A109" s="157" t="s">
        <v>46</v>
      </c>
      <c r="B109" s="156"/>
      <c r="C109" s="148"/>
      <c r="D109" s="148"/>
      <c r="E109" s="149"/>
      <c r="F109" s="149"/>
      <c r="G109" s="150"/>
      <c r="H109" s="151"/>
      <c r="I109" s="152"/>
      <c r="J109" s="148"/>
      <c r="K109" s="148"/>
      <c r="L109" s="153"/>
      <c r="M109" s="154"/>
      <c r="N109" s="148"/>
      <c r="O109" s="148"/>
      <c r="P109" s="148"/>
      <c r="Q109" s="154"/>
      <c r="R109" s="148"/>
      <c r="S109" s="148"/>
      <c r="T109" s="148"/>
      <c r="U109" s="155"/>
      <c r="V109" s="153"/>
      <c r="W109" s="153"/>
      <c r="X109" s="191"/>
      <c r="Y109" s="191"/>
      <c r="Z109" s="191"/>
      <c r="AA109" s="191"/>
      <c r="AB109" s="143">
        <f t="shared" si="18"/>
        <v>0</v>
      </c>
      <c r="AC109" s="191"/>
      <c r="AD109" s="191"/>
      <c r="AE109" s="191"/>
      <c r="AF109" s="143">
        <f t="shared" si="10"/>
        <v>0</v>
      </c>
      <c r="AG109" s="191"/>
      <c r="AH109" s="191"/>
      <c r="AI109" s="191"/>
      <c r="AJ109" s="143">
        <f t="shared" si="11"/>
        <v>0</v>
      </c>
      <c r="AK109" s="191"/>
      <c r="AL109" s="191"/>
      <c r="AM109" s="191"/>
      <c r="AN109" s="143">
        <f t="shared" si="12"/>
        <v>0</v>
      </c>
      <c r="AO109" s="191"/>
      <c r="AP109" s="191"/>
      <c r="AQ109" s="191"/>
      <c r="AR109" s="143">
        <f t="shared" si="13"/>
        <v>0</v>
      </c>
      <c r="AS109" s="191"/>
      <c r="AT109" s="191"/>
      <c r="AU109" s="191"/>
      <c r="AV109" s="143">
        <f t="shared" si="14"/>
        <v>0</v>
      </c>
      <c r="AW109" s="191"/>
      <c r="AX109" s="191"/>
      <c r="AY109" s="191"/>
      <c r="AZ109" s="143">
        <f t="shared" si="15"/>
        <v>0</v>
      </c>
      <c r="BA109" s="191"/>
      <c r="BB109" s="191"/>
      <c r="BC109" s="191"/>
      <c r="BD109" s="143">
        <f t="shared" si="16"/>
        <v>0</v>
      </c>
      <c r="BE109" s="143">
        <f t="shared" si="17"/>
        <v>0</v>
      </c>
      <c r="BF109" s="191"/>
    </row>
    <row r="110" spans="1:58" ht="27" customHeight="1">
      <c r="A110" s="157" t="s">
        <v>46</v>
      </c>
      <c r="B110" s="156"/>
      <c r="C110" s="148"/>
      <c r="D110" s="148"/>
      <c r="E110" s="149"/>
      <c r="F110" s="149"/>
      <c r="G110" s="150"/>
      <c r="H110" s="151"/>
      <c r="I110" s="152"/>
      <c r="J110" s="148"/>
      <c r="K110" s="148"/>
      <c r="L110" s="153"/>
      <c r="M110" s="154"/>
      <c r="N110" s="148"/>
      <c r="O110" s="148"/>
      <c r="P110" s="148"/>
      <c r="Q110" s="154"/>
      <c r="R110" s="148"/>
      <c r="S110" s="148"/>
      <c r="T110" s="148"/>
      <c r="U110" s="155"/>
      <c r="V110" s="153"/>
      <c r="W110" s="153"/>
      <c r="X110" s="191"/>
      <c r="Y110" s="191"/>
      <c r="Z110" s="191"/>
      <c r="AA110" s="191"/>
      <c r="AB110" s="143">
        <f t="shared" si="18"/>
        <v>0</v>
      </c>
      <c r="AC110" s="191"/>
      <c r="AD110" s="191"/>
      <c r="AE110" s="191"/>
      <c r="AF110" s="143">
        <f t="shared" si="10"/>
        <v>0</v>
      </c>
      <c r="AG110" s="191"/>
      <c r="AH110" s="191"/>
      <c r="AI110" s="191"/>
      <c r="AJ110" s="143">
        <f t="shared" si="11"/>
        <v>0</v>
      </c>
      <c r="AK110" s="191"/>
      <c r="AL110" s="191"/>
      <c r="AM110" s="191"/>
      <c r="AN110" s="143">
        <f t="shared" si="12"/>
        <v>0</v>
      </c>
      <c r="AO110" s="191"/>
      <c r="AP110" s="191"/>
      <c r="AQ110" s="191"/>
      <c r="AR110" s="143">
        <f t="shared" si="13"/>
        <v>0</v>
      </c>
      <c r="AS110" s="191"/>
      <c r="AT110" s="191"/>
      <c r="AU110" s="191"/>
      <c r="AV110" s="143">
        <f t="shared" si="14"/>
        <v>0</v>
      </c>
      <c r="AW110" s="191"/>
      <c r="AX110" s="191"/>
      <c r="AY110" s="191"/>
      <c r="AZ110" s="143">
        <f t="shared" si="15"/>
        <v>0</v>
      </c>
      <c r="BA110" s="191"/>
      <c r="BB110" s="191"/>
      <c r="BC110" s="191"/>
      <c r="BD110" s="143">
        <f t="shared" si="16"/>
        <v>0</v>
      </c>
      <c r="BE110" s="143">
        <f t="shared" si="17"/>
        <v>0</v>
      </c>
      <c r="BF110" s="191"/>
    </row>
    <row r="111" spans="1:58" ht="27" customHeight="1">
      <c r="A111" s="157" t="s">
        <v>46</v>
      </c>
      <c r="B111" s="156"/>
      <c r="C111" s="148"/>
      <c r="D111" s="148"/>
      <c r="E111" s="149"/>
      <c r="F111" s="149"/>
      <c r="G111" s="150"/>
      <c r="H111" s="151"/>
      <c r="I111" s="152"/>
      <c r="J111" s="148"/>
      <c r="K111" s="148"/>
      <c r="L111" s="153"/>
      <c r="M111" s="154"/>
      <c r="N111" s="148"/>
      <c r="O111" s="148"/>
      <c r="P111" s="148"/>
      <c r="Q111" s="154"/>
      <c r="R111" s="148"/>
      <c r="S111" s="148"/>
      <c r="T111" s="148"/>
      <c r="U111" s="155"/>
      <c r="V111" s="153"/>
      <c r="W111" s="153"/>
      <c r="X111" s="191"/>
      <c r="Y111" s="191"/>
      <c r="Z111" s="191"/>
      <c r="AA111" s="191"/>
      <c r="AB111" s="143">
        <f t="shared" si="18"/>
        <v>0</v>
      </c>
      <c r="AC111" s="191"/>
      <c r="AD111" s="191"/>
      <c r="AE111" s="191"/>
      <c r="AF111" s="143">
        <f t="shared" si="10"/>
        <v>0</v>
      </c>
      <c r="AG111" s="191"/>
      <c r="AH111" s="191"/>
      <c r="AI111" s="191"/>
      <c r="AJ111" s="143">
        <f t="shared" si="11"/>
        <v>0</v>
      </c>
      <c r="AK111" s="191"/>
      <c r="AL111" s="191"/>
      <c r="AM111" s="191"/>
      <c r="AN111" s="143">
        <f t="shared" si="12"/>
        <v>0</v>
      </c>
      <c r="AO111" s="191"/>
      <c r="AP111" s="191"/>
      <c r="AQ111" s="191"/>
      <c r="AR111" s="143">
        <f t="shared" si="13"/>
        <v>0</v>
      </c>
      <c r="AS111" s="191"/>
      <c r="AT111" s="191"/>
      <c r="AU111" s="191"/>
      <c r="AV111" s="143">
        <f t="shared" si="14"/>
        <v>0</v>
      </c>
      <c r="AW111" s="191"/>
      <c r="AX111" s="191"/>
      <c r="AY111" s="191"/>
      <c r="AZ111" s="143">
        <f t="shared" si="15"/>
        <v>0</v>
      </c>
      <c r="BA111" s="191"/>
      <c r="BB111" s="191"/>
      <c r="BC111" s="191"/>
      <c r="BD111" s="143">
        <f t="shared" si="16"/>
        <v>0</v>
      </c>
      <c r="BE111" s="143">
        <f t="shared" si="17"/>
        <v>0</v>
      </c>
      <c r="BF111" s="191"/>
    </row>
    <row r="112" spans="1:58" ht="27" customHeight="1">
      <c r="A112" s="157" t="s">
        <v>46</v>
      </c>
      <c r="B112" s="156"/>
      <c r="C112" s="148"/>
      <c r="D112" s="148"/>
      <c r="E112" s="149"/>
      <c r="F112" s="149"/>
      <c r="G112" s="150"/>
      <c r="H112" s="151"/>
      <c r="I112" s="152"/>
      <c r="J112" s="148"/>
      <c r="K112" s="148"/>
      <c r="L112" s="153"/>
      <c r="M112" s="154"/>
      <c r="N112" s="148"/>
      <c r="O112" s="148"/>
      <c r="P112" s="148"/>
      <c r="Q112" s="154"/>
      <c r="R112" s="148"/>
      <c r="S112" s="148"/>
      <c r="T112" s="148"/>
      <c r="U112" s="155"/>
      <c r="V112" s="153"/>
      <c r="W112" s="153"/>
      <c r="X112" s="191"/>
      <c r="Y112" s="191"/>
      <c r="Z112" s="191"/>
      <c r="AA112" s="191"/>
      <c r="AB112" s="143">
        <f t="shared" si="18"/>
        <v>0</v>
      </c>
      <c r="AC112" s="191"/>
      <c r="AD112" s="191"/>
      <c r="AE112" s="191"/>
      <c r="AF112" s="143">
        <f t="shared" si="10"/>
        <v>0</v>
      </c>
      <c r="AG112" s="191"/>
      <c r="AH112" s="191"/>
      <c r="AI112" s="191"/>
      <c r="AJ112" s="143">
        <f t="shared" si="11"/>
        <v>0</v>
      </c>
      <c r="AK112" s="191"/>
      <c r="AL112" s="191"/>
      <c r="AM112" s="191"/>
      <c r="AN112" s="143">
        <f t="shared" si="12"/>
        <v>0</v>
      </c>
      <c r="AO112" s="191"/>
      <c r="AP112" s="191"/>
      <c r="AQ112" s="191"/>
      <c r="AR112" s="143">
        <f t="shared" si="13"/>
        <v>0</v>
      </c>
      <c r="AS112" s="191"/>
      <c r="AT112" s="191"/>
      <c r="AU112" s="191"/>
      <c r="AV112" s="143">
        <f t="shared" si="14"/>
        <v>0</v>
      </c>
      <c r="AW112" s="191"/>
      <c r="AX112" s="191"/>
      <c r="AY112" s="191"/>
      <c r="AZ112" s="143">
        <f t="shared" si="15"/>
        <v>0</v>
      </c>
      <c r="BA112" s="191"/>
      <c r="BB112" s="191"/>
      <c r="BC112" s="191"/>
      <c r="BD112" s="143">
        <f t="shared" si="16"/>
        <v>0</v>
      </c>
      <c r="BE112" s="143">
        <f t="shared" si="17"/>
        <v>0</v>
      </c>
      <c r="BF112" s="191"/>
    </row>
    <row r="113" spans="1:58" ht="27" customHeight="1">
      <c r="A113" s="157" t="s">
        <v>46</v>
      </c>
      <c r="B113" s="156"/>
      <c r="C113" s="148"/>
      <c r="D113" s="148"/>
      <c r="E113" s="149"/>
      <c r="F113" s="149"/>
      <c r="G113" s="150"/>
      <c r="H113" s="151"/>
      <c r="I113" s="152"/>
      <c r="J113" s="148"/>
      <c r="K113" s="148"/>
      <c r="L113" s="153"/>
      <c r="M113" s="154"/>
      <c r="N113" s="148"/>
      <c r="O113" s="148"/>
      <c r="P113" s="148"/>
      <c r="Q113" s="154"/>
      <c r="R113" s="148"/>
      <c r="S113" s="148"/>
      <c r="T113" s="148"/>
      <c r="U113" s="155"/>
      <c r="V113" s="153"/>
      <c r="W113" s="153"/>
      <c r="X113" s="191"/>
      <c r="Y113" s="191"/>
      <c r="Z113" s="191"/>
      <c r="AA113" s="191"/>
      <c r="AB113" s="143">
        <f t="shared" si="18"/>
        <v>0</v>
      </c>
      <c r="AC113" s="191"/>
      <c r="AD113" s="191"/>
      <c r="AE113" s="191"/>
      <c r="AF113" s="143">
        <f t="shared" si="10"/>
        <v>0</v>
      </c>
      <c r="AG113" s="191"/>
      <c r="AH113" s="191"/>
      <c r="AI113" s="191"/>
      <c r="AJ113" s="143">
        <f t="shared" si="11"/>
        <v>0</v>
      </c>
      <c r="AK113" s="191"/>
      <c r="AL113" s="191"/>
      <c r="AM113" s="191"/>
      <c r="AN113" s="143">
        <f t="shared" si="12"/>
        <v>0</v>
      </c>
      <c r="AO113" s="191"/>
      <c r="AP113" s="191"/>
      <c r="AQ113" s="191"/>
      <c r="AR113" s="143">
        <f t="shared" si="13"/>
        <v>0</v>
      </c>
      <c r="AS113" s="191"/>
      <c r="AT113" s="191"/>
      <c r="AU113" s="191"/>
      <c r="AV113" s="143">
        <f t="shared" si="14"/>
        <v>0</v>
      </c>
      <c r="AW113" s="191"/>
      <c r="AX113" s="191"/>
      <c r="AY113" s="191"/>
      <c r="AZ113" s="143">
        <f t="shared" si="15"/>
        <v>0</v>
      </c>
      <c r="BA113" s="191"/>
      <c r="BB113" s="191"/>
      <c r="BC113" s="191"/>
      <c r="BD113" s="143">
        <f t="shared" si="16"/>
        <v>0</v>
      </c>
      <c r="BE113" s="143">
        <f t="shared" si="17"/>
        <v>0</v>
      </c>
      <c r="BF113" s="191"/>
    </row>
    <row r="114" spans="1:58" ht="27" customHeight="1">
      <c r="A114" s="157" t="s">
        <v>46</v>
      </c>
      <c r="B114" s="156"/>
      <c r="C114" s="148"/>
      <c r="D114" s="148"/>
      <c r="E114" s="149"/>
      <c r="F114" s="149"/>
      <c r="G114" s="150"/>
      <c r="H114" s="151"/>
      <c r="I114" s="152"/>
      <c r="J114" s="148"/>
      <c r="K114" s="148"/>
      <c r="L114" s="153"/>
      <c r="M114" s="154"/>
      <c r="N114" s="148"/>
      <c r="O114" s="148"/>
      <c r="P114" s="148"/>
      <c r="Q114" s="154"/>
      <c r="R114" s="148"/>
      <c r="S114" s="148"/>
      <c r="T114" s="148"/>
      <c r="U114" s="155"/>
      <c r="V114" s="153"/>
      <c r="W114" s="153"/>
      <c r="X114" s="191"/>
      <c r="Y114" s="191"/>
      <c r="Z114" s="191"/>
      <c r="AA114" s="191"/>
      <c r="AB114" s="143">
        <f t="shared" si="18"/>
        <v>0</v>
      </c>
      <c r="AC114" s="191"/>
      <c r="AD114" s="191"/>
      <c r="AE114" s="191"/>
      <c r="AF114" s="143">
        <f t="shared" si="10"/>
        <v>0</v>
      </c>
      <c r="AG114" s="191"/>
      <c r="AH114" s="191"/>
      <c r="AI114" s="191"/>
      <c r="AJ114" s="143">
        <f t="shared" si="11"/>
        <v>0</v>
      </c>
      <c r="AK114" s="191"/>
      <c r="AL114" s="191"/>
      <c r="AM114" s="191"/>
      <c r="AN114" s="143">
        <f t="shared" si="12"/>
        <v>0</v>
      </c>
      <c r="AO114" s="191"/>
      <c r="AP114" s="191"/>
      <c r="AQ114" s="191"/>
      <c r="AR114" s="143">
        <f t="shared" si="13"/>
        <v>0</v>
      </c>
      <c r="AS114" s="191"/>
      <c r="AT114" s="191"/>
      <c r="AU114" s="191"/>
      <c r="AV114" s="143">
        <f t="shared" si="14"/>
        <v>0</v>
      </c>
      <c r="AW114" s="191"/>
      <c r="AX114" s="191"/>
      <c r="AY114" s="191"/>
      <c r="AZ114" s="143">
        <f t="shared" si="15"/>
        <v>0</v>
      </c>
      <c r="BA114" s="191"/>
      <c r="BB114" s="191"/>
      <c r="BC114" s="191"/>
      <c r="BD114" s="143">
        <f t="shared" si="16"/>
        <v>0</v>
      </c>
      <c r="BE114" s="143">
        <f t="shared" si="17"/>
        <v>0</v>
      </c>
      <c r="BF114" s="191"/>
    </row>
    <row r="115" spans="1:58" ht="27" customHeight="1">
      <c r="A115" s="157" t="s">
        <v>46</v>
      </c>
      <c r="B115" s="156"/>
      <c r="C115" s="148"/>
      <c r="D115" s="148"/>
      <c r="E115" s="149"/>
      <c r="F115" s="149"/>
      <c r="G115" s="150"/>
      <c r="H115" s="151"/>
      <c r="I115" s="152"/>
      <c r="J115" s="148"/>
      <c r="K115" s="148"/>
      <c r="L115" s="153"/>
      <c r="M115" s="154"/>
      <c r="N115" s="148"/>
      <c r="O115" s="148"/>
      <c r="P115" s="148"/>
      <c r="Q115" s="154"/>
      <c r="R115" s="148"/>
      <c r="S115" s="148"/>
      <c r="T115" s="148"/>
      <c r="U115" s="155"/>
      <c r="V115" s="153"/>
      <c r="W115" s="153"/>
      <c r="X115" s="191"/>
      <c r="Y115" s="191"/>
      <c r="Z115" s="191"/>
      <c r="AA115" s="191"/>
      <c r="AB115" s="143">
        <f t="shared" si="18"/>
        <v>0</v>
      </c>
      <c r="AC115" s="191"/>
      <c r="AD115" s="191"/>
      <c r="AE115" s="191"/>
      <c r="AF115" s="143">
        <f t="shared" si="10"/>
        <v>0</v>
      </c>
      <c r="AG115" s="191"/>
      <c r="AH115" s="191"/>
      <c r="AI115" s="191"/>
      <c r="AJ115" s="143">
        <f t="shared" si="11"/>
        <v>0</v>
      </c>
      <c r="AK115" s="191"/>
      <c r="AL115" s="191"/>
      <c r="AM115" s="191"/>
      <c r="AN115" s="143">
        <f t="shared" si="12"/>
        <v>0</v>
      </c>
      <c r="AO115" s="191"/>
      <c r="AP115" s="191"/>
      <c r="AQ115" s="191"/>
      <c r="AR115" s="143">
        <f t="shared" si="13"/>
        <v>0</v>
      </c>
      <c r="AS115" s="191"/>
      <c r="AT115" s="191"/>
      <c r="AU115" s="191"/>
      <c r="AV115" s="143">
        <f t="shared" si="14"/>
        <v>0</v>
      </c>
      <c r="AW115" s="191"/>
      <c r="AX115" s="191"/>
      <c r="AY115" s="191"/>
      <c r="AZ115" s="143">
        <f t="shared" si="15"/>
        <v>0</v>
      </c>
      <c r="BA115" s="191"/>
      <c r="BB115" s="191"/>
      <c r="BC115" s="191"/>
      <c r="BD115" s="143">
        <f t="shared" si="16"/>
        <v>0</v>
      </c>
      <c r="BE115" s="143">
        <f t="shared" si="17"/>
        <v>0</v>
      </c>
      <c r="BF115" s="191"/>
    </row>
    <row r="116" spans="1:58" ht="27" customHeight="1">
      <c r="A116" s="157" t="s">
        <v>46</v>
      </c>
      <c r="B116" s="156"/>
      <c r="C116" s="148"/>
      <c r="D116" s="148"/>
      <c r="E116" s="149"/>
      <c r="F116" s="149"/>
      <c r="G116" s="150"/>
      <c r="H116" s="151"/>
      <c r="I116" s="152"/>
      <c r="J116" s="148"/>
      <c r="K116" s="148"/>
      <c r="L116" s="153"/>
      <c r="M116" s="154"/>
      <c r="N116" s="148"/>
      <c r="O116" s="148"/>
      <c r="P116" s="148"/>
      <c r="Q116" s="154"/>
      <c r="R116" s="148"/>
      <c r="S116" s="148"/>
      <c r="T116" s="148"/>
      <c r="U116" s="155"/>
      <c r="V116" s="153"/>
      <c r="W116" s="153"/>
      <c r="X116" s="191"/>
      <c r="Y116" s="191"/>
      <c r="Z116" s="191"/>
      <c r="AA116" s="191"/>
      <c r="AB116" s="143">
        <f t="shared" si="18"/>
        <v>0</v>
      </c>
      <c r="AC116" s="191"/>
      <c r="AD116" s="191"/>
      <c r="AE116" s="191"/>
      <c r="AF116" s="143">
        <f t="shared" si="10"/>
        <v>0</v>
      </c>
      <c r="AG116" s="191"/>
      <c r="AH116" s="191"/>
      <c r="AI116" s="191"/>
      <c r="AJ116" s="143">
        <f t="shared" si="11"/>
        <v>0</v>
      </c>
      <c r="AK116" s="191"/>
      <c r="AL116" s="191"/>
      <c r="AM116" s="191"/>
      <c r="AN116" s="143">
        <f t="shared" si="12"/>
        <v>0</v>
      </c>
      <c r="AO116" s="191"/>
      <c r="AP116" s="191"/>
      <c r="AQ116" s="191"/>
      <c r="AR116" s="143">
        <f t="shared" si="13"/>
        <v>0</v>
      </c>
      <c r="AS116" s="191"/>
      <c r="AT116" s="191"/>
      <c r="AU116" s="191"/>
      <c r="AV116" s="143">
        <f t="shared" si="14"/>
        <v>0</v>
      </c>
      <c r="AW116" s="191"/>
      <c r="AX116" s="191"/>
      <c r="AY116" s="191"/>
      <c r="AZ116" s="143">
        <f t="shared" si="15"/>
        <v>0</v>
      </c>
      <c r="BA116" s="191"/>
      <c r="BB116" s="191"/>
      <c r="BC116" s="191"/>
      <c r="BD116" s="143">
        <f t="shared" si="16"/>
        <v>0</v>
      </c>
      <c r="BE116" s="143">
        <f t="shared" si="17"/>
        <v>0</v>
      </c>
      <c r="BF116" s="191"/>
    </row>
    <row r="117" spans="1:58" ht="27" customHeight="1">
      <c r="A117" s="157" t="s">
        <v>46</v>
      </c>
      <c r="B117" s="156"/>
      <c r="C117" s="148"/>
      <c r="D117" s="148"/>
      <c r="E117" s="149"/>
      <c r="F117" s="149"/>
      <c r="G117" s="150"/>
      <c r="H117" s="151"/>
      <c r="I117" s="152"/>
      <c r="J117" s="148"/>
      <c r="K117" s="148"/>
      <c r="L117" s="153"/>
      <c r="M117" s="154"/>
      <c r="N117" s="148"/>
      <c r="O117" s="148"/>
      <c r="P117" s="148"/>
      <c r="Q117" s="154"/>
      <c r="R117" s="148"/>
      <c r="S117" s="148"/>
      <c r="T117" s="148"/>
      <c r="U117" s="155"/>
      <c r="V117" s="153"/>
      <c r="W117" s="153"/>
      <c r="X117" s="191"/>
      <c r="Y117" s="191"/>
      <c r="Z117" s="191"/>
      <c r="AA117" s="191"/>
      <c r="AB117" s="143">
        <f t="shared" si="18"/>
        <v>0</v>
      </c>
      <c r="AC117" s="191"/>
      <c r="AD117" s="191"/>
      <c r="AE117" s="191"/>
      <c r="AF117" s="143">
        <f t="shared" si="10"/>
        <v>0</v>
      </c>
      <c r="AG117" s="191"/>
      <c r="AH117" s="191"/>
      <c r="AI117" s="191"/>
      <c r="AJ117" s="143">
        <f t="shared" si="11"/>
        <v>0</v>
      </c>
      <c r="AK117" s="191"/>
      <c r="AL117" s="191"/>
      <c r="AM117" s="191"/>
      <c r="AN117" s="143">
        <f t="shared" si="12"/>
        <v>0</v>
      </c>
      <c r="AO117" s="191"/>
      <c r="AP117" s="191"/>
      <c r="AQ117" s="191"/>
      <c r="AR117" s="143">
        <f t="shared" si="13"/>
        <v>0</v>
      </c>
      <c r="AS117" s="191"/>
      <c r="AT117" s="191"/>
      <c r="AU117" s="191"/>
      <c r="AV117" s="143">
        <f t="shared" si="14"/>
        <v>0</v>
      </c>
      <c r="AW117" s="191"/>
      <c r="AX117" s="191"/>
      <c r="AY117" s="191"/>
      <c r="AZ117" s="143">
        <f t="shared" si="15"/>
        <v>0</v>
      </c>
      <c r="BA117" s="191"/>
      <c r="BB117" s="191"/>
      <c r="BC117" s="191"/>
      <c r="BD117" s="143">
        <f t="shared" si="16"/>
        <v>0</v>
      </c>
      <c r="BE117" s="143">
        <f t="shared" si="17"/>
        <v>0</v>
      </c>
      <c r="BF117" s="191"/>
    </row>
    <row r="118" spans="1:58" ht="27" customHeight="1">
      <c r="A118" s="157" t="s">
        <v>46</v>
      </c>
      <c r="B118" s="156"/>
      <c r="C118" s="148"/>
      <c r="D118" s="148"/>
      <c r="E118" s="149"/>
      <c r="F118" s="149"/>
      <c r="G118" s="150"/>
      <c r="H118" s="151"/>
      <c r="I118" s="152"/>
      <c r="J118" s="148"/>
      <c r="K118" s="148"/>
      <c r="L118" s="153"/>
      <c r="M118" s="154"/>
      <c r="N118" s="148"/>
      <c r="O118" s="148"/>
      <c r="P118" s="148"/>
      <c r="Q118" s="154"/>
      <c r="R118" s="148"/>
      <c r="S118" s="148"/>
      <c r="T118" s="148"/>
      <c r="U118" s="155"/>
      <c r="V118" s="153"/>
      <c r="W118" s="153"/>
      <c r="X118" s="191"/>
      <c r="Y118" s="191"/>
      <c r="Z118" s="191"/>
      <c r="AA118" s="191"/>
      <c r="AB118" s="143">
        <f t="shared" si="18"/>
        <v>0</v>
      </c>
      <c r="AC118" s="191"/>
      <c r="AD118" s="191"/>
      <c r="AE118" s="191"/>
      <c r="AF118" s="143">
        <f t="shared" si="10"/>
        <v>0</v>
      </c>
      <c r="AG118" s="191"/>
      <c r="AH118" s="191"/>
      <c r="AI118" s="191"/>
      <c r="AJ118" s="143">
        <f t="shared" si="11"/>
        <v>0</v>
      </c>
      <c r="AK118" s="191"/>
      <c r="AL118" s="191"/>
      <c r="AM118" s="191"/>
      <c r="AN118" s="143">
        <f t="shared" si="12"/>
        <v>0</v>
      </c>
      <c r="AO118" s="191"/>
      <c r="AP118" s="191"/>
      <c r="AQ118" s="191"/>
      <c r="AR118" s="143">
        <f t="shared" si="13"/>
        <v>0</v>
      </c>
      <c r="AS118" s="191"/>
      <c r="AT118" s="191"/>
      <c r="AU118" s="191"/>
      <c r="AV118" s="143">
        <f t="shared" si="14"/>
        <v>0</v>
      </c>
      <c r="AW118" s="191"/>
      <c r="AX118" s="191"/>
      <c r="AY118" s="191"/>
      <c r="AZ118" s="143">
        <f t="shared" si="15"/>
        <v>0</v>
      </c>
      <c r="BA118" s="191"/>
      <c r="BB118" s="191"/>
      <c r="BC118" s="191"/>
      <c r="BD118" s="143">
        <f t="shared" si="16"/>
        <v>0</v>
      </c>
      <c r="BE118" s="143">
        <f t="shared" si="17"/>
        <v>0</v>
      </c>
      <c r="BF118" s="191"/>
    </row>
    <row r="119" spans="1:58" ht="27" customHeight="1">
      <c r="A119" s="157" t="s">
        <v>46</v>
      </c>
      <c r="B119" s="156"/>
      <c r="C119" s="148"/>
      <c r="D119" s="148"/>
      <c r="E119" s="149"/>
      <c r="F119" s="149"/>
      <c r="G119" s="150"/>
      <c r="H119" s="151"/>
      <c r="I119" s="152"/>
      <c r="J119" s="148"/>
      <c r="K119" s="148"/>
      <c r="L119" s="153"/>
      <c r="M119" s="154"/>
      <c r="N119" s="148"/>
      <c r="O119" s="148"/>
      <c r="P119" s="148"/>
      <c r="Q119" s="154"/>
      <c r="R119" s="148"/>
      <c r="S119" s="148"/>
      <c r="T119" s="148"/>
      <c r="U119" s="155"/>
      <c r="V119" s="153"/>
      <c r="W119" s="153"/>
      <c r="X119" s="191"/>
      <c r="Y119" s="191"/>
      <c r="Z119" s="191"/>
      <c r="AA119" s="191"/>
      <c r="AB119" s="143">
        <f t="shared" si="18"/>
        <v>0</v>
      </c>
      <c r="AC119" s="191"/>
      <c r="AD119" s="191"/>
      <c r="AE119" s="191"/>
      <c r="AF119" s="143">
        <f t="shared" si="10"/>
        <v>0</v>
      </c>
      <c r="AG119" s="191"/>
      <c r="AH119" s="191"/>
      <c r="AI119" s="191"/>
      <c r="AJ119" s="143">
        <f t="shared" si="11"/>
        <v>0</v>
      </c>
      <c r="AK119" s="191"/>
      <c r="AL119" s="191"/>
      <c r="AM119" s="191"/>
      <c r="AN119" s="143">
        <f t="shared" si="12"/>
        <v>0</v>
      </c>
      <c r="AO119" s="191"/>
      <c r="AP119" s="191"/>
      <c r="AQ119" s="191"/>
      <c r="AR119" s="143">
        <f t="shared" si="13"/>
        <v>0</v>
      </c>
      <c r="AS119" s="191"/>
      <c r="AT119" s="191"/>
      <c r="AU119" s="191"/>
      <c r="AV119" s="143">
        <f t="shared" si="14"/>
        <v>0</v>
      </c>
      <c r="AW119" s="191"/>
      <c r="AX119" s="191"/>
      <c r="AY119" s="191"/>
      <c r="AZ119" s="143">
        <f t="shared" si="15"/>
        <v>0</v>
      </c>
      <c r="BA119" s="191"/>
      <c r="BB119" s="191"/>
      <c r="BC119" s="191"/>
      <c r="BD119" s="143">
        <f t="shared" si="16"/>
        <v>0</v>
      </c>
      <c r="BE119" s="143">
        <f t="shared" si="17"/>
        <v>0</v>
      </c>
      <c r="BF119" s="191"/>
    </row>
    <row r="120" spans="1:58" ht="27" customHeight="1">
      <c r="A120" s="157" t="s">
        <v>46</v>
      </c>
      <c r="B120" s="156"/>
      <c r="C120" s="148"/>
      <c r="D120" s="148"/>
      <c r="E120" s="149"/>
      <c r="F120" s="149"/>
      <c r="G120" s="150"/>
      <c r="H120" s="151"/>
      <c r="I120" s="152"/>
      <c r="J120" s="148"/>
      <c r="K120" s="148"/>
      <c r="L120" s="153"/>
      <c r="M120" s="154"/>
      <c r="N120" s="148"/>
      <c r="O120" s="148"/>
      <c r="P120" s="148"/>
      <c r="Q120" s="154"/>
      <c r="R120" s="148"/>
      <c r="S120" s="148"/>
      <c r="T120" s="148"/>
      <c r="U120" s="155"/>
      <c r="V120" s="153"/>
      <c r="W120" s="153"/>
      <c r="X120" s="191"/>
      <c r="Y120" s="191"/>
      <c r="Z120" s="191"/>
      <c r="AA120" s="191"/>
      <c r="AB120" s="143">
        <f t="shared" si="18"/>
        <v>0</v>
      </c>
      <c r="AC120" s="191"/>
      <c r="AD120" s="191"/>
      <c r="AE120" s="191"/>
      <c r="AF120" s="143">
        <f t="shared" si="10"/>
        <v>0</v>
      </c>
      <c r="AG120" s="191"/>
      <c r="AH120" s="191"/>
      <c r="AI120" s="191"/>
      <c r="AJ120" s="143">
        <f t="shared" si="11"/>
        <v>0</v>
      </c>
      <c r="AK120" s="191"/>
      <c r="AL120" s="191"/>
      <c r="AM120" s="191"/>
      <c r="AN120" s="143">
        <f t="shared" si="12"/>
        <v>0</v>
      </c>
      <c r="AO120" s="191"/>
      <c r="AP120" s="191"/>
      <c r="AQ120" s="191"/>
      <c r="AR120" s="143">
        <f t="shared" si="13"/>
        <v>0</v>
      </c>
      <c r="AS120" s="191"/>
      <c r="AT120" s="191"/>
      <c r="AU120" s="191"/>
      <c r="AV120" s="143">
        <f t="shared" si="14"/>
        <v>0</v>
      </c>
      <c r="AW120" s="191"/>
      <c r="AX120" s="191"/>
      <c r="AY120" s="191"/>
      <c r="AZ120" s="143">
        <f t="shared" si="15"/>
        <v>0</v>
      </c>
      <c r="BA120" s="191"/>
      <c r="BB120" s="191"/>
      <c r="BC120" s="191"/>
      <c r="BD120" s="143">
        <f t="shared" si="16"/>
        <v>0</v>
      </c>
      <c r="BE120" s="143">
        <f t="shared" si="17"/>
        <v>0</v>
      </c>
      <c r="BF120" s="191"/>
    </row>
    <row r="121" spans="1:58" ht="27" customHeight="1">
      <c r="A121" s="157" t="s">
        <v>46</v>
      </c>
      <c r="B121" s="156"/>
      <c r="C121" s="148"/>
      <c r="D121" s="148"/>
      <c r="E121" s="149"/>
      <c r="F121" s="149"/>
      <c r="G121" s="150"/>
      <c r="H121" s="151"/>
      <c r="I121" s="152"/>
      <c r="J121" s="148"/>
      <c r="K121" s="148"/>
      <c r="L121" s="153"/>
      <c r="M121" s="154"/>
      <c r="N121" s="148"/>
      <c r="O121" s="148"/>
      <c r="P121" s="148"/>
      <c r="Q121" s="154"/>
      <c r="R121" s="148"/>
      <c r="S121" s="148"/>
      <c r="T121" s="148"/>
      <c r="U121" s="155"/>
      <c r="V121" s="153"/>
      <c r="W121" s="153"/>
      <c r="X121" s="191"/>
      <c r="Y121" s="191"/>
      <c r="Z121" s="191"/>
      <c r="AA121" s="191"/>
      <c r="AB121" s="143">
        <f t="shared" si="18"/>
        <v>0</v>
      </c>
      <c r="AC121" s="191"/>
      <c r="AD121" s="191"/>
      <c r="AE121" s="191"/>
      <c r="AF121" s="143">
        <f t="shared" ref="AF121:AF139" si="19">AE121+AD121+AC121</f>
        <v>0</v>
      </c>
      <c r="AG121" s="191"/>
      <c r="AH121" s="191"/>
      <c r="AI121" s="191"/>
      <c r="AJ121" s="143">
        <f t="shared" ref="AJ121:AJ139" si="20">AI121+AH121+AG121</f>
        <v>0</v>
      </c>
      <c r="AK121" s="191"/>
      <c r="AL121" s="191"/>
      <c r="AM121" s="191"/>
      <c r="AN121" s="143">
        <f t="shared" ref="AN121:AN139" si="21">AM121+AL121+AK121</f>
        <v>0</v>
      </c>
      <c r="AO121" s="191"/>
      <c r="AP121" s="191"/>
      <c r="AQ121" s="191"/>
      <c r="AR121" s="143">
        <f t="shared" ref="AR121:AR139" si="22">AQ121+AP121+AO121</f>
        <v>0</v>
      </c>
      <c r="AS121" s="191"/>
      <c r="AT121" s="191"/>
      <c r="AU121" s="191"/>
      <c r="AV121" s="143">
        <f t="shared" ref="AV121:AV139" si="23">AU121+AT121+AS121</f>
        <v>0</v>
      </c>
      <c r="AW121" s="191"/>
      <c r="AX121" s="191"/>
      <c r="AY121" s="191"/>
      <c r="AZ121" s="143">
        <f t="shared" ref="AZ121:AZ139" si="24">AY121+AX121+AW121</f>
        <v>0</v>
      </c>
      <c r="BA121" s="191"/>
      <c r="BB121" s="191"/>
      <c r="BC121" s="191"/>
      <c r="BD121" s="143">
        <f t="shared" ref="BD121:BD139" si="25">BC121+BB121+BA121</f>
        <v>0</v>
      </c>
      <c r="BE121" s="143">
        <f t="shared" ref="BE121:BE139" si="26">AB121+AF121+AJ121+AN121+AR121+AV121+AZ121</f>
        <v>0</v>
      </c>
      <c r="BF121" s="191"/>
    </row>
    <row r="122" spans="1:58" ht="27" customHeight="1">
      <c r="A122" s="157" t="s">
        <v>46</v>
      </c>
      <c r="B122" s="156"/>
      <c r="C122" s="148"/>
      <c r="D122" s="148"/>
      <c r="E122" s="149"/>
      <c r="F122" s="149"/>
      <c r="G122" s="150"/>
      <c r="H122" s="151"/>
      <c r="I122" s="152"/>
      <c r="J122" s="148"/>
      <c r="K122" s="148"/>
      <c r="L122" s="153"/>
      <c r="M122" s="154"/>
      <c r="N122" s="148"/>
      <c r="O122" s="148"/>
      <c r="P122" s="148"/>
      <c r="Q122" s="154"/>
      <c r="R122" s="148"/>
      <c r="S122" s="148"/>
      <c r="T122" s="148"/>
      <c r="U122" s="155"/>
      <c r="V122" s="153"/>
      <c r="W122" s="153"/>
      <c r="X122" s="191"/>
      <c r="Y122" s="191"/>
      <c r="Z122" s="191"/>
      <c r="AA122" s="191"/>
      <c r="AB122" s="143">
        <f t="shared" si="18"/>
        <v>0</v>
      </c>
      <c r="AC122" s="191"/>
      <c r="AD122" s="191"/>
      <c r="AE122" s="191"/>
      <c r="AF122" s="143">
        <f t="shared" si="19"/>
        <v>0</v>
      </c>
      <c r="AG122" s="191"/>
      <c r="AH122" s="191"/>
      <c r="AI122" s="191"/>
      <c r="AJ122" s="143">
        <f t="shared" si="20"/>
        <v>0</v>
      </c>
      <c r="AK122" s="191"/>
      <c r="AL122" s="191"/>
      <c r="AM122" s="191"/>
      <c r="AN122" s="143">
        <f t="shared" si="21"/>
        <v>0</v>
      </c>
      <c r="AO122" s="191"/>
      <c r="AP122" s="191"/>
      <c r="AQ122" s="191"/>
      <c r="AR122" s="143">
        <f t="shared" si="22"/>
        <v>0</v>
      </c>
      <c r="AS122" s="191"/>
      <c r="AT122" s="191"/>
      <c r="AU122" s="191"/>
      <c r="AV122" s="143">
        <f t="shared" si="23"/>
        <v>0</v>
      </c>
      <c r="AW122" s="191"/>
      <c r="AX122" s="191"/>
      <c r="AY122" s="191"/>
      <c r="AZ122" s="143">
        <f t="shared" si="24"/>
        <v>0</v>
      </c>
      <c r="BA122" s="191"/>
      <c r="BB122" s="191"/>
      <c r="BC122" s="191"/>
      <c r="BD122" s="143">
        <f t="shared" si="25"/>
        <v>0</v>
      </c>
      <c r="BE122" s="143">
        <f t="shared" si="26"/>
        <v>0</v>
      </c>
      <c r="BF122" s="191"/>
    </row>
    <row r="123" spans="1:58" ht="27" customHeight="1">
      <c r="A123" s="157" t="s">
        <v>46</v>
      </c>
      <c r="B123" s="156"/>
      <c r="C123" s="148"/>
      <c r="D123" s="148"/>
      <c r="E123" s="149"/>
      <c r="F123" s="149"/>
      <c r="G123" s="150"/>
      <c r="H123" s="151"/>
      <c r="I123" s="152"/>
      <c r="J123" s="148"/>
      <c r="K123" s="148"/>
      <c r="L123" s="153"/>
      <c r="M123" s="154"/>
      <c r="N123" s="148"/>
      <c r="O123" s="148"/>
      <c r="P123" s="148"/>
      <c r="Q123" s="154"/>
      <c r="R123" s="148"/>
      <c r="S123" s="148"/>
      <c r="T123" s="148"/>
      <c r="U123" s="155"/>
      <c r="V123" s="153"/>
      <c r="W123" s="153"/>
      <c r="X123" s="191"/>
      <c r="Y123" s="191"/>
      <c r="Z123" s="191"/>
      <c r="AA123" s="191"/>
      <c r="AB123" s="143">
        <f t="shared" si="18"/>
        <v>0</v>
      </c>
      <c r="AC123" s="191"/>
      <c r="AD123" s="191"/>
      <c r="AE123" s="191"/>
      <c r="AF123" s="143">
        <f t="shared" si="19"/>
        <v>0</v>
      </c>
      <c r="AG123" s="191"/>
      <c r="AH123" s="191"/>
      <c r="AI123" s="191"/>
      <c r="AJ123" s="143">
        <f t="shared" si="20"/>
        <v>0</v>
      </c>
      <c r="AK123" s="191"/>
      <c r="AL123" s="191"/>
      <c r="AM123" s="191"/>
      <c r="AN123" s="143">
        <f t="shared" si="21"/>
        <v>0</v>
      </c>
      <c r="AO123" s="191"/>
      <c r="AP123" s="191"/>
      <c r="AQ123" s="191"/>
      <c r="AR123" s="143">
        <f t="shared" si="22"/>
        <v>0</v>
      </c>
      <c r="AS123" s="191"/>
      <c r="AT123" s="191"/>
      <c r="AU123" s="191"/>
      <c r="AV123" s="143">
        <f t="shared" si="23"/>
        <v>0</v>
      </c>
      <c r="AW123" s="191"/>
      <c r="AX123" s="191"/>
      <c r="AY123" s="191"/>
      <c r="AZ123" s="143">
        <f t="shared" si="24"/>
        <v>0</v>
      </c>
      <c r="BA123" s="191"/>
      <c r="BB123" s="191"/>
      <c r="BC123" s="191"/>
      <c r="BD123" s="143">
        <f t="shared" si="25"/>
        <v>0</v>
      </c>
      <c r="BE123" s="143">
        <f t="shared" si="26"/>
        <v>0</v>
      </c>
      <c r="BF123" s="191"/>
    </row>
    <row r="124" spans="1:58" ht="27" customHeight="1">
      <c r="A124" s="157" t="s">
        <v>46</v>
      </c>
      <c r="B124" s="156"/>
      <c r="C124" s="148"/>
      <c r="D124" s="148"/>
      <c r="E124" s="149"/>
      <c r="F124" s="149"/>
      <c r="G124" s="150"/>
      <c r="H124" s="151"/>
      <c r="I124" s="152"/>
      <c r="J124" s="148"/>
      <c r="K124" s="148"/>
      <c r="L124" s="153"/>
      <c r="M124" s="154"/>
      <c r="N124" s="148"/>
      <c r="O124" s="148"/>
      <c r="P124" s="148"/>
      <c r="Q124" s="154"/>
      <c r="R124" s="148"/>
      <c r="S124" s="148"/>
      <c r="T124" s="148"/>
      <c r="U124" s="155"/>
      <c r="V124" s="153"/>
      <c r="W124" s="153"/>
      <c r="X124" s="191"/>
      <c r="Y124" s="191"/>
      <c r="Z124" s="191"/>
      <c r="AA124" s="191"/>
      <c r="AB124" s="143">
        <f t="shared" si="18"/>
        <v>0</v>
      </c>
      <c r="AC124" s="191"/>
      <c r="AD124" s="191"/>
      <c r="AE124" s="191"/>
      <c r="AF124" s="143">
        <f t="shared" si="19"/>
        <v>0</v>
      </c>
      <c r="AG124" s="191"/>
      <c r="AH124" s="191"/>
      <c r="AI124" s="191"/>
      <c r="AJ124" s="143">
        <f t="shared" si="20"/>
        <v>0</v>
      </c>
      <c r="AK124" s="191"/>
      <c r="AL124" s="191"/>
      <c r="AM124" s="191"/>
      <c r="AN124" s="143">
        <f t="shared" si="21"/>
        <v>0</v>
      </c>
      <c r="AO124" s="191"/>
      <c r="AP124" s="191"/>
      <c r="AQ124" s="191"/>
      <c r="AR124" s="143">
        <f t="shared" si="22"/>
        <v>0</v>
      </c>
      <c r="AS124" s="191"/>
      <c r="AT124" s="191"/>
      <c r="AU124" s="191"/>
      <c r="AV124" s="143">
        <f t="shared" si="23"/>
        <v>0</v>
      </c>
      <c r="AW124" s="191"/>
      <c r="AX124" s="191"/>
      <c r="AY124" s="191"/>
      <c r="AZ124" s="143">
        <f t="shared" si="24"/>
        <v>0</v>
      </c>
      <c r="BA124" s="191"/>
      <c r="BB124" s="191"/>
      <c r="BC124" s="191"/>
      <c r="BD124" s="143">
        <f t="shared" si="25"/>
        <v>0</v>
      </c>
      <c r="BE124" s="143">
        <f t="shared" si="26"/>
        <v>0</v>
      </c>
      <c r="BF124" s="191"/>
    </row>
    <row r="125" spans="1:58" ht="27" customHeight="1">
      <c r="A125" s="157" t="s">
        <v>46</v>
      </c>
      <c r="B125" s="156"/>
      <c r="C125" s="148"/>
      <c r="D125" s="148"/>
      <c r="E125" s="149"/>
      <c r="F125" s="149"/>
      <c r="G125" s="150"/>
      <c r="H125" s="151"/>
      <c r="I125" s="152"/>
      <c r="J125" s="148"/>
      <c r="K125" s="148"/>
      <c r="L125" s="153"/>
      <c r="M125" s="154"/>
      <c r="N125" s="148"/>
      <c r="O125" s="148"/>
      <c r="P125" s="148"/>
      <c r="Q125" s="154"/>
      <c r="R125" s="148"/>
      <c r="S125" s="148"/>
      <c r="T125" s="148"/>
      <c r="U125" s="155"/>
      <c r="V125" s="153"/>
      <c r="W125" s="153"/>
      <c r="X125" s="191"/>
      <c r="Y125" s="191"/>
      <c r="Z125" s="191"/>
      <c r="AA125" s="191"/>
      <c r="AB125" s="143">
        <f t="shared" si="18"/>
        <v>0</v>
      </c>
      <c r="AC125" s="191"/>
      <c r="AD125" s="191"/>
      <c r="AE125" s="191"/>
      <c r="AF125" s="143">
        <f t="shared" si="19"/>
        <v>0</v>
      </c>
      <c r="AG125" s="191"/>
      <c r="AH125" s="191"/>
      <c r="AI125" s="191"/>
      <c r="AJ125" s="143">
        <f t="shared" si="20"/>
        <v>0</v>
      </c>
      <c r="AK125" s="191"/>
      <c r="AL125" s="191"/>
      <c r="AM125" s="191"/>
      <c r="AN125" s="143">
        <f t="shared" si="21"/>
        <v>0</v>
      </c>
      <c r="AO125" s="191"/>
      <c r="AP125" s="191"/>
      <c r="AQ125" s="191"/>
      <c r="AR125" s="143">
        <f t="shared" si="22"/>
        <v>0</v>
      </c>
      <c r="AS125" s="191"/>
      <c r="AT125" s="191"/>
      <c r="AU125" s="191"/>
      <c r="AV125" s="143">
        <f t="shared" si="23"/>
        <v>0</v>
      </c>
      <c r="AW125" s="191"/>
      <c r="AX125" s="191"/>
      <c r="AY125" s="191"/>
      <c r="AZ125" s="143">
        <f t="shared" si="24"/>
        <v>0</v>
      </c>
      <c r="BA125" s="191"/>
      <c r="BB125" s="191"/>
      <c r="BC125" s="191"/>
      <c r="BD125" s="143">
        <f t="shared" si="25"/>
        <v>0</v>
      </c>
      <c r="BE125" s="143">
        <f t="shared" si="26"/>
        <v>0</v>
      </c>
      <c r="BF125" s="191"/>
    </row>
    <row r="126" spans="1:58" ht="27" customHeight="1">
      <c r="A126" s="157" t="s">
        <v>46</v>
      </c>
      <c r="B126" s="156"/>
      <c r="C126" s="148"/>
      <c r="D126" s="148"/>
      <c r="E126" s="149"/>
      <c r="F126" s="149"/>
      <c r="G126" s="150"/>
      <c r="H126" s="151"/>
      <c r="I126" s="152"/>
      <c r="J126" s="148"/>
      <c r="K126" s="148"/>
      <c r="L126" s="153"/>
      <c r="M126" s="154"/>
      <c r="N126" s="148"/>
      <c r="O126" s="148"/>
      <c r="P126" s="148"/>
      <c r="Q126" s="154"/>
      <c r="R126" s="148"/>
      <c r="S126" s="148"/>
      <c r="T126" s="148"/>
      <c r="U126" s="155"/>
      <c r="V126" s="153"/>
      <c r="W126" s="153"/>
      <c r="X126" s="191"/>
      <c r="Y126" s="191"/>
      <c r="Z126" s="191"/>
      <c r="AA126" s="191"/>
      <c r="AB126" s="143">
        <f t="shared" si="18"/>
        <v>0</v>
      </c>
      <c r="AC126" s="191"/>
      <c r="AD126" s="191"/>
      <c r="AE126" s="191"/>
      <c r="AF126" s="143">
        <f t="shared" si="19"/>
        <v>0</v>
      </c>
      <c r="AG126" s="191"/>
      <c r="AH126" s="191"/>
      <c r="AI126" s="191"/>
      <c r="AJ126" s="143">
        <f t="shared" si="20"/>
        <v>0</v>
      </c>
      <c r="AK126" s="191"/>
      <c r="AL126" s="191"/>
      <c r="AM126" s="191"/>
      <c r="AN126" s="143">
        <f t="shared" si="21"/>
        <v>0</v>
      </c>
      <c r="AO126" s="191"/>
      <c r="AP126" s="191"/>
      <c r="AQ126" s="191"/>
      <c r="AR126" s="143">
        <f t="shared" si="22"/>
        <v>0</v>
      </c>
      <c r="AS126" s="191"/>
      <c r="AT126" s="191"/>
      <c r="AU126" s="191"/>
      <c r="AV126" s="143">
        <f t="shared" si="23"/>
        <v>0</v>
      </c>
      <c r="AW126" s="191"/>
      <c r="AX126" s="191"/>
      <c r="AY126" s="191"/>
      <c r="AZ126" s="143">
        <f t="shared" si="24"/>
        <v>0</v>
      </c>
      <c r="BA126" s="191"/>
      <c r="BB126" s="191"/>
      <c r="BC126" s="191"/>
      <c r="BD126" s="143">
        <f t="shared" si="25"/>
        <v>0</v>
      </c>
      <c r="BE126" s="143">
        <f t="shared" si="26"/>
        <v>0</v>
      </c>
      <c r="BF126" s="191"/>
    </row>
    <row r="127" spans="1:58" ht="27" customHeight="1">
      <c r="A127" s="157"/>
      <c r="B127" s="156"/>
      <c r="C127" s="148"/>
      <c r="D127" s="148"/>
      <c r="E127" s="149"/>
      <c r="F127" s="149"/>
      <c r="G127" s="150"/>
      <c r="H127" s="151"/>
      <c r="I127" s="152"/>
      <c r="J127" s="148"/>
      <c r="K127" s="148"/>
      <c r="L127" s="153"/>
      <c r="M127" s="154"/>
      <c r="N127" s="148"/>
      <c r="O127" s="148"/>
      <c r="P127" s="148"/>
      <c r="Q127" s="154"/>
      <c r="R127" s="148"/>
      <c r="S127" s="148"/>
      <c r="T127" s="148"/>
      <c r="U127" s="155"/>
      <c r="V127" s="153"/>
      <c r="W127" s="153"/>
      <c r="X127" s="191"/>
      <c r="Y127" s="191"/>
      <c r="Z127" s="191"/>
      <c r="AA127" s="191"/>
      <c r="AB127" s="143">
        <f t="shared" si="18"/>
        <v>0</v>
      </c>
      <c r="AC127" s="191"/>
      <c r="AD127" s="191"/>
      <c r="AE127" s="191"/>
      <c r="AF127" s="143">
        <f t="shared" si="19"/>
        <v>0</v>
      </c>
      <c r="AG127" s="191"/>
      <c r="AH127" s="191"/>
      <c r="AI127" s="191"/>
      <c r="AJ127" s="143">
        <f t="shared" si="20"/>
        <v>0</v>
      </c>
      <c r="AK127" s="191"/>
      <c r="AL127" s="191"/>
      <c r="AM127" s="191"/>
      <c r="AN127" s="143">
        <f t="shared" si="21"/>
        <v>0</v>
      </c>
      <c r="AO127" s="191"/>
      <c r="AP127" s="191"/>
      <c r="AQ127" s="191"/>
      <c r="AR127" s="143">
        <f t="shared" si="22"/>
        <v>0</v>
      </c>
      <c r="AS127" s="191"/>
      <c r="AT127" s="191"/>
      <c r="AU127" s="191"/>
      <c r="AV127" s="143">
        <f t="shared" si="23"/>
        <v>0</v>
      </c>
      <c r="AW127" s="191"/>
      <c r="AX127" s="191"/>
      <c r="AY127" s="191"/>
      <c r="AZ127" s="143">
        <f t="shared" si="24"/>
        <v>0</v>
      </c>
      <c r="BA127" s="191"/>
      <c r="BB127" s="191"/>
      <c r="BC127" s="191"/>
      <c r="BD127" s="143">
        <f t="shared" si="25"/>
        <v>0</v>
      </c>
      <c r="BE127" s="143">
        <f t="shared" si="26"/>
        <v>0</v>
      </c>
      <c r="BF127" s="191"/>
    </row>
    <row r="128" spans="1:58" ht="27" customHeight="1">
      <c r="A128" s="157"/>
      <c r="B128" s="156"/>
      <c r="C128" s="148"/>
      <c r="D128" s="148"/>
      <c r="E128" s="149"/>
      <c r="F128" s="149"/>
      <c r="G128" s="150"/>
      <c r="H128" s="151"/>
      <c r="I128" s="152"/>
      <c r="J128" s="148"/>
      <c r="K128" s="148"/>
      <c r="L128" s="153"/>
      <c r="M128" s="154"/>
      <c r="N128" s="148"/>
      <c r="O128" s="148"/>
      <c r="P128" s="148"/>
      <c r="Q128" s="154"/>
      <c r="R128" s="148"/>
      <c r="S128" s="148"/>
      <c r="T128" s="148"/>
      <c r="U128" s="155"/>
      <c r="V128" s="153"/>
      <c r="W128" s="153"/>
      <c r="X128" s="191"/>
      <c r="Y128" s="191"/>
      <c r="Z128" s="191"/>
      <c r="AA128" s="191"/>
      <c r="AB128" s="143">
        <f t="shared" ref="AB128:AB139" si="27">Y128+Z128+AA128</f>
        <v>0</v>
      </c>
      <c r="AC128" s="191"/>
      <c r="AD128" s="191"/>
      <c r="AE128" s="191"/>
      <c r="AF128" s="143">
        <f t="shared" si="19"/>
        <v>0</v>
      </c>
      <c r="AG128" s="191"/>
      <c r="AH128" s="191"/>
      <c r="AI128" s="191"/>
      <c r="AJ128" s="143">
        <f t="shared" si="20"/>
        <v>0</v>
      </c>
      <c r="AK128" s="191"/>
      <c r="AL128" s="191"/>
      <c r="AM128" s="191"/>
      <c r="AN128" s="143">
        <f t="shared" si="21"/>
        <v>0</v>
      </c>
      <c r="AO128" s="191"/>
      <c r="AP128" s="191"/>
      <c r="AQ128" s="191"/>
      <c r="AR128" s="143">
        <f t="shared" si="22"/>
        <v>0</v>
      </c>
      <c r="AS128" s="191"/>
      <c r="AT128" s="191"/>
      <c r="AU128" s="191"/>
      <c r="AV128" s="143">
        <f t="shared" si="23"/>
        <v>0</v>
      </c>
      <c r="AW128" s="191"/>
      <c r="AX128" s="191"/>
      <c r="AY128" s="191"/>
      <c r="AZ128" s="143">
        <f t="shared" si="24"/>
        <v>0</v>
      </c>
      <c r="BA128" s="191"/>
      <c r="BB128" s="191"/>
      <c r="BC128" s="191"/>
      <c r="BD128" s="143">
        <f t="shared" si="25"/>
        <v>0</v>
      </c>
      <c r="BE128" s="143">
        <f t="shared" si="26"/>
        <v>0</v>
      </c>
      <c r="BF128" s="191"/>
    </row>
    <row r="129" spans="1:58" ht="27" customHeight="1">
      <c r="A129" s="157"/>
      <c r="B129" s="156"/>
      <c r="C129" s="148"/>
      <c r="D129" s="148"/>
      <c r="E129" s="149"/>
      <c r="F129" s="149"/>
      <c r="G129" s="150"/>
      <c r="H129" s="151"/>
      <c r="I129" s="152"/>
      <c r="J129" s="148"/>
      <c r="K129" s="148"/>
      <c r="L129" s="153"/>
      <c r="M129" s="154"/>
      <c r="N129" s="148"/>
      <c r="O129" s="148"/>
      <c r="P129" s="148"/>
      <c r="Q129" s="154"/>
      <c r="R129" s="148"/>
      <c r="S129" s="148"/>
      <c r="T129" s="148"/>
      <c r="U129" s="155"/>
      <c r="V129" s="153"/>
      <c r="W129" s="153"/>
      <c r="X129" s="191"/>
      <c r="Y129" s="191"/>
      <c r="Z129" s="191"/>
      <c r="AA129" s="191"/>
      <c r="AB129" s="143">
        <f t="shared" si="27"/>
        <v>0</v>
      </c>
      <c r="AC129" s="191"/>
      <c r="AD129" s="191"/>
      <c r="AE129" s="191"/>
      <c r="AF129" s="143">
        <f t="shared" si="19"/>
        <v>0</v>
      </c>
      <c r="AG129" s="191"/>
      <c r="AH129" s="191"/>
      <c r="AI129" s="191"/>
      <c r="AJ129" s="143">
        <f t="shared" si="20"/>
        <v>0</v>
      </c>
      <c r="AK129" s="191"/>
      <c r="AL129" s="191"/>
      <c r="AM129" s="191"/>
      <c r="AN129" s="143">
        <f t="shared" si="21"/>
        <v>0</v>
      </c>
      <c r="AO129" s="191"/>
      <c r="AP129" s="191"/>
      <c r="AQ129" s="191"/>
      <c r="AR129" s="143">
        <f t="shared" si="22"/>
        <v>0</v>
      </c>
      <c r="AS129" s="191"/>
      <c r="AT129" s="191"/>
      <c r="AU129" s="191"/>
      <c r="AV129" s="143">
        <f t="shared" si="23"/>
        <v>0</v>
      </c>
      <c r="AW129" s="191"/>
      <c r="AX129" s="191"/>
      <c r="AY129" s="191"/>
      <c r="AZ129" s="143">
        <f t="shared" si="24"/>
        <v>0</v>
      </c>
      <c r="BA129" s="191"/>
      <c r="BB129" s="191"/>
      <c r="BC129" s="191"/>
      <c r="BD129" s="143">
        <f t="shared" si="25"/>
        <v>0</v>
      </c>
      <c r="BE129" s="143">
        <f t="shared" si="26"/>
        <v>0</v>
      </c>
      <c r="BF129" s="191"/>
    </row>
    <row r="130" spans="1:58" ht="27" customHeight="1">
      <c r="A130" s="157"/>
      <c r="B130" s="156"/>
      <c r="C130" s="148"/>
      <c r="D130" s="148"/>
      <c r="E130" s="149"/>
      <c r="F130" s="149"/>
      <c r="G130" s="150"/>
      <c r="H130" s="151"/>
      <c r="I130" s="152"/>
      <c r="J130" s="148"/>
      <c r="K130" s="148"/>
      <c r="L130" s="153"/>
      <c r="M130" s="154"/>
      <c r="N130" s="148"/>
      <c r="O130" s="148"/>
      <c r="P130" s="148"/>
      <c r="Q130" s="154"/>
      <c r="R130" s="148"/>
      <c r="S130" s="148"/>
      <c r="T130" s="148"/>
      <c r="U130" s="155"/>
      <c r="V130" s="153"/>
      <c r="W130" s="153"/>
      <c r="X130" s="191"/>
      <c r="Y130" s="191"/>
      <c r="Z130" s="191"/>
      <c r="AA130" s="191"/>
      <c r="AB130" s="143">
        <f t="shared" si="27"/>
        <v>0</v>
      </c>
      <c r="AC130" s="191"/>
      <c r="AD130" s="191"/>
      <c r="AE130" s="191"/>
      <c r="AF130" s="143">
        <f t="shared" si="19"/>
        <v>0</v>
      </c>
      <c r="AG130" s="191"/>
      <c r="AH130" s="191"/>
      <c r="AI130" s="191"/>
      <c r="AJ130" s="143">
        <f t="shared" si="20"/>
        <v>0</v>
      </c>
      <c r="AK130" s="191"/>
      <c r="AL130" s="191"/>
      <c r="AM130" s="191"/>
      <c r="AN130" s="143">
        <f t="shared" si="21"/>
        <v>0</v>
      </c>
      <c r="AO130" s="191"/>
      <c r="AP130" s="191"/>
      <c r="AQ130" s="191"/>
      <c r="AR130" s="143">
        <f t="shared" si="22"/>
        <v>0</v>
      </c>
      <c r="AS130" s="191"/>
      <c r="AT130" s="191"/>
      <c r="AU130" s="191"/>
      <c r="AV130" s="143">
        <f t="shared" si="23"/>
        <v>0</v>
      </c>
      <c r="AW130" s="191"/>
      <c r="AX130" s="191"/>
      <c r="AY130" s="191"/>
      <c r="AZ130" s="143">
        <f t="shared" si="24"/>
        <v>0</v>
      </c>
      <c r="BA130" s="191"/>
      <c r="BB130" s="191"/>
      <c r="BC130" s="191"/>
      <c r="BD130" s="143">
        <f t="shared" si="25"/>
        <v>0</v>
      </c>
      <c r="BE130" s="143">
        <f t="shared" si="26"/>
        <v>0</v>
      </c>
      <c r="BF130" s="191"/>
    </row>
    <row r="131" spans="1:58" ht="27" customHeight="1">
      <c r="A131" s="157"/>
      <c r="B131" s="156"/>
      <c r="C131" s="148"/>
      <c r="D131" s="148"/>
      <c r="E131" s="149"/>
      <c r="F131" s="149"/>
      <c r="G131" s="150"/>
      <c r="H131" s="151"/>
      <c r="I131" s="152"/>
      <c r="J131" s="148"/>
      <c r="K131" s="148"/>
      <c r="L131" s="153"/>
      <c r="M131" s="154"/>
      <c r="N131" s="148"/>
      <c r="O131" s="148"/>
      <c r="P131" s="148"/>
      <c r="Q131" s="154"/>
      <c r="R131" s="148"/>
      <c r="S131" s="148"/>
      <c r="T131" s="148"/>
      <c r="U131" s="155"/>
      <c r="V131" s="153"/>
      <c r="W131" s="153"/>
      <c r="X131" s="191"/>
      <c r="Y131" s="191"/>
      <c r="Z131" s="191"/>
      <c r="AA131" s="191"/>
      <c r="AB131" s="143">
        <f t="shared" si="27"/>
        <v>0</v>
      </c>
      <c r="AC131" s="191"/>
      <c r="AD131" s="191"/>
      <c r="AE131" s="191"/>
      <c r="AF131" s="143">
        <f t="shared" si="19"/>
        <v>0</v>
      </c>
      <c r="AG131" s="191"/>
      <c r="AH131" s="191"/>
      <c r="AI131" s="191"/>
      <c r="AJ131" s="143">
        <f t="shared" si="20"/>
        <v>0</v>
      </c>
      <c r="AK131" s="191"/>
      <c r="AL131" s="191"/>
      <c r="AM131" s="191"/>
      <c r="AN131" s="143">
        <f t="shared" si="21"/>
        <v>0</v>
      </c>
      <c r="AO131" s="191"/>
      <c r="AP131" s="191"/>
      <c r="AQ131" s="191"/>
      <c r="AR131" s="143">
        <f t="shared" si="22"/>
        <v>0</v>
      </c>
      <c r="AS131" s="191"/>
      <c r="AT131" s="191"/>
      <c r="AU131" s="191"/>
      <c r="AV131" s="143">
        <f t="shared" si="23"/>
        <v>0</v>
      </c>
      <c r="AW131" s="191"/>
      <c r="AX131" s="191"/>
      <c r="AY131" s="191"/>
      <c r="AZ131" s="143">
        <f t="shared" si="24"/>
        <v>0</v>
      </c>
      <c r="BA131" s="191"/>
      <c r="BB131" s="191"/>
      <c r="BC131" s="191"/>
      <c r="BD131" s="143">
        <f t="shared" si="25"/>
        <v>0</v>
      </c>
      <c r="BE131" s="143">
        <f t="shared" si="26"/>
        <v>0</v>
      </c>
      <c r="BF131" s="191"/>
    </row>
    <row r="132" spans="1:58" ht="27" customHeight="1">
      <c r="A132" s="157"/>
      <c r="B132" s="156"/>
      <c r="C132" s="148"/>
      <c r="D132" s="148"/>
      <c r="E132" s="149"/>
      <c r="F132" s="149"/>
      <c r="G132" s="150"/>
      <c r="H132" s="151"/>
      <c r="I132" s="152"/>
      <c r="J132" s="148"/>
      <c r="K132" s="148"/>
      <c r="L132" s="153"/>
      <c r="M132" s="154"/>
      <c r="N132" s="148"/>
      <c r="O132" s="148"/>
      <c r="P132" s="148"/>
      <c r="Q132" s="154"/>
      <c r="R132" s="148"/>
      <c r="S132" s="148"/>
      <c r="T132" s="148"/>
      <c r="U132" s="155"/>
      <c r="V132" s="153"/>
      <c r="W132" s="153"/>
      <c r="X132" s="191"/>
      <c r="Y132" s="191"/>
      <c r="Z132" s="191"/>
      <c r="AA132" s="191"/>
      <c r="AB132" s="143">
        <f t="shared" si="27"/>
        <v>0</v>
      </c>
      <c r="AC132" s="191"/>
      <c r="AD132" s="191"/>
      <c r="AE132" s="191"/>
      <c r="AF132" s="143">
        <f t="shared" si="19"/>
        <v>0</v>
      </c>
      <c r="AG132" s="191"/>
      <c r="AH132" s="191"/>
      <c r="AI132" s="191"/>
      <c r="AJ132" s="143">
        <f t="shared" si="20"/>
        <v>0</v>
      </c>
      <c r="AK132" s="191"/>
      <c r="AL132" s="191"/>
      <c r="AM132" s="191"/>
      <c r="AN132" s="143">
        <f t="shared" si="21"/>
        <v>0</v>
      </c>
      <c r="AO132" s="191"/>
      <c r="AP132" s="191"/>
      <c r="AQ132" s="191"/>
      <c r="AR132" s="143">
        <f t="shared" si="22"/>
        <v>0</v>
      </c>
      <c r="AS132" s="191"/>
      <c r="AT132" s="191"/>
      <c r="AU132" s="191"/>
      <c r="AV132" s="143">
        <f t="shared" si="23"/>
        <v>0</v>
      </c>
      <c r="AW132" s="191"/>
      <c r="AX132" s="191"/>
      <c r="AY132" s="191"/>
      <c r="AZ132" s="143">
        <f t="shared" si="24"/>
        <v>0</v>
      </c>
      <c r="BA132" s="191"/>
      <c r="BB132" s="191"/>
      <c r="BC132" s="191"/>
      <c r="BD132" s="143">
        <f t="shared" si="25"/>
        <v>0</v>
      </c>
      <c r="BE132" s="143">
        <f t="shared" si="26"/>
        <v>0</v>
      </c>
      <c r="BF132" s="191"/>
    </row>
    <row r="133" spans="1:58" ht="27" customHeight="1">
      <c r="A133" s="157"/>
      <c r="B133" s="156"/>
      <c r="C133" s="148"/>
      <c r="D133" s="148"/>
      <c r="E133" s="149"/>
      <c r="F133" s="149"/>
      <c r="G133" s="150"/>
      <c r="H133" s="151"/>
      <c r="I133" s="152"/>
      <c r="J133" s="148"/>
      <c r="K133" s="148"/>
      <c r="L133" s="153"/>
      <c r="M133" s="154"/>
      <c r="N133" s="148"/>
      <c r="O133" s="148"/>
      <c r="P133" s="148"/>
      <c r="Q133" s="154"/>
      <c r="R133" s="148"/>
      <c r="S133" s="148"/>
      <c r="T133" s="148"/>
      <c r="U133" s="155"/>
      <c r="V133" s="153"/>
      <c r="W133" s="153"/>
      <c r="X133" s="191"/>
      <c r="Y133" s="191"/>
      <c r="Z133" s="191"/>
      <c r="AA133" s="191"/>
      <c r="AB133" s="143">
        <f t="shared" si="27"/>
        <v>0</v>
      </c>
      <c r="AC133" s="191"/>
      <c r="AD133" s="191"/>
      <c r="AE133" s="191"/>
      <c r="AF133" s="143">
        <f t="shared" si="19"/>
        <v>0</v>
      </c>
      <c r="AG133" s="191"/>
      <c r="AH133" s="191"/>
      <c r="AI133" s="191"/>
      <c r="AJ133" s="143">
        <f t="shared" si="20"/>
        <v>0</v>
      </c>
      <c r="AK133" s="191"/>
      <c r="AL133" s="191"/>
      <c r="AM133" s="191"/>
      <c r="AN133" s="143">
        <f t="shared" si="21"/>
        <v>0</v>
      </c>
      <c r="AO133" s="191"/>
      <c r="AP133" s="191"/>
      <c r="AQ133" s="191"/>
      <c r="AR133" s="143">
        <f t="shared" si="22"/>
        <v>0</v>
      </c>
      <c r="AS133" s="191"/>
      <c r="AT133" s="191"/>
      <c r="AU133" s="191"/>
      <c r="AV133" s="143">
        <f t="shared" si="23"/>
        <v>0</v>
      </c>
      <c r="AW133" s="191"/>
      <c r="AX133" s="191"/>
      <c r="AY133" s="191"/>
      <c r="AZ133" s="143">
        <f t="shared" si="24"/>
        <v>0</v>
      </c>
      <c r="BA133" s="191"/>
      <c r="BB133" s="191"/>
      <c r="BC133" s="191"/>
      <c r="BD133" s="143">
        <f t="shared" si="25"/>
        <v>0</v>
      </c>
      <c r="BE133" s="143">
        <f t="shared" si="26"/>
        <v>0</v>
      </c>
      <c r="BF133" s="191"/>
    </row>
    <row r="134" spans="1:58" ht="27" customHeight="1">
      <c r="A134" s="157"/>
      <c r="B134" s="156"/>
      <c r="C134" s="148"/>
      <c r="D134" s="148"/>
      <c r="E134" s="149"/>
      <c r="F134" s="149"/>
      <c r="G134" s="150"/>
      <c r="H134" s="151"/>
      <c r="I134" s="152"/>
      <c r="J134" s="148"/>
      <c r="K134" s="148"/>
      <c r="L134" s="153"/>
      <c r="M134" s="154"/>
      <c r="N134" s="148"/>
      <c r="O134" s="148"/>
      <c r="P134" s="148"/>
      <c r="Q134" s="154"/>
      <c r="R134" s="148"/>
      <c r="S134" s="148"/>
      <c r="T134" s="148"/>
      <c r="U134" s="155"/>
      <c r="V134" s="153"/>
      <c r="W134" s="153"/>
      <c r="X134" s="191"/>
      <c r="Y134" s="191"/>
      <c r="Z134" s="191"/>
      <c r="AA134" s="191"/>
      <c r="AB134" s="143">
        <f t="shared" si="27"/>
        <v>0</v>
      </c>
      <c r="AC134" s="191"/>
      <c r="AD134" s="191"/>
      <c r="AE134" s="191"/>
      <c r="AF134" s="143">
        <f t="shared" si="19"/>
        <v>0</v>
      </c>
      <c r="AG134" s="191"/>
      <c r="AH134" s="191"/>
      <c r="AI134" s="191"/>
      <c r="AJ134" s="143">
        <f t="shared" si="20"/>
        <v>0</v>
      </c>
      <c r="AK134" s="191"/>
      <c r="AL134" s="191"/>
      <c r="AM134" s="191"/>
      <c r="AN134" s="143">
        <f t="shared" si="21"/>
        <v>0</v>
      </c>
      <c r="AO134" s="191"/>
      <c r="AP134" s="191"/>
      <c r="AQ134" s="191"/>
      <c r="AR134" s="143">
        <f t="shared" si="22"/>
        <v>0</v>
      </c>
      <c r="AS134" s="191"/>
      <c r="AT134" s="191"/>
      <c r="AU134" s="191"/>
      <c r="AV134" s="143">
        <f t="shared" si="23"/>
        <v>0</v>
      </c>
      <c r="AW134" s="191"/>
      <c r="AX134" s="191"/>
      <c r="AY134" s="191"/>
      <c r="AZ134" s="143">
        <f t="shared" si="24"/>
        <v>0</v>
      </c>
      <c r="BA134" s="191"/>
      <c r="BB134" s="191"/>
      <c r="BC134" s="191"/>
      <c r="BD134" s="143">
        <f t="shared" si="25"/>
        <v>0</v>
      </c>
      <c r="BE134" s="143">
        <f t="shared" si="26"/>
        <v>0</v>
      </c>
      <c r="BF134" s="191"/>
    </row>
    <row r="135" spans="1:58" ht="27" customHeight="1">
      <c r="A135" s="157"/>
      <c r="B135" s="156"/>
      <c r="C135" s="148"/>
      <c r="D135" s="148"/>
      <c r="E135" s="149"/>
      <c r="F135" s="149"/>
      <c r="G135" s="150"/>
      <c r="H135" s="151"/>
      <c r="I135" s="152"/>
      <c r="J135" s="148"/>
      <c r="K135" s="148"/>
      <c r="L135" s="153"/>
      <c r="M135" s="154"/>
      <c r="N135" s="148"/>
      <c r="O135" s="148"/>
      <c r="P135" s="148"/>
      <c r="Q135" s="154"/>
      <c r="R135" s="148"/>
      <c r="S135" s="148"/>
      <c r="T135" s="148"/>
      <c r="U135" s="155"/>
      <c r="V135" s="153"/>
      <c r="W135" s="153"/>
      <c r="X135" s="191"/>
      <c r="Y135" s="191"/>
      <c r="Z135" s="191"/>
      <c r="AA135" s="191"/>
      <c r="AB135" s="143">
        <f t="shared" si="27"/>
        <v>0</v>
      </c>
      <c r="AC135" s="191"/>
      <c r="AD135" s="191"/>
      <c r="AE135" s="191"/>
      <c r="AF135" s="143">
        <f t="shared" si="19"/>
        <v>0</v>
      </c>
      <c r="AG135" s="191"/>
      <c r="AH135" s="191"/>
      <c r="AI135" s="191"/>
      <c r="AJ135" s="143">
        <f t="shared" si="20"/>
        <v>0</v>
      </c>
      <c r="AK135" s="191"/>
      <c r="AL135" s="191"/>
      <c r="AM135" s="191"/>
      <c r="AN135" s="143">
        <f t="shared" si="21"/>
        <v>0</v>
      </c>
      <c r="AO135" s="191"/>
      <c r="AP135" s="191"/>
      <c r="AQ135" s="191"/>
      <c r="AR135" s="143">
        <f t="shared" si="22"/>
        <v>0</v>
      </c>
      <c r="AS135" s="191"/>
      <c r="AT135" s="191"/>
      <c r="AU135" s="191"/>
      <c r="AV135" s="143">
        <f t="shared" si="23"/>
        <v>0</v>
      </c>
      <c r="AW135" s="191"/>
      <c r="AX135" s="191"/>
      <c r="AY135" s="191"/>
      <c r="AZ135" s="143">
        <f t="shared" si="24"/>
        <v>0</v>
      </c>
      <c r="BA135" s="191"/>
      <c r="BB135" s="191"/>
      <c r="BC135" s="191"/>
      <c r="BD135" s="143">
        <f t="shared" si="25"/>
        <v>0</v>
      </c>
      <c r="BE135" s="143">
        <f t="shared" si="26"/>
        <v>0</v>
      </c>
      <c r="BF135" s="191"/>
    </row>
    <row r="136" spans="1:58" ht="27" customHeight="1">
      <c r="A136" s="157"/>
      <c r="B136" s="156"/>
      <c r="C136" s="148"/>
      <c r="D136" s="148"/>
      <c r="E136" s="149"/>
      <c r="F136" s="149"/>
      <c r="G136" s="150"/>
      <c r="H136" s="151"/>
      <c r="I136" s="152"/>
      <c r="J136" s="148"/>
      <c r="K136" s="148"/>
      <c r="L136" s="153"/>
      <c r="M136" s="154"/>
      <c r="N136" s="148"/>
      <c r="O136" s="148"/>
      <c r="P136" s="148"/>
      <c r="Q136" s="154"/>
      <c r="R136" s="148"/>
      <c r="S136" s="148"/>
      <c r="T136" s="148"/>
      <c r="U136" s="155"/>
      <c r="V136" s="153"/>
      <c r="W136" s="153"/>
      <c r="X136" s="191"/>
      <c r="Y136" s="191"/>
      <c r="Z136" s="191"/>
      <c r="AA136" s="191"/>
      <c r="AB136" s="143">
        <f t="shared" si="27"/>
        <v>0</v>
      </c>
      <c r="AC136" s="191"/>
      <c r="AD136" s="191"/>
      <c r="AE136" s="191"/>
      <c r="AF136" s="143">
        <f t="shared" si="19"/>
        <v>0</v>
      </c>
      <c r="AG136" s="191"/>
      <c r="AH136" s="191"/>
      <c r="AI136" s="191"/>
      <c r="AJ136" s="143">
        <f t="shared" si="20"/>
        <v>0</v>
      </c>
      <c r="AK136" s="191"/>
      <c r="AL136" s="191"/>
      <c r="AM136" s="191"/>
      <c r="AN136" s="143">
        <f t="shared" si="21"/>
        <v>0</v>
      </c>
      <c r="AO136" s="191"/>
      <c r="AP136" s="191"/>
      <c r="AQ136" s="191"/>
      <c r="AR136" s="143">
        <f t="shared" si="22"/>
        <v>0</v>
      </c>
      <c r="AS136" s="191"/>
      <c r="AT136" s="191"/>
      <c r="AU136" s="191"/>
      <c r="AV136" s="143">
        <f t="shared" si="23"/>
        <v>0</v>
      </c>
      <c r="AW136" s="191"/>
      <c r="AX136" s="191"/>
      <c r="AY136" s="191"/>
      <c r="AZ136" s="143">
        <f t="shared" si="24"/>
        <v>0</v>
      </c>
      <c r="BA136" s="191"/>
      <c r="BB136" s="191"/>
      <c r="BC136" s="191"/>
      <c r="BD136" s="143">
        <f t="shared" si="25"/>
        <v>0</v>
      </c>
      <c r="BE136" s="143">
        <f t="shared" si="26"/>
        <v>0</v>
      </c>
      <c r="BF136" s="191"/>
    </row>
    <row r="137" spans="1:58" ht="27" customHeight="1">
      <c r="A137" s="157"/>
      <c r="B137" s="156"/>
      <c r="C137" s="148"/>
      <c r="D137" s="148"/>
      <c r="E137" s="149"/>
      <c r="F137" s="149"/>
      <c r="G137" s="150"/>
      <c r="H137" s="151"/>
      <c r="I137" s="152"/>
      <c r="J137" s="148"/>
      <c r="K137" s="148"/>
      <c r="L137" s="153"/>
      <c r="M137" s="154"/>
      <c r="N137" s="148"/>
      <c r="O137" s="148"/>
      <c r="P137" s="148"/>
      <c r="Q137" s="154"/>
      <c r="R137" s="148"/>
      <c r="S137" s="148"/>
      <c r="T137" s="148"/>
      <c r="U137" s="155"/>
      <c r="V137" s="153"/>
      <c r="W137" s="153"/>
      <c r="X137" s="191"/>
      <c r="Y137" s="191"/>
      <c r="Z137" s="191"/>
      <c r="AA137" s="191"/>
      <c r="AB137" s="143">
        <f t="shared" si="27"/>
        <v>0</v>
      </c>
      <c r="AC137" s="191"/>
      <c r="AD137" s="191"/>
      <c r="AE137" s="191"/>
      <c r="AF137" s="143">
        <f t="shared" si="19"/>
        <v>0</v>
      </c>
      <c r="AG137" s="191"/>
      <c r="AH137" s="191"/>
      <c r="AI137" s="191"/>
      <c r="AJ137" s="143">
        <f t="shared" si="20"/>
        <v>0</v>
      </c>
      <c r="AK137" s="191"/>
      <c r="AL137" s="191"/>
      <c r="AM137" s="191"/>
      <c r="AN137" s="143">
        <f t="shared" si="21"/>
        <v>0</v>
      </c>
      <c r="AO137" s="191"/>
      <c r="AP137" s="191"/>
      <c r="AQ137" s="191"/>
      <c r="AR137" s="143">
        <f t="shared" si="22"/>
        <v>0</v>
      </c>
      <c r="AS137" s="191"/>
      <c r="AT137" s="191"/>
      <c r="AU137" s="191"/>
      <c r="AV137" s="143">
        <f t="shared" si="23"/>
        <v>0</v>
      </c>
      <c r="AW137" s="191"/>
      <c r="AX137" s="191"/>
      <c r="AY137" s="191"/>
      <c r="AZ137" s="143">
        <f t="shared" si="24"/>
        <v>0</v>
      </c>
      <c r="BA137" s="191"/>
      <c r="BB137" s="191"/>
      <c r="BC137" s="191"/>
      <c r="BD137" s="143">
        <f t="shared" si="25"/>
        <v>0</v>
      </c>
      <c r="BE137" s="143">
        <f t="shared" si="26"/>
        <v>0</v>
      </c>
      <c r="BF137" s="191"/>
    </row>
    <row r="138" spans="1:58" ht="27" customHeight="1">
      <c r="A138" s="157"/>
      <c r="B138" s="156"/>
      <c r="C138" s="148"/>
      <c r="D138" s="148"/>
      <c r="E138" s="149"/>
      <c r="F138" s="149"/>
      <c r="G138" s="150"/>
      <c r="H138" s="151"/>
      <c r="I138" s="152"/>
      <c r="J138" s="148"/>
      <c r="K138" s="148"/>
      <c r="L138" s="153"/>
      <c r="M138" s="154"/>
      <c r="N138" s="148"/>
      <c r="O138" s="148"/>
      <c r="P138" s="148"/>
      <c r="Q138" s="154"/>
      <c r="R138" s="148"/>
      <c r="S138" s="148"/>
      <c r="T138" s="148"/>
      <c r="U138" s="155"/>
      <c r="V138" s="153"/>
      <c r="W138" s="153"/>
      <c r="X138" s="191"/>
      <c r="Y138" s="191"/>
      <c r="Z138" s="191"/>
      <c r="AA138" s="191"/>
      <c r="AB138" s="143">
        <f t="shared" si="27"/>
        <v>0</v>
      </c>
      <c r="AC138" s="191"/>
      <c r="AD138" s="191"/>
      <c r="AE138" s="191"/>
      <c r="AF138" s="143">
        <f t="shared" si="19"/>
        <v>0</v>
      </c>
      <c r="AG138" s="191"/>
      <c r="AH138" s="191"/>
      <c r="AI138" s="191"/>
      <c r="AJ138" s="143">
        <f t="shared" si="20"/>
        <v>0</v>
      </c>
      <c r="AK138" s="191"/>
      <c r="AL138" s="191"/>
      <c r="AM138" s="191"/>
      <c r="AN138" s="143">
        <f t="shared" si="21"/>
        <v>0</v>
      </c>
      <c r="AO138" s="191"/>
      <c r="AP138" s="191"/>
      <c r="AQ138" s="191"/>
      <c r="AR138" s="143">
        <f t="shared" si="22"/>
        <v>0</v>
      </c>
      <c r="AS138" s="191"/>
      <c r="AT138" s="191"/>
      <c r="AU138" s="191"/>
      <c r="AV138" s="143">
        <f t="shared" si="23"/>
        <v>0</v>
      </c>
      <c r="AW138" s="191"/>
      <c r="AX138" s="191"/>
      <c r="AY138" s="191"/>
      <c r="AZ138" s="143">
        <f t="shared" si="24"/>
        <v>0</v>
      </c>
      <c r="BA138" s="191"/>
      <c r="BB138" s="191"/>
      <c r="BC138" s="191"/>
      <c r="BD138" s="143">
        <f t="shared" si="25"/>
        <v>0</v>
      </c>
      <c r="BE138" s="143">
        <f t="shared" si="26"/>
        <v>0</v>
      </c>
      <c r="BF138" s="191"/>
    </row>
    <row r="139" spans="1:58" ht="27" customHeight="1" thickBot="1">
      <c r="A139" s="158"/>
      <c r="B139" s="159"/>
      <c r="C139" s="160"/>
      <c r="D139" s="160"/>
      <c r="E139" s="161"/>
      <c r="F139" s="161"/>
      <c r="G139" s="162"/>
      <c r="H139" s="163"/>
      <c r="I139" s="164"/>
      <c r="J139" s="160"/>
      <c r="K139" s="160"/>
      <c r="L139" s="165"/>
      <c r="M139" s="166"/>
      <c r="N139" s="160"/>
      <c r="O139" s="160"/>
      <c r="P139" s="160"/>
      <c r="Q139" s="166"/>
      <c r="R139" s="160"/>
      <c r="S139" s="160"/>
      <c r="T139" s="160"/>
      <c r="U139" s="167"/>
      <c r="V139" s="165"/>
      <c r="W139" s="165"/>
      <c r="X139" s="191"/>
      <c r="Y139" s="191"/>
      <c r="Z139" s="191"/>
      <c r="AA139" s="191"/>
      <c r="AB139" s="143">
        <f t="shared" si="27"/>
        <v>0</v>
      </c>
      <c r="AC139" s="191"/>
      <c r="AD139" s="191"/>
      <c r="AE139" s="191"/>
      <c r="AF139" s="143">
        <f t="shared" si="19"/>
        <v>0</v>
      </c>
      <c r="AG139" s="191"/>
      <c r="AH139" s="191"/>
      <c r="AI139" s="191"/>
      <c r="AJ139" s="143">
        <f t="shared" si="20"/>
        <v>0</v>
      </c>
      <c r="AK139" s="191"/>
      <c r="AL139" s="191"/>
      <c r="AM139" s="191"/>
      <c r="AN139" s="143">
        <f t="shared" si="21"/>
        <v>0</v>
      </c>
      <c r="AO139" s="191"/>
      <c r="AP139" s="191"/>
      <c r="AQ139" s="191"/>
      <c r="AR139" s="143">
        <f t="shared" si="22"/>
        <v>0</v>
      </c>
      <c r="AS139" s="191"/>
      <c r="AT139" s="191"/>
      <c r="AU139" s="191"/>
      <c r="AV139" s="143">
        <f t="shared" si="23"/>
        <v>0</v>
      </c>
      <c r="AW139" s="191"/>
      <c r="AX139" s="191"/>
      <c r="AY139" s="191"/>
      <c r="AZ139" s="143">
        <f t="shared" si="24"/>
        <v>0</v>
      </c>
      <c r="BA139" s="191"/>
      <c r="BB139" s="191"/>
      <c r="BC139" s="191"/>
      <c r="BD139" s="143">
        <f t="shared" si="25"/>
        <v>0</v>
      </c>
      <c r="BE139" s="143">
        <f t="shared" si="26"/>
        <v>0</v>
      </c>
      <c r="BF139" s="191"/>
    </row>
    <row r="140" spans="1:58" ht="20.100000000000001" customHeight="1">
      <c r="AR140" s="143" t="s">
        <v>46</v>
      </c>
    </row>
  </sheetData>
  <sortState xmlns:xlrd2="http://schemas.microsoft.com/office/spreadsheetml/2017/richdata2" ref="A58:BH98">
    <sortCondition descending="1" ref="H58:H98"/>
    <sortCondition ref="B58:B98"/>
  </sortState>
  <mergeCells count="42">
    <mergeCell ref="AF1:AP1"/>
    <mergeCell ref="A7:A9"/>
    <mergeCell ref="B7:B9"/>
    <mergeCell ref="C7:G8"/>
    <mergeCell ref="R8:U8"/>
    <mergeCell ref="V8:W8"/>
    <mergeCell ref="H7:H9"/>
    <mergeCell ref="I7:I9"/>
    <mergeCell ref="R7:U7"/>
    <mergeCell ref="N7:Q7"/>
    <mergeCell ref="N8:Q8"/>
    <mergeCell ref="J7:M7"/>
    <mergeCell ref="A1:W1"/>
    <mergeCell ref="P3:Q3"/>
    <mergeCell ref="J8:M8"/>
    <mergeCell ref="V7:W7"/>
    <mergeCell ref="P2:Q2"/>
    <mergeCell ref="R2:U2"/>
    <mergeCell ref="P4:Q4"/>
    <mergeCell ref="R4:S4"/>
    <mergeCell ref="R3:S3"/>
    <mergeCell ref="AV3:AY3"/>
    <mergeCell ref="AV2:BB2"/>
    <mergeCell ref="BA7:BD7"/>
    <mergeCell ref="AS2:AU2"/>
    <mergeCell ref="AS3:AU3"/>
    <mergeCell ref="AS4:AU4"/>
    <mergeCell ref="AV4:AY4"/>
    <mergeCell ref="G6:U6"/>
    <mergeCell ref="BF7:BF9"/>
    <mergeCell ref="X7:X9"/>
    <mergeCell ref="Z6:BD6"/>
    <mergeCell ref="BE7:BE9"/>
    <mergeCell ref="AW7:AZ7"/>
    <mergeCell ref="BE6:BF6"/>
    <mergeCell ref="V5:X6"/>
    <mergeCell ref="Y7:AB7"/>
    <mergeCell ref="AC7:AF7"/>
    <mergeCell ref="AG7:AJ7"/>
    <mergeCell ref="AK7:AN7"/>
    <mergeCell ref="AO7:AR7"/>
    <mergeCell ref="AS7:AV7"/>
  </mergeCells>
  <phoneticPr fontId="4" type="noConversion"/>
  <conditionalFormatting sqref="AZ7 AV7:AW7 AB7 AF7 AJ7 AN7 AR7 BD7">
    <cfRule type="cellIs" dxfId="13" priority="56" operator="equal">
      <formula>0</formula>
    </cfRule>
  </conditionalFormatting>
  <conditionalFormatting sqref="B24:B28">
    <cfRule type="expression" dxfId="12" priority="15" stopIfTrue="1">
      <formula>IF(TRIM(B24)="","",LEN(TRIM(B24))-LEN(SUBSTITUTE(B24," ",""))&lt;3)</formula>
    </cfRule>
  </conditionalFormatting>
  <conditionalFormatting sqref="B14 B20:B21 B23 B12 Z10:Z22">
    <cfRule type="cellIs" dxfId="11" priority="11" operator="equal">
      <formula>0</formula>
    </cfRule>
  </conditionalFormatting>
  <conditionalFormatting sqref="B29:B31 B15:B23 B10:B13">
    <cfRule type="expression" dxfId="10" priority="10" stopIfTrue="1">
      <formula>AND(COUNTIF($C$11:$C$11, B10)+COUNTIF($C$13:$C$24, B10)&gt;1,NOT(ISBLANK(B10)))</formula>
    </cfRule>
  </conditionalFormatting>
  <conditionalFormatting sqref="B50">
    <cfRule type="expression" dxfId="9" priority="9" stopIfTrue="1">
      <formula>IF(TRIM(B50)="","",LEN(TRIM(B50))-LEN(SUBSTITUTE(B50," ",""))&lt;3)</formula>
    </cfRule>
  </conditionalFormatting>
  <conditionalFormatting sqref="B29 B46">
    <cfRule type="cellIs" dxfId="8" priority="4" operator="equal">
      <formula>0</formula>
    </cfRule>
  </conditionalFormatting>
  <conditionalFormatting sqref="B41">
    <cfRule type="expression" dxfId="7" priority="5" stopIfTrue="1">
      <formula>AND(COUNTIF(#REF!, B41)&gt;1,NOT(ISBLANK(B41)))</formula>
    </cfRule>
  </conditionalFormatting>
  <conditionalFormatting sqref="B33:B39">
    <cfRule type="expression" dxfId="6" priority="7" stopIfTrue="1">
      <formula>AND(COUNTIF(#REF!, B33)&gt;1,NOT(ISBLANK(B33)))</formula>
    </cfRule>
  </conditionalFormatting>
  <conditionalFormatting sqref="B31:B32">
    <cfRule type="expression" dxfId="5" priority="57" stopIfTrue="1">
      <formula>AND(COUNTIF($C$17:$C$52, B31)&gt;1,NOT(ISBLANK(B31)))</formula>
    </cfRule>
  </conditionalFormatting>
  <conditionalFormatting sqref="B42:B44 B46:B49">
    <cfRule type="expression" dxfId="4" priority="58" stopIfTrue="1">
      <formula>AND(COUNTIF($C$25:$C$53, B42)&gt;1,NOT(ISBLANK(B42)))</formula>
    </cfRule>
  </conditionalFormatting>
  <conditionalFormatting sqref="B45">
    <cfRule type="expression" dxfId="3" priority="1" stopIfTrue="1">
      <formula>AND(COUNTIF($C$28:$C$54, B45)&gt;1,NOT(ISBLANK(B45)))</formula>
    </cfRule>
  </conditionalFormatting>
  <dataValidations count="4">
    <dataValidation errorStyle="information" allowBlank="1" showInputMessage="1" showErrorMessage="1" sqref="AA5:BE5 Z6" xr:uid="{00000000-0002-0000-0000-000000000000}"/>
    <dataValidation type="whole" allowBlank="1" showErrorMessage="1" errorTitle="خطأ في الادخال" error="ادخل تاريخ اليوم " sqref="E97:E139 E10:E95" xr:uid="{00000000-0002-0000-0000-000001000000}">
      <formula1>1</formula1>
      <formula2>30</formula2>
    </dataValidation>
    <dataValidation type="whole" allowBlank="1" showErrorMessage="1" errorTitle="خطا في الادخال" error="ادخل العام فقط وبدون اي اضافات_x000a_مثلا 1999 " sqref="G10:G139" xr:uid="{00000000-0002-0000-0000-000002000000}">
      <formula1>1950</formula1>
      <formula2>2017</formula2>
    </dataValidation>
    <dataValidation type="whole" allowBlank="1" showErrorMessage="1" errorTitle="خطا في الادخال" error="ادخل رقم الشهر فقط " sqref="F10:F139" xr:uid="{00000000-0002-0000-0000-000003000000}">
      <formula1>1</formula1>
      <formula2>12</formula2>
    </dataValidation>
  </dataValidations>
  <printOptions horizontalCentered="1" verticalCentered="1"/>
  <pageMargins left="0" right="0" top="0" bottom="1.3385826771653544" header="3.937007874015748E-2" footer="0"/>
  <pageSetup paperSize="9" scale="70" orientation="landscape" r:id="rId1"/>
  <headerFooter scaleWithDoc="0">
    <oddHeader xml:space="preserve">&amp;L&amp;"Arial,غامق"&amp;12 (  &amp;P )  كشف رقم </oddHeader>
    <oddFooter xml:space="preserve">&amp;L ]&amp;C&amp;"Arial,غامق"&amp;11 &amp;G&amp;R&amp;"Arial,غامق"&amp;12 </oddFooter>
  </headerFooter>
  <rowBreaks count="6" manualBreakCount="6">
    <brk id="28" max="57" man="1"/>
    <brk id="48" max="57" man="1"/>
    <brk id="68" max="57" man="1"/>
    <brk id="79" max="57" man="1"/>
    <brk id="99" max="57" man="1"/>
    <brk id="119" max="57" man="1"/>
  </rowBreaks>
  <colBreaks count="1" manualBreakCount="1">
    <brk id="24" max="1048575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HW100"/>
  <sheetViews>
    <sheetView rightToLeft="1" view="pageBreakPreview" zoomScale="110" zoomScaleNormal="100" zoomScaleSheetLayoutView="110" zoomScalePageLayoutView="85" workbookViewId="0">
      <selection activeCell="B13" sqref="B13"/>
    </sheetView>
  </sheetViews>
  <sheetFormatPr defaultColWidth="9.21875" defaultRowHeight="13.2"/>
  <cols>
    <col min="1" max="1" width="3.77734375" customWidth="1"/>
    <col min="2" max="2" width="26" customWidth="1"/>
    <col min="3" max="3" width="4.77734375" customWidth="1"/>
    <col min="4" max="6" width="4" customWidth="1"/>
    <col min="7" max="8" width="4.21875" customWidth="1"/>
    <col min="9" max="9" width="3.44140625" customWidth="1"/>
    <col min="10" max="10" width="7.77734375" customWidth="1"/>
    <col min="11" max="11" width="5.21875" customWidth="1"/>
    <col min="12" max="12" width="8.77734375" customWidth="1"/>
    <col min="13" max="13" width="5.77734375" customWidth="1"/>
    <col min="14" max="14" width="7.77734375" customWidth="1"/>
    <col min="15" max="15" width="4.77734375" customWidth="1"/>
    <col min="16" max="16" width="4" customWidth="1"/>
    <col min="17" max="17" width="4.77734375" customWidth="1"/>
    <col min="18" max="18" width="7.77734375" customWidth="1"/>
    <col min="19" max="19" width="4.77734375" customWidth="1"/>
    <col min="20" max="20" width="4" customWidth="1"/>
    <col min="21" max="21" width="5.77734375" customWidth="1"/>
    <col min="22" max="22" width="9" customWidth="1"/>
    <col min="23" max="23" width="16.77734375" customWidth="1"/>
    <col min="24" max="24" width="2.77734375" customWidth="1"/>
    <col min="231" max="231" width="0.44140625" customWidth="1"/>
  </cols>
  <sheetData>
    <row r="1" spans="1:231" s="66" customFormat="1" ht="16.5" customHeight="1" thickBot="1">
      <c r="A1" s="497" t="s">
        <v>9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7"/>
    </row>
    <row r="2" spans="1:231" s="66" customFormat="1" ht="15" customHeight="1" thickBot="1">
      <c r="A2" s="67"/>
      <c r="B2" s="68" t="s">
        <v>47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168">
        <f>COUNTA(B11:B5423)</f>
        <v>0</v>
      </c>
    </row>
    <row r="3" spans="1:231" s="66" customFormat="1" ht="17.100000000000001" customHeight="1">
      <c r="A3" s="67"/>
      <c r="B3" s="68" t="s">
        <v>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495" t="s">
        <v>49</v>
      </c>
      <c r="Q3" s="495"/>
      <c r="R3" s="498" t="s">
        <v>46</v>
      </c>
      <c r="S3" s="498"/>
      <c r="T3" s="498"/>
      <c r="U3" s="498"/>
      <c r="V3" s="69"/>
      <c r="W3" s="69"/>
    </row>
    <row r="4" spans="1:231" s="66" customFormat="1" ht="17.100000000000001" customHeight="1">
      <c r="A4" s="67"/>
      <c r="B4" s="70" t="s">
        <v>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495" t="s">
        <v>50</v>
      </c>
      <c r="Q4" s="495"/>
      <c r="R4" s="496" t="s">
        <v>67</v>
      </c>
      <c r="S4" s="496"/>
      <c r="T4" s="496"/>
      <c r="U4" s="67"/>
      <c r="V4" s="67"/>
      <c r="W4" s="67"/>
    </row>
    <row r="5" spans="1:231" s="66" customFormat="1" ht="13.5" customHeight="1">
      <c r="A5" s="67"/>
      <c r="B5" s="71" t="s">
        <v>74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495" t="s">
        <v>52</v>
      </c>
      <c r="Q5" s="495"/>
      <c r="R5" s="496" t="s">
        <v>53</v>
      </c>
      <c r="S5" s="496"/>
      <c r="T5" s="496"/>
      <c r="U5" s="67"/>
      <c r="V5" s="67"/>
      <c r="W5" s="67"/>
    </row>
    <row r="6" spans="1:231" s="66" customFormat="1" ht="15" customHeight="1" thickBot="1">
      <c r="A6" s="72"/>
      <c r="B6" s="193" t="s">
        <v>65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 spans="1:231" s="66" customFormat="1" ht="18.75" customHeight="1" thickTop="1" thickBot="1">
      <c r="A7" s="10" t="s">
        <v>46</v>
      </c>
      <c r="B7" s="469" t="s">
        <v>83</v>
      </c>
      <c r="C7" s="469"/>
      <c r="D7" s="469"/>
      <c r="E7" s="469"/>
      <c r="F7" s="469"/>
      <c r="G7" s="469"/>
      <c r="H7" s="469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</row>
    <row r="8" spans="1:231" s="107" customFormat="1" ht="18" customHeight="1" thickTop="1">
      <c r="A8" s="470" t="s">
        <v>0</v>
      </c>
      <c r="B8" s="473" t="s">
        <v>54</v>
      </c>
      <c r="C8" s="476" t="s">
        <v>2</v>
      </c>
      <c r="D8" s="476"/>
      <c r="E8" s="476"/>
      <c r="F8" s="476"/>
      <c r="G8" s="477"/>
      <c r="H8" s="480" t="s">
        <v>1</v>
      </c>
      <c r="I8" s="480" t="s">
        <v>55</v>
      </c>
      <c r="J8" s="483" t="s">
        <v>7</v>
      </c>
      <c r="K8" s="484"/>
      <c r="L8" s="484"/>
      <c r="M8" s="485"/>
      <c r="N8" s="486" t="s">
        <v>7</v>
      </c>
      <c r="O8" s="487"/>
      <c r="P8" s="487"/>
      <c r="Q8" s="488"/>
      <c r="R8" s="489" t="s">
        <v>7</v>
      </c>
      <c r="S8" s="490"/>
      <c r="T8" s="490"/>
      <c r="U8" s="491"/>
      <c r="V8" s="105" t="s">
        <v>5</v>
      </c>
      <c r="W8" s="106" t="s">
        <v>56</v>
      </c>
    </row>
    <row r="9" spans="1:231" s="107" customFormat="1" ht="18" customHeight="1" thickBot="1">
      <c r="A9" s="471"/>
      <c r="B9" s="474"/>
      <c r="C9" s="478"/>
      <c r="D9" s="478"/>
      <c r="E9" s="478"/>
      <c r="F9" s="478"/>
      <c r="G9" s="479"/>
      <c r="H9" s="481"/>
      <c r="I9" s="481"/>
      <c r="J9" s="492" t="s">
        <v>19</v>
      </c>
      <c r="K9" s="493"/>
      <c r="L9" s="493"/>
      <c r="M9" s="494"/>
      <c r="N9" s="466" t="s">
        <v>57</v>
      </c>
      <c r="O9" s="467"/>
      <c r="P9" s="467"/>
      <c r="Q9" s="468"/>
      <c r="R9" s="466" t="s">
        <v>58</v>
      </c>
      <c r="S9" s="467"/>
      <c r="T9" s="467"/>
      <c r="U9" s="468"/>
      <c r="V9" s="108" t="s">
        <v>59</v>
      </c>
      <c r="W9" s="109" t="s">
        <v>60</v>
      </c>
    </row>
    <row r="10" spans="1:231" s="107" customFormat="1" ht="16.5" customHeight="1" thickBot="1">
      <c r="A10" s="472"/>
      <c r="B10" s="475"/>
      <c r="C10" s="110" t="s">
        <v>61</v>
      </c>
      <c r="D10" s="111" t="s">
        <v>62</v>
      </c>
      <c r="E10" s="112" t="s">
        <v>40</v>
      </c>
      <c r="F10" s="113" t="s">
        <v>41</v>
      </c>
      <c r="G10" s="114" t="s">
        <v>63</v>
      </c>
      <c r="H10" s="482"/>
      <c r="I10" s="482"/>
      <c r="J10" s="115" t="s">
        <v>23</v>
      </c>
      <c r="K10" s="116" t="s">
        <v>24</v>
      </c>
      <c r="L10" s="116" t="s">
        <v>5</v>
      </c>
      <c r="M10" s="117" t="s">
        <v>6</v>
      </c>
      <c r="N10" s="115" t="s">
        <v>64</v>
      </c>
      <c r="O10" s="116" t="s">
        <v>61</v>
      </c>
      <c r="P10" s="116" t="s">
        <v>62</v>
      </c>
      <c r="Q10" s="117" t="s">
        <v>6</v>
      </c>
      <c r="R10" s="115" t="s">
        <v>64</v>
      </c>
      <c r="S10" s="116" t="s">
        <v>61</v>
      </c>
      <c r="T10" s="116" t="s">
        <v>62</v>
      </c>
      <c r="U10" s="117" t="s">
        <v>6</v>
      </c>
      <c r="V10" s="118" t="s">
        <v>84</v>
      </c>
      <c r="W10" s="119"/>
      <c r="HW10" s="120"/>
    </row>
    <row r="11" spans="1:231" s="85" customFormat="1" ht="17.100000000000001" customHeight="1" thickTop="1">
      <c r="A11" s="190">
        <v>1</v>
      </c>
      <c r="B11" s="169"/>
      <c r="C11" s="170"/>
      <c r="D11" s="171"/>
      <c r="E11" s="172"/>
      <c r="F11" s="172"/>
      <c r="G11" s="173"/>
      <c r="H11" s="173"/>
      <c r="I11" s="173"/>
      <c r="J11" s="174"/>
      <c r="K11" s="175"/>
      <c r="L11" s="171"/>
      <c r="M11" s="176"/>
      <c r="N11" s="174"/>
      <c r="O11" s="175"/>
      <c r="P11" s="171"/>
      <c r="Q11" s="173"/>
      <c r="R11" s="174"/>
      <c r="S11" s="175"/>
      <c r="T11" s="171"/>
      <c r="U11" s="173"/>
      <c r="V11" s="82"/>
      <c r="W11" s="189"/>
      <c r="X11" s="83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  <c r="FU11" s="84"/>
      <c r="FV11" s="84"/>
      <c r="FW11" s="84"/>
      <c r="FX11" s="84"/>
      <c r="FY11" s="84"/>
      <c r="FZ11" s="84"/>
      <c r="GA11" s="84"/>
      <c r="GB11" s="84"/>
      <c r="GC11" s="84"/>
      <c r="GD11" s="84"/>
      <c r="GE11" s="84"/>
      <c r="GF11" s="84"/>
      <c r="GG11" s="84"/>
      <c r="GH11" s="84"/>
      <c r="GI11" s="84"/>
      <c r="GJ11" s="84"/>
      <c r="GK11" s="84"/>
      <c r="GL11" s="84"/>
      <c r="GM11" s="84"/>
      <c r="GN11" s="84"/>
      <c r="GO11" s="84"/>
      <c r="GP11" s="84"/>
      <c r="GQ11" s="84"/>
      <c r="GR11" s="84"/>
      <c r="GS11" s="84"/>
      <c r="GT11" s="84"/>
      <c r="GU11" s="84"/>
      <c r="GV11" s="84"/>
      <c r="GW11" s="84"/>
      <c r="GX11" s="84"/>
      <c r="GY11" s="84"/>
      <c r="GZ11" s="84"/>
      <c r="HA11" s="84"/>
      <c r="HB11" s="84"/>
      <c r="HC11" s="84"/>
      <c r="HD11" s="84"/>
      <c r="HE11" s="84"/>
      <c r="HF11" s="84"/>
      <c r="HG11" s="84"/>
      <c r="HH11" s="84"/>
      <c r="HI11" s="84"/>
      <c r="HJ11" s="84"/>
      <c r="HK11" s="84"/>
      <c r="HL11" s="84"/>
      <c r="HM11" s="84"/>
      <c r="HN11" s="84"/>
      <c r="HO11" s="84"/>
      <c r="HP11" s="84"/>
      <c r="HQ11" s="84"/>
      <c r="HR11" s="84"/>
      <c r="HS11" s="84"/>
      <c r="HT11" s="84"/>
      <c r="HU11" s="84"/>
      <c r="HV11" s="84"/>
      <c r="HW11" s="73"/>
    </row>
    <row r="12" spans="1:231" s="85" customFormat="1" ht="17.100000000000001" customHeight="1">
      <c r="A12" s="190">
        <v>2</v>
      </c>
      <c r="B12" s="169"/>
      <c r="C12" s="170"/>
      <c r="D12" s="171"/>
      <c r="E12" s="177"/>
      <c r="F12" s="177"/>
      <c r="G12" s="173"/>
      <c r="H12" s="173"/>
      <c r="I12" s="173"/>
      <c r="J12" s="174"/>
      <c r="K12" s="175"/>
      <c r="L12" s="171"/>
      <c r="M12" s="176"/>
      <c r="N12" s="174"/>
      <c r="O12" s="175"/>
      <c r="P12" s="171"/>
      <c r="Q12" s="173"/>
      <c r="R12" s="174"/>
      <c r="S12" s="175"/>
      <c r="T12" s="171"/>
      <c r="U12" s="173"/>
      <c r="V12" s="82"/>
      <c r="W12" s="189"/>
      <c r="X12" s="83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73"/>
    </row>
    <row r="13" spans="1:231" s="85" customFormat="1" ht="17.100000000000001" customHeight="1">
      <c r="A13" s="190">
        <v>3</v>
      </c>
      <c r="B13" s="169"/>
      <c r="C13" s="170"/>
      <c r="D13" s="171"/>
      <c r="E13" s="177"/>
      <c r="F13" s="177"/>
      <c r="G13" s="173"/>
      <c r="H13" s="173"/>
      <c r="I13" s="173"/>
      <c r="J13" s="174"/>
      <c r="K13" s="175"/>
      <c r="L13" s="171"/>
      <c r="M13" s="176"/>
      <c r="N13" s="174"/>
      <c r="O13" s="175"/>
      <c r="P13" s="171"/>
      <c r="Q13" s="173"/>
      <c r="R13" s="174"/>
      <c r="S13" s="175"/>
      <c r="T13" s="171"/>
      <c r="U13" s="173"/>
      <c r="V13" s="82"/>
      <c r="W13" s="189"/>
      <c r="X13" s="83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84"/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84"/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84"/>
      <c r="GX13" s="84"/>
      <c r="GY13" s="84"/>
      <c r="GZ13" s="84"/>
      <c r="HA13" s="84"/>
      <c r="HB13" s="84"/>
      <c r="HC13" s="84"/>
      <c r="HD13" s="84"/>
      <c r="HE13" s="84"/>
      <c r="HF13" s="84"/>
      <c r="HG13" s="84"/>
      <c r="HH13" s="84"/>
      <c r="HI13" s="84"/>
      <c r="HJ13" s="84"/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73" t="e">
        <f>CONCATENATE(#REF!,H12)</f>
        <v>#REF!</v>
      </c>
    </row>
    <row r="14" spans="1:231" s="85" customFormat="1" ht="17.100000000000001" customHeight="1">
      <c r="A14" s="190">
        <v>4</v>
      </c>
      <c r="B14" s="178"/>
      <c r="C14" s="170"/>
      <c r="D14" s="171"/>
      <c r="E14" s="177"/>
      <c r="F14" s="177"/>
      <c r="G14" s="173"/>
      <c r="H14" s="173"/>
      <c r="I14" s="173"/>
      <c r="J14" s="174"/>
      <c r="K14" s="175"/>
      <c r="L14" s="171"/>
      <c r="M14" s="176"/>
      <c r="N14" s="174"/>
      <c r="O14" s="175"/>
      <c r="P14" s="171"/>
      <c r="Q14" s="173"/>
      <c r="R14" s="174"/>
      <c r="S14" s="175"/>
      <c r="T14" s="171"/>
      <c r="U14" s="173"/>
      <c r="V14" s="82"/>
      <c r="W14" s="189"/>
      <c r="X14" s="83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73" t="e">
        <f>CONCATENATE(#REF!,H14)</f>
        <v>#REF!</v>
      </c>
    </row>
    <row r="15" spans="1:231" s="85" customFormat="1" ht="17.100000000000001" customHeight="1">
      <c r="A15" s="190">
        <v>5</v>
      </c>
      <c r="B15" s="178"/>
      <c r="C15" s="170"/>
      <c r="D15" s="171"/>
      <c r="E15" s="177"/>
      <c r="F15" s="177"/>
      <c r="G15" s="173"/>
      <c r="H15" s="173"/>
      <c r="I15" s="173"/>
      <c r="J15" s="174"/>
      <c r="K15" s="175"/>
      <c r="L15" s="171"/>
      <c r="M15" s="176"/>
      <c r="N15" s="174"/>
      <c r="O15" s="175"/>
      <c r="P15" s="171"/>
      <c r="Q15" s="173"/>
      <c r="R15" s="174"/>
      <c r="S15" s="175"/>
      <c r="T15" s="171"/>
      <c r="U15" s="173"/>
      <c r="V15" s="82"/>
      <c r="W15" s="189"/>
      <c r="X15" s="83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73" t="e">
        <f>CONCATENATE(#REF!,H15)</f>
        <v>#REF!</v>
      </c>
    </row>
    <row r="16" spans="1:231" s="85" customFormat="1" ht="17.100000000000001" customHeight="1">
      <c r="A16" s="190">
        <v>6</v>
      </c>
      <c r="B16" s="178"/>
      <c r="C16" s="170"/>
      <c r="D16" s="171"/>
      <c r="E16" s="177"/>
      <c r="F16" s="177"/>
      <c r="G16" s="173"/>
      <c r="H16" s="173"/>
      <c r="I16" s="173"/>
      <c r="J16" s="174"/>
      <c r="K16" s="175"/>
      <c r="L16" s="171"/>
      <c r="M16" s="176"/>
      <c r="N16" s="174"/>
      <c r="O16" s="175"/>
      <c r="P16" s="171"/>
      <c r="Q16" s="173"/>
      <c r="R16" s="174"/>
      <c r="S16" s="175"/>
      <c r="T16" s="171"/>
      <c r="U16" s="173"/>
      <c r="V16" s="82"/>
      <c r="W16" s="189"/>
      <c r="X16" s="83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73" t="e">
        <f>CONCATENATE(#REF!,H16)</f>
        <v>#REF!</v>
      </c>
    </row>
    <row r="17" spans="1:231" s="85" customFormat="1" ht="17.100000000000001" customHeight="1">
      <c r="A17" s="190">
        <v>7</v>
      </c>
      <c r="B17" s="178"/>
      <c r="C17" s="170"/>
      <c r="D17" s="171"/>
      <c r="E17" s="177"/>
      <c r="F17" s="177"/>
      <c r="G17" s="173"/>
      <c r="H17" s="173"/>
      <c r="I17" s="173"/>
      <c r="J17" s="174"/>
      <c r="K17" s="175"/>
      <c r="L17" s="171"/>
      <c r="M17" s="176"/>
      <c r="N17" s="174"/>
      <c r="O17" s="175"/>
      <c r="P17" s="171"/>
      <c r="Q17" s="173"/>
      <c r="R17" s="174"/>
      <c r="S17" s="175"/>
      <c r="T17" s="171"/>
      <c r="U17" s="173"/>
      <c r="V17" s="82"/>
      <c r="W17" s="189"/>
      <c r="X17" s="83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73" t="e">
        <f>CONCATENATE(#REF!,H17)</f>
        <v>#REF!</v>
      </c>
    </row>
    <row r="18" spans="1:231" s="85" customFormat="1" ht="17.100000000000001" customHeight="1">
      <c r="A18" s="190">
        <v>8</v>
      </c>
      <c r="B18" s="178"/>
      <c r="C18" s="170"/>
      <c r="D18" s="171"/>
      <c r="E18" s="177"/>
      <c r="F18" s="177"/>
      <c r="G18" s="173"/>
      <c r="H18" s="173"/>
      <c r="I18" s="173"/>
      <c r="J18" s="174"/>
      <c r="K18" s="175"/>
      <c r="L18" s="171"/>
      <c r="M18" s="176"/>
      <c r="N18" s="174"/>
      <c r="O18" s="175"/>
      <c r="P18" s="171"/>
      <c r="Q18" s="173"/>
      <c r="R18" s="174"/>
      <c r="S18" s="175"/>
      <c r="T18" s="171"/>
      <c r="U18" s="173"/>
      <c r="V18" s="82"/>
      <c r="W18" s="189"/>
      <c r="X18" s="83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73" t="e">
        <f>CONCATENATE(#REF!,H18)</f>
        <v>#REF!</v>
      </c>
    </row>
    <row r="19" spans="1:231" s="85" customFormat="1" ht="17.100000000000001" customHeight="1">
      <c r="A19" s="190">
        <v>9</v>
      </c>
      <c r="B19" s="178"/>
      <c r="C19" s="170"/>
      <c r="D19" s="171"/>
      <c r="E19" s="177"/>
      <c r="F19" s="177"/>
      <c r="G19" s="173"/>
      <c r="H19" s="173"/>
      <c r="I19" s="173"/>
      <c r="J19" s="174"/>
      <c r="K19" s="175"/>
      <c r="L19" s="171"/>
      <c r="M19" s="176"/>
      <c r="N19" s="174"/>
      <c r="O19" s="175"/>
      <c r="P19" s="171"/>
      <c r="Q19" s="173"/>
      <c r="R19" s="174"/>
      <c r="S19" s="175"/>
      <c r="T19" s="171"/>
      <c r="U19" s="173"/>
      <c r="V19" s="82"/>
      <c r="W19" s="189"/>
      <c r="X19" s="83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73" t="e">
        <f>CONCATENATE(#REF!,H19)</f>
        <v>#REF!</v>
      </c>
    </row>
    <row r="20" spans="1:231" s="85" customFormat="1" ht="17.100000000000001" customHeight="1">
      <c r="A20" s="190">
        <v>10</v>
      </c>
      <c r="B20" s="178"/>
      <c r="C20" s="170"/>
      <c r="D20" s="171"/>
      <c r="E20" s="177"/>
      <c r="F20" s="177"/>
      <c r="G20" s="173"/>
      <c r="H20" s="173"/>
      <c r="I20" s="173"/>
      <c r="J20" s="174"/>
      <c r="K20" s="175"/>
      <c r="L20" s="171"/>
      <c r="M20" s="176"/>
      <c r="N20" s="174"/>
      <c r="O20" s="175"/>
      <c r="P20" s="171"/>
      <c r="Q20" s="173"/>
      <c r="R20" s="174"/>
      <c r="S20" s="175"/>
      <c r="T20" s="171"/>
      <c r="U20" s="173"/>
      <c r="V20" s="82"/>
      <c r="W20" s="189"/>
      <c r="X20" s="83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73" t="e">
        <f>CONCATENATE(#REF!,H20)</f>
        <v>#REF!</v>
      </c>
    </row>
    <row r="21" spans="1:231" s="85" customFormat="1" ht="17.100000000000001" customHeight="1">
      <c r="A21" s="190">
        <v>11</v>
      </c>
      <c r="B21" s="178"/>
      <c r="C21" s="170"/>
      <c r="D21" s="171"/>
      <c r="E21" s="177"/>
      <c r="F21" s="177"/>
      <c r="G21" s="173"/>
      <c r="H21" s="173"/>
      <c r="I21" s="173"/>
      <c r="J21" s="174"/>
      <c r="K21" s="175"/>
      <c r="L21" s="171"/>
      <c r="M21" s="176"/>
      <c r="N21" s="174"/>
      <c r="O21" s="175"/>
      <c r="P21" s="171"/>
      <c r="Q21" s="173"/>
      <c r="R21" s="174"/>
      <c r="S21" s="175"/>
      <c r="T21" s="171"/>
      <c r="U21" s="173"/>
      <c r="V21" s="82"/>
      <c r="W21" s="189"/>
      <c r="X21" s="83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84"/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84"/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84"/>
      <c r="GX21" s="84"/>
      <c r="GY21" s="84"/>
      <c r="GZ21" s="84"/>
      <c r="HA21" s="84"/>
      <c r="HB21" s="84"/>
      <c r="HC21" s="84"/>
      <c r="HD21" s="84"/>
      <c r="HE21" s="84"/>
      <c r="HF21" s="84"/>
      <c r="HG21" s="84"/>
      <c r="HH21" s="84"/>
      <c r="HI21" s="84"/>
      <c r="HJ21" s="84"/>
      <c r="HK21" s="84"/>
      <c r="HL21" s="84"/>
      <c r="HM21" s="84"/>
      <c r="HN21" s="84"/>
      <c r="HO21" s="84"/>
      <c r="HP21" s="84"/>
      <c r="HQ21" s="84"/>
      <c r="HR21" s="84"/>
      <c r="HS21" s="84"/>
      <c r="HT21" s="84"/>
      <c r="HU21" s="84"/>
      <c r="HV21" s="84"/>
      <c r="HW21" s="73" t="e">
        <f>CONCATENATE(#REF!,H21)</f>
        <v>#REF!</v>
      </c>
    </row>
    <row r="22" spans="1:231" s="85" customFormat="1" ht="17.100000000000001" customHeight="1">
      <c r="A22" s="190">
        <v>12</v>
      </c>
      <c r="B22" s="178"/>
      <c r="C22" s="170"/>
      <c r="D22" s="171"/>
      <c r="E22" s="177"/>
      <c r="F22" s="177"/>
      <c r="G22" s="173"/>
      <c r="H22" s="173"/>
      <c r="I22" s="173"/>
      <c r="J22" s="174"/>
      <c r="K22" s="175"/>
      <c r="L22" s="171"/>
      <c r="M22" s="176"/>
      <c r="N22" s="174"/>
      <c r="O22" s="175"/>
      <c r="P22" s="171"/>
      <c r="Q22" s="173"/>
      <c r="R22" s="174"/>
      <c r="S22" s="175"/>
      <c r="T22" s="171"/>
      <c r="U22" s="173"/>
      <c r="V22" s="82"/>
      <c r="W22" s="189"/>
      <c r="X22" s="83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73" t="e">
        <f>CONCATENATE(#REF!,H22)</f>
        <v>#REF!</v>
      </c>
    </row>
    <row r="23" spans="1:231" s="85" customFormat="1" ht="17.100000000000001" customHeight="1">
      <c r="A23" s="190">
        <v>13</v>
      </c>
      <c r="B23" s="178"/>
      <c r="C23" s="170"/>
      <c r="D23" s="171"/>
      <c r="E23" s="177"/>
      <c r="F23" s="177"/>
      <c r="G23" s="173"/>
      <c r="H23" s="173"/>
      <c r="I23" s="173"/>
      <c r="J23" s="174"/>
      <c r="K23" s="175"/>
      <c r="L23" s="171"/>
      <c r="M23" s="176"/>
      <c r="N23" s="174"/>
      <c r="O23" s="175"/>
      <c r="P23" s="171"/>
      <c r="Q23" s="173"/>
      <c r="R23" s="174"/>
      <c r="S23" s="175"/>
      <c r="T23" s="171"/>
      <c r="U23" s="173"/>
      <c r="V23" s="82"/>
      <c r="W23" s="189"/>
      <c r="X23" s="83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73" t="e">
        <f>CONCATENATE(#REF!,H23)</f>
        <v>#REF!</v>
      </c>
    </row>
    <row r="24" spans="1:231" s="85" customFormat="1" ht="17.100000000000001" customHeight="1">
      <c r="A24" s="190">
        <v>14</v>
      </c>
      <c r="B24" s="188"/>
      <c r="C24" s="170"/>
      <c r="D24" s="171"/>
      <c r="E24" s="177"/>
      <c r="F24" s="177"/>
      <c r="G24" s="173"/>
      <c r="H24" s="173"/>
      <c r="I24" s="173"/>
      <c r="J24" s="174"/>
      <c r="K24" s="175"/>
      <c r="L24" s="171"/>
      <c r="M24" s="176"/>
      <c r="N24" s="174"/>
      <c r="O24" s="175"/>
      <c r="P24" s="171"/>
      <c r="Q24" s="173"/>
      <c r="R24" s="174"/>
      <c r="S24" s="175"/>
      <c r="T24" s="171"/>
      <c r="U24" s="173"/>
      <c r="V24" s="82"/>
      <c r="W24" s="189"/>
      <c r="X24" s="83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73"/>
    </row>
    <row r="25" spans="1:231" s="85" customFormat="1" ht="17.100000000000001" customHeight="1">
      <c r="A25" s="190">
        <v>15</v>
      </c>
      <c r="B25" s="178"/>
      <c r="C25" s="170"/>
      <c r="D25" s="171"/>
      <c r="E25" s="177"/>
      <c r="F25" s="177"/>
      <c r="G25" s="173"/>
      <c r="H25" s="173"/>
      <c r="I25" s="173"/>
      <c r="J25" s="174"/>
      <c r="K25" s="175"/>
      <c r="L25" s="171"/>
      <c r="M25" s="176"/>
      <c r="N25" s="174"/>
      <c r="O25" s="175"/>
      <c r="P25" s="171"/>
      <c r="Q25" s="173"/>
      <c r="R25" s="174"/>
      <c r="S25" s="175"/>
      <c r="T25" s="171"/>
      <c r="U25" s="173"/>
      <c r="V25" s="82"/>
      <c r="W25" s="189"/>
      <c r="X25" s="83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73" t="e">
        <f>CONCATENATE(#REF!,H25)</f>
        <v>#REF!</v>
      </c>
    </row>
    <row r="26" spans="1:231" s="85" customFormat="1" ht="17.100000000000001" customHeight="1">
      <c r="A26" s="190">
        <v>16</v>
      </c>
      <c r="B26" s="178"/>
      <c r="C26" s="170"/>
      <c r="D26" s="171"/>
      <c r="E26" s="177"/>
      <c r="F26" s="177"/>
      <c r="G26" s="173"/>
      <c r="H26" s="173"/>
      <c r="I26" s="173"/>
      <c r="J26" s="174"/>
      <c r="K26" s="175"/>
      <c r="L26" s="171"/>
      <c r="M26" s="176"/>
      <c r="N26" s="174"/>
      <c r="O26" s="175"/>
      <c r="P26" s="171"/>
      <c r="Q26" s="173"/>
      <c r="R26" s="174"/>
      <c r="S26" s="175"/>
      <c r="T26" s="171"/>
      <c r="U26" s="173"/>
      <c r="V26" s="82"/>
      <c r="W26" s="189"/>
      <c r="X26" s="83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73" t="e">
        <f>CONCATENATE(#REF!,H26)</f>
        <v>#REF!</v>
      </c>
    </row>
    <row r="27" spans="1:231" s="85" customFormat="1" ht="17.100000000000001" customHeight="1">
      <c r="A27" s="190">
        <v>17</v>
      </c>
      <c r="B27" s="178"/>
      <c r="C27" s="170"/>
      <c r="D27" s="171"/>
      <c r="E27" s="177"/>
      <c r="F27" s="177"/>
      <c r="G27" s="173"/>
      <c r="H27" s="173"/>
      <c r="I27" s="173"/>
      <c r="J27" s="174"/>
      <c r="K27" s="175"/>
      <c r="L27" s="171"/>
      <c r="M27" s="176"/>
      <c r="N27" s="174"/>
      <c r="O27" s="175"/>
      <c r="P27" s="171"/>
      <c r="Q27" s="173"/>
      <c r="R27" s="174"/>
      <c r="S27" s="175"/>
      <c r="T27" s="171"/>
      <c r="U27" s="173"/>
      <c r="V27" s="82"/>
      <c r="W27" s="189"/>
      <c r="X27" s="83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73" t="e">
        <f>CONCATENATE(#REF!,H27)</f>
        <v>#REF!</v>
      </c>
    </row>
    <row r="28" spans="1:231" s="85" customFormat="1" ht="17.100000000000001" customHeight="1">
      <c r="A28" s="190">
        <v>18</v>
      </c>
      <c r="B28" s="178"/>
      <c r="C28" s="179"/>
      <c r="D28" s="180"/>
      <c r="E28" s="181"/>
      <c r="F28" s="181"/>
      <c r="G28" s="182"/>
      <c r="H28" s="182"/>
      <c r="I28" s="182"/>
      <c r="J28" s="180"/>
      <c r="K28" s="180"/>
      <c r="L28" s="180"/>
      <c r="M28" s="183"/>
      <c r="N28" s="180"/>
      <c r="O28" s="184"/>
      <c r="P28" s="185"/>
      <c r="Q28" s="182"/>
      <c r="R28" s="186"/>
      <c r="S28" s="187"/>
      <c r="T28" s="185"/>
      <c r="U28" s="182"/>
      <c r="V28" s="82"/>
      <c r="W28" s="189"/>
      <c r="X28" s="83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  <c r="FU28" s="84"/>
      <c r="FV28" s="84"/>
      <c r="FW28" s="84"/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84"/>
      <c r="GK28" s="84"/>
      <c r="GL28" s="84"/>
      <c r="GM28" s="84"/>
      <c r="GN28" s="84"/>
      <c r="GO28" s="84"/>
      <c r="GP28" s="84"/>
      <c r="GQ28" s="84"/>
      <c r="GR28" s="84"/>
      <c r="GS28" s="84"/>
      <c r="GT28" s="84"/>
      <c r="GU28" s="84"/>
      <c r="GV28" s="84"/>
      <c r="GW28" s="84"/>
      <c r="GX28" s="84"/>
      <c r="GY28" s="84"/>
      <c r="GZ28" s="84"/>
      <c r="HA28" s="84"/>
      <c r="HB28" s="84"/>
      <c r="HC28" s="84"/>
      <c r="HD28" s="84"/>
      <c r="HE28" s="84"/>
      <c r="HF28" s="84"/>
      <c r="HG28" s="84"/>
      <c r="HH28" s="84"/>
      <c r="HI28" s="84"/>
      <c r="HJ28" s="84"/>
      <c r="HK28" s="84"/>
      <c r="HL28" s="84"/>
      <c r="HM28" s="84"/>
      <c r="HN28" s="84"/>
      <c r="HO28" s="84"/>
      <c r="HP28" s="84"/>
      <c r="HQ28" s="84"/>
      <c r="HR28" s="84"/>
      <c r="HS28" s="84"/>
      <c r="HT28" s="84"/>
      <c r="HU28" s="84"/>
      <c r="HV28" s="84"/>
      <c r="HW28" s="73" t="e">
        <f>CONCATENATE(#REF!,H28)</f>
        <v>#REF!</v>
      </c>
    </row>
    <row r="29" spans="1:231" s="85" customFormat="1" ht="17.100000000000001" customHeight="1">
      <c r="A29" s="190">
        <v>19</v>
      </c>
      <c r="B29" s="178"/>
      <c r="C29" s="179"/>
      <c r="D29" s="180"/>
      <c r="E29" s="181"/>
      <c r="F29" s="181"/>
      <c r="G29" s="182"/>
      <c r="H29" s="182"/>
      <c r="I29" s="182"/>
      <c r="J29" s="180"/>
      <c r="K29" s="180"/>
      <c r="L29" s="180"/>
      <c r="M29" s="183"/>
      <c r="N29" s="180"/>
      <c r="O29" s="184"/>
      <c r="P29" s="185"/>
      <c r="Q29" s="182"/>
      <c r="R29" s="186"/>
      <c r="S29" s="184"/>
      <c r="T29" s="185"/>
      <c r="U29" s="182"/>
      <c r="V29" s="82"/>
      <c r="W29" s="189"/>
      <c r="X29" s="83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73" t="e">
        <f>CONCATENATE(#REF!,H29)</f>
        <v>#REF!</v>
      </c>
    </row>
    <row r="30" spans="1:231" s="85" customFormat="1" ht="17.100000000000001" customHeight="1">
      <c r="A30" s="190">
        <v>20</v>
      </c>
      <c r="B30" s="178"/>
      <c r="C30" s="179"/>
      <c r="D30" s="180"/>
      <c r="E30" s="181"/>
      <c r="F30" s="181"/>
      <c r="G30" s="182"/>
      <c r="H30" s="182"/>
      <c r="I30" s="182"/>
      <c r="J30" s="180"/>
      <c r="K30" s="180"/>
      <c r="L30" s="180"/>
      <c r="M30" s="183"/>
      <c r="N30" s="180"/>
      <c r="O30" s="184"/>
      <c r="P30" s="185"/>
      <c r="Q30" s="182"/>
      <c r="R30" s="186"/>
      <c r="S30" s="184"/>
      <c r="T30" s="185"/>
      <c r="U30" s="182"/>
      <c r="V30" s="82"/>
      <c r="W30" s="189"/>
      <c r="X30" s="83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73" t="e">
        <f>CONCATENATE(#REF!,H30)</f>
        <v>#REF!</v>
      </c>
    </row>
    <row r="31" spans="1:231" s="85" customFormat="1" ht="17.100000000000001" customHeight="1">
      <c r="A31" s="190" t="s">
        <v>46</v>
      </c>
      <c r="B31" s="178"/>
      <c r="C31" s="179"/>
      <c r="D31" s="180"/>
      <c r="E31" s="181"/>
      <c r="F31" s="181"/>
      <c r="G31" s="182"/>
      <c r="H31" s="182"/>
      <c r="I31" s="182"/>
      <c r="J31" s="180"/>
      <c r="K31" s="180"/>
      <c r="L31" s="180"/>
      <c r="M31" s="183"/>
      <c r="N31" s="180"/>
      <c r="O31" s="184"/>
      <c r="P31" s="185"/>
      <c r="Q31" s="182"/>
      <c r="R31" s="186"/>
      <c r="S31" s="184"/>
      <c r="T31" s="185"/>
      <c r="U31" s="182"/>
      <c r="V31" s="82"/>
      <c r="W31" s="189"/>
      <c r="X31" s="83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73" t="e">
        <f>CONCATENATE(#REF!,H31)</f>
        <v>#REF!</v>
      </c>
    </row>
    <row r="32" spans="1:231" s="85" customFormat="1" ht="17.100000000000001" customHeight="1">
      <c r="A32" s="190" t="s">
        <v>46</v>
      </c>
      <c r="B32" s="178"/>
      <c r="C32" s="179"/>
      <c r="D32" s="180"/>
      <c r="E32" s="181"/>
      <c r="F32" s="181"/>
      <c r="G32" s="182"/>
      <c r="H32" s="182"/>
      <c r="I32" s="182"/>
      <c r="J32" s="180"/>
      <c r="K32" s="180"/>
      <c r="L32" s="180"/>
      <c r="M32" s="183"/>
      <c r="N32" s="180"/>
      <c r="O32" s="184"/>
      <c r="P32" s="185"/>
      <c r="Q32" s="182"/>
      <c r="R32" s="186"/>
      <c r="S32" s="184"/>
      <c r="T32" s="185"/>
      <c r="U32" s="182"/>
      <c r="V32" s="82"/>
      <c r="W32" s="189"/>
      <c r="X32" s="83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84"/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84"/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  <c r="GW32" s="84"/>
      <c r="GX32" s="84"/>
      <c r="GY32" s="84"/>
      <c r="GZ32" s="84"/>
      <c r="HA32" s="84"/>
      <c r="HB32" s="84"/>
      <c r="HC32" s="84"/>
      <c r="HD32" s="84"/>
      <c r="HE32" s="84"/>
      <c r="HF32" s="84"/>
      <c r="HG32" s="84"/>
      <c r="HH32" s="84"/>
      <c r="HI32" s="84"/>
      <c r="HJ32" s="84"/>
      <c r="HK32" s="84"/>
      <c r="HL32" s="84"/>
      <c r="HM32" s="84"/>
      <c r="HN32" s="84"/>
      <c r="HO32" s="84"/>
      <c r="HP32" s="84"/>
      <c r="HQ32" s="84"/>
      <c r="HR32" s="84"/>
      <c r="HS32" s="84"/>
      <c r="HT32" s="84"/>
      <c r="HU32" s="84"/>
      <c r="HV32" s="84"/>
      <c r="HW32" s="73" t="e">
        <f>CONCATENATE(#REF!,H32)</f>
        <v>#REF!</v>
      </c>
    </row>
    <row r="33" spans="1:231" s="85" customFormat="1" ht="17.100000000000001" customHeight="1">
      <c r="A33" s="190" t="s">
        <v>46</v>
      </c>
      <c r="B33" s="178"/>
      <c r="C33" s="179"/>
      <c r="D33" s="180"/>
      <c r="E33" s="181"/>
      <c r="F33" s="181"/>
      <c r="G33" s="182"/>
      <c r="H33" s="182"/>
      <c r="I33" s="182"/>
      <c r="J33" s="180"/>
      <c r="K33" s="180"/>
      <c r="L33" s="180"/>
      <c r="M33" s="183"/>
      <c r="N33" s="180"/>
      <c r="O33" s="184"/>
      <c r="P33" s="185"/>
      <c r="Q33" s="182"/>
      <c r="R33" s="186"/>
      <c r="S33" s="184"/>
      <c r="T33" s="185"/>
      <c r="U33" s="182"/>
      <c r="V33" s="82"/>
      <c r="W33" s="189"/>
      <c r="X33" s="83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73" t="e">
        <f>CONCATENATE(#REF!,H33)</f>
        <v>#REF!</v>
      </c>
    </row>
    <row r="34" spans="1:231" s="85" customFormat="1" ht="17.100000000000001" customHeight="1">
      <c r="A34" s="190" t="s">
        <v>46</v>
      </c>
      <c r="B34" s="178"/>
      <c r="C34" s="179"/>
      <c r="D34" s="180"/>
      <c r="E34" s="181"/>
      <c r="F34" s="181"/>
      <c r="G34" s="182"/>
      <c r="H34" s="182"/>
      <c r="I34" s="182"/>
      <c r="J34" s="180"/>
      <c r="K34" s="180"/>
      <c r="L34" s="180"/>
      <c r="M34" s="183"/>
      <c r="N34" s="180"/>
      <c r="O34" s="184"/>
      <c r="P34" s="185"/>
      <c r="Q34" s="182"/>
      <c r="R34" s="186"/>
      <c r="S34" s="184"/>
      <c r="T34" s="185"/>
      <c r="U34" s="182"/>
      <c r="V34" s="82"/>
      <c r="W34" s="189"/>
      <c r="X34" s="83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84"/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84"/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  <c r="GW34" s="84"/>
      <c r="GX34" s="84"/>
      <c r="GY34" s="84"/>
      <c r="GZ34" s="84"/>
      <c r="HA34" s="84"/>
      <c r="HB34" s="84"/>
      <c r="HC34" s="84"/>
      <c r="HD34" s="84"/>
      <c r="HE34" s="84"/>
      <c r="HF34" s="84"/>
      <c r="HG34" s="84"/>
      <c r="HH34" s="84"/>
      <c r="HI34" s="84"/>
      <c r="HJ34" s="84"/>
      <c r="HK34" s="84"/>
      <c r="HL34" s="84"/>
      <c r="HM34" s="84"/>
      <c r="HN34" s="84"/>
      <c r="HO34" s="84"/>
      <c r="HP34" s="84"/>
      <c r="HQ34" s="84"/>
      <c r="HR34" s="84"/>
      <c r="HS34" s="84"/>
      <c r="HT34" s="84"/>
      <c r="HU34" s="84"/>
      <c r="HV34" s="84"/>
      <c r="HW34" s="73" t="e">
        <f>CONCATENATE(#REF!,H34)</f>
        <v>#REF!</v>
      </c>
    </row>
    <row r="35" spans="1:231" s="85" customFormat="1" ht="17.100000000000001" customHeight="1">
      <c r="A35" s="190" t="s">
        <v>46</v>
      </c>
      <c r="B35" s="178"/>
      <c r="C35" s="179"/>
      <c r="D35" s="180"/>
      <c r="E35" s="181"/>
      <c r="F35" s="181"/>
      <c r="G35" s="182"/>
      <c r="H35" s="182"/>
      <c r="I35" s="182"/>
      <c r="J35" s="180"/>
      <c r="K35" s="180"/>
      <c r="L35" s="180"/>
      <c r="M35" s="183"/>
      <c r="N35" s="180"/>
      <c r="O35" s="184"/>
      <c r="P35" s="185"/>
      <c r="Q35" s="182"/>
      <c r="R35" s="186"/>
      <c r="S35" s="184"/>
      <c r="T35" s="185"/>
      <c r="U35" s="182"/>
      <c r="V35" s="82"/>
      <c r="W35" s="189"/>
      <c r="X35" s="83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84"/>
      <c r="GA35" s="84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73" t="e">
        <f>CONCATENATE(#REF!,H35)</f>
        <v>#REF!</v>
      </c>
    </row>
    <row r="36" spans="1:231" s="85" customFormat="1" ht="17.100000000000001" customHeight="1">
      <c r="A36" s="190" t="s">
        <v>46</v>
      </c>
      <c r="B36" s="178"/>
      <c r="C36" s="179"/>
      <c r="D36" s="180"/>
      <c r="E36" s="181"/>
      <c r="F36" s="181"/>
      <c r="G36" s="182"/>
      <c r="H36" s="182"/>
      <c r="I36" s="182"/>
      <c r="J36" s="180"/>
      <c r="K36" s="180"/>
      <c r="L36" s="180"/>
      <c r="M36" s="183"/>
      <c r="N36" s="180"/>
      <c r="O36" s="184"/>
      <c r="P36" s="185"/>
      <c r="Q36" s="182"/>
      <c r="R36" s="186"/>
      <c r="S36" s="184"/>
      <c r="T36" s="185"/>
      <c r="U36" s="182"/>
      <c r="V36" s="82"/>
      <c r="W36" s="189"/>
      <c r="X36" s="83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73" t="e">
        <f>CONCATENATE(#REF!,H36)</f>
        <v>#REF!</v>
      </c>
    </row>
    <row r="37" spans="1:231" s="85" customFormat="1" ht="17.100000000000001" customHeight="1">
      <c r="A37" s="190" t="s">
        <v>46</v>
      </c>
      <c r="B37" s="178"/>
      <c r="C37" s="179"/>
      <c r="D37" s="180"/>
      <c r="E37" s="181"/>
      <c r="F37" s="181"/>
      <c r="G37" s="182"/>
      <c r="H37" s="182"/>
      <c r="I37" s="182"/>
      <c r="J37" s="180"/>
      <c r="K37" s="180"/>
      <c r="L37" s="180"/>
      <c r="M37" s="183"/>
      <c r="N37" s="180"/>
      <c r="O37" s="184"/>
      <c r="P37" s="185"/>
      <c r="Q37" s="182"/>
      <c r="R37" s="186"/>
      <c r="S37" s="184"/>
      <c r="T37" s="185"/>
      <c r="U37" s="182"/>
      <c r="V37" s="82"/>
      <c r="W37" s="189"/>
      <c r="X37" s="83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84"/>
      <c r="GA37" s="84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73" t="e">
        <f>CONCATENATE(#REF!,H37)</f>
        <v>#REF!</v>
      </c>
    </row>
    <row r="38" spans="1:231" s="85" customFormat="1" ht="17.100000000000001" customHeight="1">
      <c r="A38" s="190" t="s">
        <v>46</v>
      </c>
      <c r="B38" s="178"/>
      <c r="C38" s="179"/>
      <c r="D38" s="180"/>
      <c r="E38" s="181"/>
      <c r="F38" s="181"/>
      <c r="G38" s="182"/>
      <c r="H38" s="182"/>
      <c r="I38" s="182"/>
      <c r="J38" s="180"/>
      <c r="K38" s="180"/>
      <c r="L38" s="180"/>
      <c r="M38" s="183"/>
      <c r="N38" s="180"/>
      <c r="O38" s="184"/>
      <c r="P38" s="185"/>
      <c r="Q38" s="182"/>
      <c r="R38" s="186"/>
      <c r="S38" s="184"/>
      <c r="T38" s="185"/>
      <c r="U38" s="182"/>
      <c r="V38" s="82"/>
      <c r="W38" s="189"/>
      <c r="X38" s="83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84"/>
      <c r="GA38" s="84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73" t="e">
        <f>CONCATENATE(#REF!,H38)</f>
        <v>#REF!</v>
      </c>
    </row>
    <row r="39" spans="1:231" s="85" customFormat="1" ht="17.100000000000001" customHeight="1">
      <c r="A39" s="190" t="s">
        <v>46</v>
      </c>
      <c r="B39" s="178"/>
      <c r="C39" s="179"/>
      <c r="D39" s="180"/>
      <c r="E39" s="181"/>
      <c r="F39" s="181"/>
      <c r="G39" s="182"/>
      <c r="H39" s="182"/>
      <c r="I39" s="182"/>
      <c r="J39" s="180"/>
      <c r="K39" s="180"/>
      <c r="L39" s="180"/>
      <c r="M39" s="183"/>
      <c r="N39" s="180"/>
      <c r="O39" s="184"/>
      <c r="P39" s="185"/>
      <c r="Q39" s="182"/>
      <c r="R39" s="186"/>
      <c r="S39" s="184"/>
      <c r="T39" s="185"/>
      <c r="U39" s="182"/>
      <c r="V39" s="82"/>
      <c r="W39" s="189"/>
      <c r="X39" s="83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73" t="e">
        <f>CONCATENATE(#REF!,H39)</f>
        <v>#REF!</v>
      </c>
    </row>
    <row r="40" spans="1:231" s="85" customFormat="1" ht="17.100000000000001" customHeight="1">
      <c r="A40" s="190" t="s">
        <v>46</v>
      </c>
      <c r="B40" s="178"/>
      <c r="C40" s="179"/>
      <c r="D40" s="180"/>
      <c r="E40" s="181"/>
      <c r="F40" s="181"/>
      <c r="G40" s="182"/>
      <c r="H40" s="182"/>
      <c r="I40" s="182"/>
      <c r="J40" s="180"/>
      <c r="K40" s="180"/>
      <c r="L40" s="180"/>
      <c r="M40" s="183"/>
      <c r="N40" s="180"/>
      <c r="O40" s="184"/>
      <c r="P40" s="185"/>
      <c r="Q40" s="182"/>
      <c r="R40" s="186"/>
      <c r="S40" s="184"/>
      <c r="T40" s="185"/>
      <c r="U40" s="182"/>
      <c r="V40" s="82"/>
      <c r="W40" s="189"/>
      <c r="X40" s="83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84"/>
      <c r="GA40" s="84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73" t="e">
        <f>CONCATENATE(#REF!,H40)</f>
        <v>#REF!</v>
      </c>
    </row>
    <row r="41" spans="1:231" s="85" customFormat="1" ht="17.100000000000001" customHeight="1">
      <c r="A41" s="190" t="s">
        <v>46</v>
      </c>
      <c r="B41" s="86"/>
      <c r="C41" s="75"/>
      <c r="D41" s="76"/>
      <c r="E41" s="77"/>
      <c r="F41" s="77"/>
      <c r="G41" s="78"/>
      <c r="H41" s="78"/>
      <c r="I41" s="78"/>
      <c r="J41" s="76"/>
      <c r="K41" s="76"/>
      <c r="L41" s="76"/>
      <c r="M41" s="79"/>
      <c r="N41" s="76"/>
      <c r="O41" s="80"/>
      <c r="P41" s="81"/>
      <c r="Q41" s="78"/>
      <c r="R41" s="94"/>
      <c r="S41" s="80"/>
      <c r="T41" s="81"/>
      <c r="U41" s="78"/>
      <c r="V41" s="82"/>
      <c r="W41" s="82"/>
      <c r="X41" s="83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84"/>
      <c r="GU41" s="84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73" t="e">
        <f>CONCATENATE(#REF!,H41)</f>
        <v>#REF!</v>
      </c>
    </row>
    <row r="42" spans="1:231" s="85" customFormat="1" ht="17.100000000000001" customHeight="1">
      <c r="A42" s="190" t="s">
        <v>46</v>
      </c>
      <c r="B42" s="86"/>
      <c r="C42" s="75"/>
      <c r="D42" s="76"/>
      <c r="E42" s="77"/>
      <c r="F42" s="77"/>
      <c r="G42" s="78"/>
      <c r="H42" s="78"/>
      <c r="I42" s="78"/>
      <c r="J42" s="76"/>
      <c r="K42" s="76"/>
      <c r="L42" s="76"/>
      <c r="M42" s="79"/>
      <c r="N42" s="76"/>
      <c r="O42" s="80"/>
      <c r="P42" s="81"/>
      <c r="Q42" s="78"/>
      <c r="R42" s="94"/>
      <c r="S42" s="80"/>
      <c r="T42" s="81"/>
      <c r="U42" s="78"/>
      <c r="V42" s="82"/>
      <c r="W42" s="82"/>
      <c r="X42" s="83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/>
      <c r="HS42" s="84"/>
      <c r="HT42" s="84"/>
      <c r="HU42" s="84"/>
      <c r="HV42" s="84"/>
      <c r="HW42" s="73" t="e">
        <f>CONCATENATE(#REF!,H42)</f>
        <v>#REF!</v>
      </c>
    </row>
    <row r="43" spans="1:231" s="85" customFormat="1" ht="17.100000000000001" customHeight="1">
      <c r="A43" s="190" t="s">
        <v>46</v>
      </c>
      <c r="B43" s="86"/>
      <c r="C43" s="75"/>
      <c r="D43" s="76"/>
      <c r="E43" s="77"/>
      <c r="F43" s="77"/>
      <c r="G43" s="78"/>
      <c r="H43" s="78"/>
      <c r="I43" s="78"/>
      <c r="J43" s="76"/>
      <c r="K43" s="76"/>
      <c r="L43" s="76"/>
      <c r="M43" s="79"/>
      <c r="N43" s="76"/>
      <c r="O43" s="80"/>
      <c r="P43" s="81"/>
      <c r="Q43" s="78"/>
      <c r="R43" s="94"/>
      <c r="S43" s="80"/>
      <c r="T43" s="81"/>
      <c r="U43" s="78"/>
      <c r="V43" s="82"/>
      <c r="W43" s="82"/>
      <c r="X43" s="83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73" t="e">
        <f>CONCATENATE(#REF!,H43)</f>
        <v>#REF!</v>
      </c>
    </row>
    <row r="44" spans="1:231" s="85" customFormat="1" ht="17.100000000000001" customHeight="1">
      <c r="A44" s="190" t="s">
        <v>46</v>
      </c>
      <c r="B44" s="86"/>
      <c r="C44" s="75"/>
      <c r="D44" s="76"/>
      <c r="E44" s="77"/>
      <c r="F44" s="77"/>
      <c r="G44" s="78"/>
      <c r="H44" s="78"/>
      <c r="I44" s="78"/>
      <c r="J44" s="76"/>
      <c r="K44" s="76"/>
      <c r="L44" s="76"/>
      <c r="M44" s="79"/>
      <c r="N44" s="76"/>
      <c r="O44" s="80"/>
      <c r="P44" s="81"/>
      <c r="Q44" s="78"/>
      <c r="R44" s="94"/>
      <c r="S44" s="80"/>
      <c r="T44" s="81"/>
      <c r="U44" s="78"/>
      <c r="V44" s="82"/>
      <c r="W44" s="82"/>
      <c r="X44" s="83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73" t="e">
        <f>CONCATENATE(#REF!,H44)</f>
        <v>#REF!</v>
      </c>
    </row>
    <row r="45" spans="1:231" s="85" customFormat="1" ht="17.100000000000001" customHeight="1">
      <c r="A45" s="190" t="s">
        <v>46</v>
      </c>
      <c r="B45" s="86"/>
      <c r="C45" s="75"/>
      <c r="D45" s="76"/>
      <c r="E45" s="77"/>
      <c r="F45" s="77"/>
      <c r="G45" s="78"/>
      <c r="H45" s="78"/>
      <c r="I45" s="78"/>
      <c r="J45" s="76"/>
      <c r="K45" s="76"/>
      <c r="L45" s="76"/>
      <c r="M45" s="79"/>
      <c r="N45" s="76"/>
      <c r="O45" s="80"/>
      <c r="P45" s="81"/>
      <c r="Q45" s="78"/>
      <c r="R45" s="94"/>
      <c r="S45" s="80"/>
      <c r="T45" s="81"/>
      <c r="U45" s="78"/>
      <c r="V45" s="82"/>
      <c r="W45" s="82"/>
      <c r="X45" s="83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73" t="e">
        <f>CONCATENATE(#REF!,H45)</f>
        <v>#REF!</v>
      </c>
    </row>
    <row r="46" spans="1:231" s="85" customFormat="1" ht="17.100000000000001" customHeight="1">
      <c r="A46" s="190" t="s">
        <v>46</v>
      </c>
      <c r="B46" s="86"/>
      <c r="C46" s="75"/>
      <c r="D46" s="76"/>
      <c r="E46" s="77"/>
      <c r="F46" s="77"/>
      <c r="G46" s="78"/>
      <c r="H46" s="78"/>
      <c r="I46" s="78"/>
      <c r="J46" s="76"/>
      <c r="K46" s="76"/>
      <c r="L46" s="76"/>
      <c r="M46" s="79"/>
      <c r="N46" s="76"/>
      <c r="O46" s="80"/>
      <c r="P46" s="81"/>
      <c r="Q46" s="78"/>
      <c r="R46" s="94"/>
      <c r="S46" s="80"/>
      <c r="T46" s="81"/>
      <c r="U46" s="78"/>
      <c r="V46" s="82"/>
      <c r="W46" s="82"/>
      <c r="X46" s="83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73" t="e">
        <f>CONCATENATE(#REF!,H46)</f>
        <v>#REF!</v>
      </c>
    </row>
    <row r="47" spans="1:231" s="85" customFormat="1" ht="17.100000000000001" customHeight="1">
      <c r="A47" s="190" t="s">
        <v>46</v>
      </c>
      <c r="B47" s="86"/>
      <c r="C47" s="75"/>
      <c r="D47" s="76"/>
      <c r="E47" s="77"/>
      <c r="F47" s="77"/>
      <c r="G47" s="78"/>
      <c r="H47" s="78"/>
      <c r="I47" s="78"/>
      <c r="J47" s="76"/>
      <c r="K47" s="76"/>
      <c r="L47" s="76"/>
      <c r="M47" s="79"/>
      <c r="N47" s="76"/>
      <c r="O47" s="80"/>
      <c r="P47" s="81"/>
      <c r="Q47" s="78"/>
      <c r="R47" s="94"/>
      <c r="S47" s="80"/>
      <c r="T47" s="81"/>
      <c r="U47" s="78"/>
      <c r="V47" s="82"/>
      <c r="W47" s="82"/>
      <c r="X47" s="83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73" t="e">
        <f>CONCATENATE(#REF!,H47)</f>
        <v>#REF!</v>
      </c>
    </row>
    <row r="48" spans="1:231" s="85" customFormat="1" ht="17.100000000000001" customHeight="1">
      <c r="A48" s="190" t="s">
        <v>46</v>
      </c>
      <c r="B48" s="86"/>
      <c r="C48" s="75"/>
      <c r="D48" s="76"/>
      <c r="E48" s="77"/>
      <c r="F48" s="77"/>
      <c r="G48" s="78"/>
      <c r="H48" s="78"/>
      <c r="I48" s="78"/>
      <c r="J48" s="76"/>
      <c r="K48" s="76"/>
      <c r="L48" s="76"/>
      <c r="M48" s="79"/>
      <c r="N48" s="76"/>
      <c r="O48" s="80"/>
      <c r="P48" s="81"/>
      <c r="Q48" s="78"/>
      <c r="R48" s="94"/>
      <c r="S48" s="80"/>
      <c r="T48" s="81"/>
      <c r="U48" s="78"/>
      <c r="V48" s="82"/>
      <c r="W48" s="82"/>
      <c r="X48" s="83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73" t="e">
        <f>CONCATENATE(#REF!,H48)</f>
        <v>#REF!</v>
      </c>
    </row>
    <row r="49" spans="1:231" s="85" customFormat="1" ht="17.100000000000001" customHeight="1">
      <c r="A49" s="190" t="s">
        <v>46</v>
      </c>
      <c r="B49" s="86"/>
      <c r="C49" s="75"/>
      <c r="D49" s="76"/>
      <c r="E49" s="77"/>
      <c r="F49" s="77"/>
      <c r="G49" s="78"/>
      <c r="H49" s="78"/>
      <c r="I49" s="78"/>
      <c r="J49" s="76"/>
      <c r="K49" s="76"/>
      <c r="L49" s="76"/>
      <c r="M49" s="79"/>
      <c r="N49" s="76"/>
      <c r="O49" s="80"/>
      <c r="P49" s="81"/>
      <c r="Q49" s="78"/>
      <c r="R49" s="94"/>
      <c r="S49" s="80"/>
      <c r="T49" s="81"/>
      <c r="U49" s="78"/>
      <c r="V49" s="82"/>
      <c r="W49" s="82"/>
      <c r="X49" s="83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73" t="e">
        <f>CONCATENATE(#REF!,H49)</f>
        <v>#REF!</v>
      </c>
    </row>
    <row r="50" spans="1:231" s="85" customFormat="1" ht="17.100000000000001" customHeight="1">
      <c r="A50" s="190" t="s">
        <v>46</v>
      </c>
      <c r="B50" s="86"/>
      <c r="C50" s="75"/>
      <c r="D50" s="76"/>
      <c r="E50" s="77"/>
      <c r="F50" s="77"/>
      <c r="G50" s="78"/>
      <c r="H50" s="78"/>
      <c r="I50" s="78"/>
      <c r="J50" s="76"/>
      <c r="K50" s="76"/>
      <c r="L50" s="76"/>
      <c r="M50" s="79"/>
      <c r="N50" s="76"/>
      <c r="O50" s="80"/>
      <c r="P50" s="81"/>
      <c r="Q50" s="78"/>
      <c r="R50" s="94"/>
      <c r="S50" s="80"/>
      <c r="T50" s="81"/>
      <c r="U50" s="78"/>
      <c r="V50" s="82"/>
      <c r="W50" s="82"/>
      <c r="X50" s="83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73" t="e">
        <f>CONCATENATE(#REF!,H50)</f>
        <v>#REF!</v>
      </c>
    </row>
    <row r="51" spans="1:231" s="85" customFormat="1" ht="16.05" customHeight="1">
      <c r="A51" s="190" t="s">
        <v>46</v>
      </c>
      <c r="B51" s="86"/>
      <c r="C51" s="75"/>
      <c r="D51" s="76"/>
      <c r="E51" s="77"/>
      <c r="F51" s="77"/>
      <c r="G51" s="78"/>
      <c r="H51" s="78"/>
      <c r="I51" s="78"/>
      <c r="J51" s="76"/>
      <c r="K51" s="76"/>
      <c r="L51" s="76"/>
      <c r="M51" s="79"/>
      <c r="N51" s="76"/>
      <c r="O51" s="80"/>
      <c r="P51" s="81"/>
      <c r="Q51" s="78"/>
      <c r="R51" s="94"/>
      <c r="S51" s="80"/>
      <c r="T51" s="81"/>
      <c r="U51" s="78"/>
      <c r="V51" s="78"/>
      <c r="W51" s="82"/>
      <c r="X51" s="83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73" t="e">
        <f>CONCATENATE(#REF!,H51)</f>
        <v>#REF!</v>
      </c>
    </row>
    <row r="52" spans="1:231" s="85" customFormat="1" ht="16.05" customHeight="1">
      <c r="A52" s="74"/>
      <c r="B52" s="86"/>
      <c r="C52" s="75"/>
      <c r="D52" s="76"/>
      <c r="E52" s="77"/>
      <c r="F52" s="77"/>
      <c r="G52" s="78"/>
      <c r="H52" s="78"/>
      <c r="I52" s="78"/>
      <c r="J52" s="76"/>
      <c r="K52" s="76"/>
      <c r="L52" s="76"/>
      <c r="M52" s="79"/>
      <c r="N52" s="76"/>
      <c r="O52" s="80"/>
      <c r="P52" s="81"/>
      <c r="Q52" s="78"/>
      <c r="R52" s="94"/>
      <c r="S52" s="80"/>
      <c r="T52" s="81"/>
      <c r="U52" s="78"/>
      <c r="V52" s="78"/>
      <c r="W52" s="82"/>
      <c r="X52" s="83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73" t="e">
        <f>CONCATENATE(#REF!,H52)</f>
        <v>#REF!</v>
      </c>
    </row>
    <row r="53" spans="1:231" s="85" customFormat="1" ht="16.05" customHeight="1">
      <c r="A53" s="74"/>
      <c r="B53" s="86"/>
      <c r="C53" s="75"/>
      <c r="D53" s="76"/>
      <c r="E53" s="77"/>
      <c r="F53" s="77"/>
      <c r="G53" s="78"/>
      <c r="H53" s="78"/>
      <c r="I53" s="78"/>
      <c r="J53" s="76"/>
      <c r="K53" s="76"/>
      <c r="L53" s="76"/>
      <c r="M53" s="79"/>
      <c r="N53" s="76"/>
      <c r="O53" s="80"/>
      <c r="P53" s="81"/>
      <c r="Q53" s="78"/>
      <c r="R53" s="94"/>
      <c r="S53" s="80"/>
      <c r="T53" s="81"/>
      <c r="U53" s="78"/>
      <c r="V53" s="78"/>
      <c r="W53" s="82"/>
      <c r="X53" s="83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73" t="e">
        <f>CONCATENATE(#REF!,H53)</f>
        <v>#REF!</v>
      </c>
    </row>
    <row r="54" spans="1:231" s="85" customFormat="1" ht="16.05" customHeight="1">
      <c r="A54" s="74"/>
      <c r="B54" s="86"/>
      <c r="C54" s="75"/>
      <c r="D54" s="76"/>
      <c r="E54" s="77"/>
      <c r="F54" s="77"/>
      <c r="G54" s="78"/>
      <c r="H54" s="78"/>
      <c r="I54" s="78"/>
      <c r="J54" s="76"/>
      <c r="K54" s="76"/>
      <c r="L54" s="76"/>
      <c r="M54" s="79"/>
      <c r="N54" s="76"/>
      <c r="O54" s="80"/>
      <c r="P54" s="81"/>
      <c r="Q54" s="78"/>
      <c r="R54" s="94"/>
      <c r="S54" s="80"/>
      <c r="T54" s="81"/>
      <c r="U54" s="78"/>
      <c r="V54" s="78"/>
      <c r="W54" s="82"/>
      <c r="X54" s="83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73" t="e">
        <f>CONCATENATE(#REF!,H54)</f>
        <v>#REF!</v>
      </c>
    </row>
    <row r="55" spans="1:231" s="85" customFormat="1" ht="16.05" customHeight="1">
      <c r="A55" s="74"/>
      <c r="B55" s="86"/>
      <c r="C55" s="75"/>
      <c r="D55" s="76"/>
      <c r="E55" s="77"/>
      <c r="F55" s="77"/>
      <c r="G55" s="78"/>
      <c r="H55" s="78"/>
      <c r="I55" s="78"/>
      <c r="J55" s="76"/>
      <c r="K55" s="76"/>
      <c r="L55" s="76"/>
      <c r="M55" s="79"/>
      <c r="N55" s="76"/>
      <c r="O55" s="80"/>
      <c r="P55" s="81"/>
      <c r="Q55" s="78"/>
      <c r="R55" s="94"/>
      <c r="S55" s="80"/>
      <c r="T55" s="81"/>
      <c r="U55" s="78"/>
      <c r="V55" s="78"/>
      <c r="W55" s="82"/>
      <c r="X55" s="83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73" t="e">
        <f>CONCATENATE(#REF!,H55)</f>
        <v>#REF!</v>
      </c>
    </row>
    <row r="56" spans="1:231" s="85" customFormat="1" ht="16.05" customHeight="1">
      <c r="A56" s="74"/>
      <c r="B56" s="86"/>
      <c r="C56" s="75"/>
      <c r="D56" s="76"/>
      <c r="E56" s="77"/>
      <c r="F56" s="77"/>
      <c r="G56" s="78"/>
      <c r="H56" s="78"/>
      <c r="I56" s="78"/>
      <c r="J56" s="76"/>
      <c r="K56" s="76"/>
      <c r="L56" s="76"/>
      <c r="M56" s="79"/>
      <c r="N56" s="76"/>
      <c r="O56" s="80"/>
      <c r="P56" s="81"/>
      <c r="Q56" s="78"/>
      <c r="R56" s="94"/>
      <c r="S56" s="80"/>
      <c r="T56" s="81"/>
      <c r="U56" s="78"/>
      <c r="V56" s="78"/>
      <c r="W56" s="82"/>
      <c r="X56" s="83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73" t="e">
        <f>CONCATENATE(#REF!,H56)</f>
        <v>#REF!</v>
      </c>
    </row>
    <row r="57" spans="1:231" s="85" customFormat="1" ht="16.05" customHeight="1">
      <c r="A57" s="74"/>
      <c r="B57" s="86"/>
      <c r="C57" s="75"/>
      <c r="D57" s="76"/>
      <c r="E57" s="77"/>
      <c r="F57" s="77"/>
      <c r="G57" s="78"/>
      <c r="H57" s="78"/>
      <c r="I57" s="78"/>
      <c r="J57" s="76"/>
      <c r="K57" s="76"/>
      <c r="L57" s="76"/>
      <c r="M57" s="79"/>
      <c r="N57" s="76"/>
      <c r="O57" s="80"/>
      <c r="P57" s="81"/>
      <c r="Q57" s="78"/>
      <c r="R57" s="94"/>
      <c r="S57" s="80"/>
      <c r="T57" s="81"/>
      <c r="U57" s="78"/>
      <c r="V57" s="78"/>
      <c r="W57" s="82"/>
      <c r="X57" s="83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73" t="e">
        <f>CONCATENATE(#REF!,H57)</f>
        <v>#REF!</v>
      </c>
    </row>
    <row r="58" spans="1:231" s="85" customFormat="1" ht="16.05" customHeight="1">
      <c r="A58" s="74"/>
      <c r="B58" s="86"/>
      <c r="C58" s="75"/>
      <c r="D58" s="76"/>
      <c r="E58" s="77"/>
      <c r="F58" s="77"/>
      <c r="G58" s="78"/>
      <c r="H58" s="78"/>
      <c r="I58" s="78"/>
      <c r="J58" s="76"/>
      <c r="K58" s="76"/>
      <c r="L58" s="76"/>
      <c r="M58" s="79"/>
      <c r="N58" s="76"/>
      <c r="O58" s="80"/>
      <c r="P58" s="81"/>
      <c r="Q58" s="78"/>
      <c r="R58" s="94"/>
      <c r="S58" s="80"/>
      <c r="T58" s="81"/>
      <c r="U58" s="78"/>
      <c r="V58" s="78"/>
      <c r="W58" s="82"/>
      <c r="X58" s="83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73" t="e">
        <f>CONCATENATE(#REF!,H58)</f>
        <v>#REF!</v>
      </c>
    </row>
    <row r="59" spans="1:231" s="85" customFormat="1" ht="16.05" customHeight="1">
      <c r="A59" s="74"/>
      <c r="B59" s="86"/>
      <c r="C59" s="75"/>
      <c r="D59" s="76"/>
      <c r="E59" s="77"/>
      <c r="F59" s="77"/>
      <c r="G59" s="78"/>
      <c r="H59" s="78"/>
      <c r="I59" s="78"/>
      <c r="J59" s="76"/>
      <c r="K59" s="76"/>
      <c r="L59" s="76"/>
      <c r="M59" s="79"/>
      <c r="N59" s="76"/>
      <c r="O59" s="80"/>
      <c r="P59" s="81"/>
      <c r="Q59" s="78"/>
      <c r="R59" s="94"/>
      <c r="S59" s="80"/>
      <c r="T59" s="81"/>
      <c r="U59" s="78"/>
      <c r="V59" s="78"/>
      <c r="W59" s="82"/>
      <c r="X59" s="83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73" t="e">
        <f>CONCATENATE(#REF!,H59)</f>
        <v>#REF!</v>
      </c>
    </row>
    <row r="60" spans="1:231" s="85" customFormat="1" ht="16.05" customHeight="1">
      <c r="A60" s="74"/>
      <c r="B60" s="86"/>
      <c r="C60" s="75"/>
      <c r="D60" s="76"/>
      <c r="E60" s="77"/>
      <c r="F60" s="77"/>
      <c r="G60" s="78"/>
      <c r="H60" s="78"/>
      <c r="I60" s="78"/>
      <c r="J60" s="76"/>
      <c r="K60" s="76"/>
      <c r="L60" s="76"/>
      <c r="M60" s="79"/>
      <c r="N60" s="76"/>
      <c r="O60" s="80"/>
      <c r="P60" s="81"/>
      <c r="Q60" s="78"/>
      <c r="R60" s="94"/>
      <c r="S60" s="80"/>
      <c r="T60" s="81"/>
      <c r="U60" s="78"/>
      <c r="V60" s="78"/>
      <c r="W60" s="82"/>
      <c r="X60" s="83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73" t="e">
        <f>CONCATENATE(#REF!,H60)</f>
        <v>#REF!</v>
      </c>
    </row>
    <row r="61" spans="1:231" s="85" customFormat="1" ht="16.05" customHeight="1">
      <c r="A61" s="74"/>
      <c r="B61" s="86"/>
      <c r="C61" s="75"/>
      <c r="D61" s="76"/>
      <c r="E61" s="77"/>
      <c r="F61" s="77"/>
      <c r="G61" s="78"/>
      <c r="H61" s="78"/>
      <c r="I61" s="78"/>
      <c r="J61" s="76"/>
      <c r="K61" s="76"/>
      <c r="L61" s="76"/>
      <c r="M61" s="79"/>
      <c r="N61" s="76"/>
      <c r="O61" s="80"/>
      <c r="P61" s="81"/>
      <c r="Q61" s="78"/>
      <c r="R61" s="94"/>
      <c r="S61" s="80"/>
      <c r="T61" s="81"/>
      <c r="U61" s="78"/>
      <c r="V61" s="78"/>
      <c r="W61" s="82"/>
      <c r="X61" s="83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73" t="e">
        <f>CONCATENATE(#REF!,H61)</f>
        <v>#REF!</v>
      </c>
    </row>
    <row r="62" spans="1:231" s="85" customFormat="1" ht="16.05" customHeight="1">
      <c r="A62" s="74"/>
      <c r="B62" s="86"/>
      <c r="C62" s="75"/>
      <c r="D62" s="76"/>
      <c r="E62" s="77"/>
      <c r="F62" s="77"/>
      <c r="G62" s="78"/>
      <c r="H62" s="78"/>
      <c r="I62" s="78"/>
      <c r="J62" s="76"/>
      <c r="K62" s="76"/>
      <c r="L62" s="76"/>
      <c r="M62" s="79"/>
      <c r="N62" s="76"/>
      <c r="O62" s="80"/>
      <c r="P62" s="81"/>
      <c r="Q62" s="78"/>
      <c r="R62" s="94"/>
      <c r="S62" s="80"/>
      <c r="T62" s="81"/>
      <c r="U62" s="78"/>
      <c r="V62" s="78"/>
      <c r="W62" s="82"/>
      <c r="X62" s="83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73" t="e">
        <f>CONCATENATE(#REF!,H62)</f>
        <v>#REF!</v>
      </c>
    </row>
    <row r="63" spans="1:231" s="85" customFormat="1" ht="16.05" customHeight="1">
      <c r="A63" s="74"/>
      <c r="B63" s="86"/>
      <c r="C63" s="75"/>
      <c r="D63" s="76"/>
      <c r="E63" s="77"/>
      <c r="F63" s="77"/>
      <c r="G63" s="78"/>
      <c r="H63" s="78"/>
      <c r="I63" s="78"/>
      <c r="J63" s="76"/>
      <c r="K63" s="76"/>
      <c r="L63" s="76"/>
      <c r="M63" s="79"/>
      <c r="N63" s="76"/>
      <c r="O63" s="80"/>
      <c r="P63" s="81"/>
      <c r="Q63" s="78"/>
      <c r="R63" s="94"/>
      <c r="S63" s="80"/>
      <c r="T63" s="81"/>
      <c r="U63" s="78"/>
      <c r="V63" s="78"/>
      <c r="W63" s="82"/>
      <c r="X63" s="83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73" t="e">
        <f>CONCATENATE(#REF!,H63)</f>
        <v>#REF!</v>
      </c>
    </row>
    <row r="64" spans="1:231" s="85" customFormat="1" ht="16.05" customHeight="1">
      <c r="A64" s="74"/>
      <c r="B64" s="86"/>
      <c r="C64" s="75"/>
      <c r="D64" s="76"/>
      <c r="E64" s="77"/>
      <c r="F64" s="77"/>
      <c r="G64" s="78"/>
      <c r="H64" s="78"/>
      <c r="I64" s="78"/>
      <c r="J64" s="76"/>
      <c r="K64" s="76"/>
      <c r="L64" s="76"/>
      <c r="M64" s="79"/>
      <c r="N64" s="76"/>
      <c r="O64" s="80"/>
      <c r="P64" s="81"/>
      <c r="Q64" s="78"/>
      <c r="R64" s="94"/>
      <c r="S64" s="80"/>
      <c r="T64" s="81"/>
      <c r="U64" s="78"/>
      <c r="V64" s="78"/>
      <c r="W64" s="82"/>
      <c r="X64" s="83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84"/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84"/>
      <c r="GK64" s="84"/>
      <c r="GL64" s="84"/>
      <c r="GM64" s="84"/>
      <c r="GN64" s="84"/>
      <c r="GO64" s="84"/>
      <c r="GP64" s="84"/>
      <c r="GQ64" s="84"/>
      <c r="GR64" s="84"/>
      <c r="GS64" s="84"/>
      <c r="GT64" s="84"/>
      <c r="GU64" s="84"/>
      <c r="GV64" s="84"/>
      <c r="GW64" s="84"/>
      <c r="GX64" s="84"/>
      <c r="GY64" s="84"/>
      <c r="GZ64" s="84"/>
      <c r="HA64" s="84"/>
      <c r="HB64" s="84"/>
      <c r="HC64" s="84"/>
      <c r="HD64" s="84"/>
      <c r="HE64" s="84"/>
      <c r="HF64" s="84"/>
      <c r="HG64" s="84"/>
      <c r="HH64" s="84"/>
      <c r="HI64" s="84"/>
      <c r="HJ64" s="84"/>
      <c r="HK64" s="84"/>
      <c r="HL64" s="84"/>
      <c r="HM64" s="84"/>
      <c r="HN64" s="84"/>
      <c r="HO64" s="84"/>
      <c r="HP64" s="84"/>
      <c r="HQ64" s="84"/>
      <c r="HR64" s="84"/>
      <c r="HS64" s="84"/>
      <c r="HT64" s="84"/>
      <c r="HU64" s="84"/>
      <c r="HV64" s="84"/>
      <c r="HW64" s="73" t="e">
        <f>CONCATENATE(#REF!,H64)</f>
        <v>#REF!</v>
      </c>
    </row>
    <row r="65" spans="1:231" s="85" customFormat="1" ht="16.05" customHeight="1">
      <c r="A65" s="74"/>
      <c r="B65" s="86"/>
      <c r="C65" s="75"/>
      <c r="D65" s="76"/>
      <c r="E65" s="77"/>
      <c r="F65" s="77"/>
      <c r="G65" s="78"/>
      <c r="H65" s="78"/>
      <c r="I65" s="78"/>
      <c r="J65" s="76"/>
      <c r="K65" s="76"/>
      <c r="L65" s="76"/>
      <c r="M65" s="79"/>
      <c r="N65" s="76"/>
      <c r="O65" s="80"/>
      <c r="P65" s="81"/>
      <c r="Q65" s="78"/>
      <c r="R65" s="94"/>
      <c r="S65" s="80"/>
      <c r="T65" s="81"/>
      <c r="U65" s="78"/>
      <c r="V65" s="78"/>
      <c r="W65" s="82"/>
      <c r="X65" s="83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84"/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84"/>
      <c r="GX65" s="84"/>
      <c r="GY65" s="84"/>
      <c r="GZ65" s="84"/>
      <c r="HA65" s="84"/>
      <c r="HB65" s="84"/>
      <c r="HC65" s="84"/>
      <c r="HD65" s="84"/>
      <c r="HE65" s="84"/>
      <c r="HF65" s="84"/>
      <c r="HG65" s="84"/>
      <c r="HH65" s="84"/>
      <c r="HI65" s="84"/>
      <c r="HJ65" s="84"/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73" t="e">
        <f>CONCATENATE(#REF!,H65)</f>
        <v>#REF!</v>
      </c>
    </row>
    <row r="66" spans="1:231" s="85" customFormat="1" ht="16.05" customHeight="1">
      <c r="A66" s="74"/>
      <c r="B66" s="86"/>
      <c r="C66" s="75"/>
      <c r="D66" s="76"/>
      <c r="E66" s="77"/>
      <c r="F66" s="77"/>
      <c r="G66" s="78"/>
      <c r="H66" s="78"/>
      <c r="I66" s="78"/>
      <c r="J66" s="76"/>
      <c r="K66" s="76"/>
      <c r="L66" s="76"/>
      <c r="M66" s="79"/>
      <c r="N66" s="76"/>
      <c r="O66" s="80"/>
      <c r="P66" s="81"/>
      <c r="Q66" s="78"/>
      <c r="R66" s="94"/>
      <c r="S66" s="80"/>
      <c r="T66" s="81"/>
      <c r="U66" s="78"/>
      <c r="V66" s="78"/>
      <c r="W66" s="82"/>
      <c r="X66" s="83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  <c r="FU66" s="84"/>
      <c r="FV66" s="84"/>
      <c r="FW66" s="84"/>
      <c r="FX66" s="84"/>
      <c r="FY66" s="84"/>
      <c r="FZ66" s="84"/>
      <c r="GA66" s="84"/>
      <c r="GB66" s="84"/>
      <c r="GC66" s="84"/>
      <c r="GD66" s="84"/>
      <c r="GE66" s="84"/>
      <c r="GF66" s="84"/>
      <c r="GG66" s="84"/>
      <c r="GH66" s="84"/>
      <c r="GI66" s="84"/>
      <c r="GJ66" s="84"/>
      <c r="GK66" s="84"/>
      <c r="GL66" s="84"/>
      <c r="GM66" s="84"/>
      <c r="GN66" s="84"/>
      <c r="GO66" s="84"/>
      <c r="GP66" s="84"/>
      <c r="GQ66" s="84"/>
      <c r="GR66" s="84"/>
      <c r="GS66" s="84"/>
      <c r="GT66" s="84"/>
      <c r="GU66" s="84"/>
      <c r="GV66" s="84"/>
      <c r="GW66" s="84"/>
      <c r="GX66" s="84"/>
      <c r="GY66" s="84"/>
      <c r="GZ66" s="84"/>
      <c r="HA66" s="84"/>
      <c r="HB66" s="84"/>
      <c r="HC66" s="84"/>
      <c r="HD66" s="84"/>
      <c r="HE66" s="84"/>
      <c r="HF66" s="84"/>
      <c r="HG66" s="84"/>
      <c r="HH66" s="84"/>
      <c r="HI66" s="84"/>
      <c r="HJ66" s="84"/>
      <c r="HK66" s="84"/>
      <c r="HL66" s="84"/>
      <c r="HM66" s="84"/>
      <c r="HN66" s="84"/>
      <c r="HO66" s="84"/>
      <c r="HP66" s="84"/>
      <c r="HQ66" s="84"/>
      <c r="HR66" s="84"/>
      <c r="HS66" s="84"/>
      <c r="HT66" s="84"/>
      <c r="HU66" s="84"/>
      <c r="HV66" s="84"/>
      <c r="HW66" s="73" t="e">
        <f>CONCATENATE(#REF!,H66)</f>
        <v>#REF!</v>
      </c>
    </row>
    <row r="67" spans="1:231" s="85" customFormat="1" ht="16.05" customHeight="1">
      <c r="A67" s="74"/>
      <c r="B67" s="86"/>
      <c r="C67" s="75"/>
      <c r="D67" s="76"/>
      <c r="E67" s="77"/>
      <c r="F67" s="77"/>
      <c r="G67" s="78"/>
      <c r="H67" s="78"/>
      <c r="I67" s="78"/>
      <c r="J67" s="76"/>
      <c r="K67" s="76"/>
      <c r="L67" s="76"/>
      <c r="M67" s="79"/>
      <c r="N67" s="76"/>
      <c r="O67" s="80"/>
      <c r="P67" s="81"/>
      <c r="Q67" s="78"/>
      <c r="R67" s="94"/>
      <c r="S67" s="80"/>
      <c r="T67" s="81"/>
      <c r="U67" s="78"/>
      <c r="V67" s="78"/>
      <c r="W67" s="82"/>
      <c r="X67" s="83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/>
      <c r="HS67" s="84"/>
      <c r="HT67" s="84"/>
      <c r="HU67" s="84"/>
      <c r="HV67" s="84"/>
      <c r="HW67" s="73" t="e">
        <f>CONCATENATE(#REF!,H67)</f>
        <v>#REF!</v>
      </c>
    </row>
    <row r="68" spans="1:231" s="85" customFormat="1" ht="16.05" customHeight="1">
      <c r="A68" s="74"/>
      <c r="B68" s="86"/>
      <c r="C68" s="75"/>
      <c r="D68" s="76"/>
      <c r="E68" s="77"/>
      <c r="F68" s="77"/>
      <c r="G68" s="78"/>
      <c r="H68" s="78"/>
      <c r="I68" s="78"/>
      <c r="J68" s="76"/>
      <c r="K68" s="76"/>
      <c r="L68" s="76"/>
      <c r="M68" s="79"/>
      <c r="N68" s="76"/>
      <c r="O68" s="80"/>
      <c r="P68" s="81"/>
      <c r="Q68" s="78"/>
      <c r="R68" s="94"/>
      <c r="S68" s="80"/>
      <c r="T68" s="81"/>
      <c r="U68" s="78"/>
      <c r="V68" s="78"/>
      <c r="W68" s="82"/>
      <c r="X68" s="83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/>
      <c r="HS68" s="84"/>
      <c r="HT68" s="84"/>
      <c r="HU68" s="84"/>
      <c r="HV68" s="84"/>
      <c r="HW68" s="73" t="e">
        <f>CONCATENATE(#REF!,H68)</f>
        <v>#REF!</v>
      </c>
    </row>
    <row r="69" spans="1:231" s="85" customFormat="1" ht="16.05" customHeight="1">
      <c r="A69" s="74"/>
      <c r="B69" s="86"/>
      <c r="C69" s="75"/>
      <c r="D69" s="76"/>
      <c r="E69" s="77"/>
      <c r="F69" s="77"/>
      <c r="G69" s="78"/>
      <c r="H69" s="78"/>
      <c r="I69" s="78"/>
      <c r="J69" s="76"/>
      <c r="K69" s="76"/>
      <c r="L69" s="76"/>
      <c r="M69" s="79"/>
      <c r="N69" s="76"/>
      <c r="O69" s="80"/>
      <c r="P69" s="81"/>
      <c r="Q69" s="78"/>
      <c r="R69" s="94"/>
      <c r="S69" s="80"/>
      <c r="T69" s="81"/>
      <c r="U69" s="78"/>
      <c r="V69" s="78"/>
      <c r="W69" s="82"/>
      <c r="X69" s="83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/>
      <c r="HS69" s="84"/>
      <c r="HT69" s="84"/>
      <c r="HU69" s="84"/>
      <c r="HV69" s="84"/>
      <c r="HW69" s="73" t="e">
        <f>CONCATENATE(#REF!,H69)</f>
        <v>#REF!</v>
      </c>
    </row>
    <row r="70" spans="1:231" s="85" customFormat="1" ht="16.05" customHeight="1">
      <c r="A70" s="74"/>
      <c r="B70" s="86"/>
      <c r="C70" s="75"/>
      <c r="D70" s="76"/>
      <c r="E70" s="77"/>
      <c r="F70" s="77"/>
      <c r="G70" s="78"/>
      <c r="H70" s="78"/>
      <c r="I70" s="78"/>
      <c r="J70" s="76"/>
      <c r="K70" s="76"/>
      <c r="L70" s="76"/>
      <c r="M70" s="79"/>
      <c r="N70" s="76"/>
      <c r="O70" s="80"/>
      <c r="P70" s="81"/>
      <c r="Q70" s="78"/>
      <c r="R70" s="94"/>
      <c r="S70" s="80"/>
      <c r="T70" s="81"/>
      <c r="U70" s="78"/>
      <c r="V70" s="78"/>
      <c r="W70" s="82"/>
      <c r="X70" s="83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/>
      <c r="HS70" s="84"/>
      <c r="HT70" s="84"/>
      <c r="HU70" s="84"/>
      <c r="HV70" s="84"/>
      <c r="HW70" s="73" t="e">
        <f>CONCATENATE(#REF!,H70)</f>
        <v>#REF!</v>
      </c>
    </row>
    <row r="71" spans="1:231" s="85" customFormat="1" ht="16.05" customHeight="1">
      <c r="A71" s="74"/>
      <c r="B71" s="86"/>
      <c r="C71" s="75"/>
      <c r="D71" s="76"/>
      <c r="E71" s="77"/>
      <c r="F71" s="77"/>
      <c r="G71" s="78"/>
      <c r="H71" s="78"/>
      <c r="I71" s="78"/>
      <c r="J71" s="76"/>
      <c r="K71" s="76"/>
      <c r="L71" s="76"/>
      <c r="M71" s="79"/>
      <c r="N71" s="76"/>
      <c r="O71" s="80"/>
      <c r="P71" s="81"/>
      <c r="Q71" s="78"/>
      <c r="R71" s="94"/>
      <c r="S71" s="80"/>
      <c r="T71" s="81"/>
      <c r="U71" s="78"/>
      <c r="V71" s="78"/>
      <c r="W71" s="82"/>
      <c r="X71" s="83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/>
      <c r="HS71" s="84"/>
      <c r="HT71" s="84"/>
      <c r="HU71" s="84"/>
      <c r="HV71" s="84"/>
      <c r="HW71" s="73" t="e">
        <f>CONCATENATE(#REF!,H71)</f>
        <v>#REF!</v>
      </c>
    </row>
    <row r="72" spans="1:231" s="85" customFormat="1" ht="16.05" customHeight="1">
      <c r="A72" s="74"/>
      <c r="B72" s="86"/>
      <c r="C72" s="75"/>
      <c r="D72" s="76"/>
      <c r="E72" s="77"/>
      <c r="F72" s="77"/>
      <c r="G72" s="78"/>
      <c r="H72" s="78"/>
      <c r="I72" s="78"/>
      <c r="J72" s="76"/>
      <c r="K72" s="76"/>
      <c r="L72" s="76"/>
      <c r="M72" s="79"/>
      <c r="N72" s="76"/>
      <c r="O72" s="80"/>
      <c r="P72" s="81"/>
      <c r="Q72" s="78"/>
      <c r="R72" s="94"/>
      <c r="S72" s="80"/>
      <c r="T72" s="81"/>
      <c r="U72" s="78"/>
      <c r="V72" s="78"/>
      <c r="W72" s="82"/>
      <c r="X72" s="83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/>
      <c r="HS72" s="84"/>
      <c r="HT72" s="84"/>
      <c r="HU72" s="84"/>
      <c r="HV72" s="84"/>
      <c r="HW72" s="73" t="e">
        <f>CONCATENATE(#REF!,H72)</f>
        <v>#REF!</v>
      </c>
    </row>
    <row r="73" spans="1:231" s="85" customFormat="1" ht="16.05" customHeight="1">
      <c r="A73" s="74"/>
      <c r="B73" s="86"/>
      <c r="C73" s="75"/>
      <c r="D73" s="76"/>
      <c r="E73" s="77"/>
      <c r="F73" s="77"/>
      <c r="G73" s="78"/>
      <c r="H73" s="78"/>
      <c r="I73" s="78"/>
      <c r="J73" s="76"/>
      <c r="K73" s="76"/>
      <c r="L73" s="76"/>
      <c r="M73" s="79"/>
      <c r="N73" s="76"/>
      <c r="O73" s="80"/>
      <c r="P73" s="81"/>
      <c r="Q73" s="78"/>
      <c r="R73" s="94"/>
      <c r="S73" s="80"/>
      <c r="T73" s="81"/>
      <c r="U73" s="78"/>
      <c r="V73" s="78"/>
      <c r="W73" s="82"/>
      <c r="X73" s="83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73" t="e">
        <f>CONCATENATE(#REF!,H73)</f>
        <v>#REF!</v>
      </c>
    </row>
    <row r="74" spans="1:231" s="85" customFormat="1" ht="16.05" customHeight="1">
      <c r="A74" s="74"/>
      <c r="B74" s="86"/>
      <c r="C74" s="75"/>
      <c r="D74" s="76"/>
      <c r="E74" s="77"/>
      <c r="F74" s="77"/>
      <c r="G74" s="78"/>
      <c r="H74" s="78"/>
      <c r="I74" s="78"/>
      <c r="J74" s="76"/>
      <c r="K74" s="76"/>
      <c r="L74" s="76"/>
      <c r="M74" s="79"/>
      <c r="N74" s="76"/>
      <c r="O74" s="80"/>
      <c r="P74" s="81"/>
      <c r="Q74" s="78"/>
      <c r="R74" s="94"/>
      <c r="S74" s="80"/>
      <c r="T74" s="81"/>
      <c r="U74" s="78"/>
      <c r="V74" s="78"/>
      <c r="W74" s="82"/>
      <c r="X74" s="83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73" t="e">
        <f>CONCATENATE(#REF!,H74)</f>
        <v>#REF!</v>
      </c>
    </row>
    <row r="75" spans="1:231" s="85" customFormat="1" ht="16.05" customHeight="1">
      <c r="A75" s="74"/>
      <c r="B75" s="86"/>
      <c r="C75" s="75"/>
      <c r="D75" s="76"/>
      <c r="E75" s="77"/>
      <c r="F75" s="77"/>
      <c r="G75" s="78"/>
      <c r="H75" s="78"/>
      <c r="I75" s="78"/>
      <c r="J75" s="76"/>
      <c r="K75" s="76"/>
      <c r="L75" s="76"/>
      <c r="M75" s="79"/>
      <c r="N75" s="76"/>
      <c r="O75" s="80"/>
      <c r="P75" s="81"/>
      <c r="Q75" s="78"/>
      <c r="R75" s="94"/>
      <c r="S75" s="80"/>
      <c r="T75" s="81"/>
      <c r="U75" s="78"/>
      <c r="V75" s="78"/>
      <c r="W75" s="82"/>
      <c r="X75" s="83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73" t="e">
        <f>CONCATENATE(#REF!,H75)</f>
        <v>#REF!</v>
      </c>
    </row>
    <row r="76" spans="1:231" s="85" customFormat="1" ht="16.05" customHeight="1">
      <c r="A76" s="74"/>
      <c r="B76" s="86"/>
      <c r="C76" s="75"/>
      <c r="D76" s="76"/>
      <c r="E76" s="77"/>
      <c r="F76" s="77"/>
      <c r="G76" s="78"/>
      <c r="H76" s="78"/>
      <c r="I76" s="78"/>
      <c r="J76" s="76"/>
      <c r="K76" s="76"/>
      <c r="L76" s="76"/>
      <c r="M76" s="79"/>
      <c r="N76" s="76"/>
      <c r="O76" s="80"/>
      <c r="P76" s="81"/>
      <c r="Q76" s="78"/>
      <c r="R76" s="94"/>
      <c r="S76" s="80"/>
      <c r="T76" s="81"/>
      <c r="U76" s="78"/>
      <c r="V76" s="78"/>
      <c r="W76" s="82"/>
      <c r="X76" s="83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73" t="e">
        <f>CONCATENATE(#REF!,H76)</f>
        <v>#REF!</v>
      </c>
    </row>
    <row r="77" spans="1:231" s="85" customFormat="1" ht="16.05" customHeight="1">
      <c r="A77" s="74"/>
      <c r="B77" s="86"/>
      <c r="C77" s="75"/>
      <c r="D77" s="76"/>
      <c r="E77" s="77"/>
      <c r="F77" s="77"/>
      <c r="G77" s="78"/>
      <c r="H77" s="78"/>
      <c r="I77" s="78"/>
      <c r="J77" s="76"/>
      <c r="K77" s="76"/>
      <c r="L77" s="76"/>
      <c r="M77" s="79"/>
      <c r="N77" s="76"/>
      <c r="O77" s="80"/>
      <c r="P77" s="81"/>
      <c r="Q77" s="78"/>
      <c r="R77" s="94"/>
      <c r="S77" s="80"/>
      <c r="T77" s="81"/>
      <c r="U77" s="78"/>
      <c r="V77" s="78"/>
      <c r="W77" s="82"/>
      <c r="X77" s="83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73" t="e">
        <f>CONCATENATE(#REF!,H77)</f>
        <v>#REF!</v>
      </c>
    </row>
    <row r="78" spans="1:231" s="85" customFormat="1" ht="16.05" customHeight="1">
      <c r="A78" s="74"/>
      <c r="B78" s="86"/>
      <c r="C78" s="75"/>
      <c r="D78" s="76"/>
      <c r="E78" s="77"/>
      <c r="F78" s="77"/>
      <c r="G78" s="78"/>
      <c r="H78" s="78"/>
      <c r="I78" s="78"/>
      <c r="J78" s="76"/>
      <c r="K78" s="76"/>
      <c r="L78" s="76"/>
      <c r="M78" s="79"/>
      <c r="N78" s="76"/>
      <c r="O78" s="80"/>
      <c r="P78" s="81"/>
      <c r="Q78" s="78"/>
      <c r="R78" s="94"/>
      <c r="S78" s="80"/>
      <c r="T78" s="81"/>
      <c r="U78" s="78"/>
      <c r="V78" s="78"/>
      <c r="W78" s="82"/>
      <c r="X78" s="83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73" t="e">
        <f>CONCATENATE(#REF!,H78)</f>
        <v>#REF!</v>
      </c>
    </row>
    <row r="79" spans="1:231" s="85" customFormat="1" ht="16.05" customHeight="1">
      <c r="A79" s="74"/>
      <c r="B79" s="86"/>
      <c r="C79" s="75"/>
      <c r="D79" s="76"/>
      <c r="E79" s="77"/>
      <c r="F79" s="77"/>
      <c r="G79" s="78"/>
      <c r="H79" s="78"/>
      <c r="I79" s="78"/>
      <c r="J79" s="76"/>
      <c r="K79" s="76"/>
      <c r="L79" s="76"/>
      <c r="M79" s="79"/>
      <c r="N79" s="76"/>
      <c r="O79" s="80"/>
      <c r="P79" s="81"/>
      <c r="Q79" s="78"/>
      <c r="R79" s="94"/>
      <c r="S79" s="80"/>
      <c r="T79" s="81"/>
      <c r="U79" s="78"/>
      <c r="V79" s="78"/>
      <c r="W79" s="82"/>
      <c r="X79" s="83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73" t="e">
        <f>CONCATENATE(#REF!,H79)</f>
        <v>#REF!</v>
      </c>
    </row>
    <row r="80" spans="1:231" s="85" customFormat="1" ht="16.05" customHeight="1">
      <c r="A80" s="74"/>
      <c r="B80" s="86"/>
      <c r="C80" s="75"/>
      <c r="D80" s="76"/>
      <c r="E80" s="77"/>
      <c r="F80" s="77"/>
      <c r="G80" s="78"/>
      <c r="H80" s="78"/>
      <c r="I80" s="78"/>
      <c r="J80" s="76"/>
      <c r="K80" s="76"/>
      <c r="L80" s="76"/>
      <c r="M80" s="79"/>
      <c r="N80" s="76"/>
      <c r="O80" s="80"/>
      <c r="P80" s="81"/>
      <c r="Q80" s="78"/>
      <c r="R80" s="94"/>
      <c r="S80" s="80"/>
      <c r="T80" s="81"/>
      <c r="U80" s="78"/>
      <c r="V80" s="78"/>
      <c r="W80" s="82"/>
      <c r="X80" s="83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73" t="e">
        <f>CONCATENATE(#REF!,H80)</f>
        <v>#REF!</v>
      </c>
    </row>
    <row r="81" spans="1:231" s="85" customFormat="1" ht="16.05" customHeight="1">
      <c r="A81" s="74"/>
      <c r="B81" s="86"/>
      <c r="C81" s="75"/>
      <c r="D81" s="76"/>
      <c r="E81" s="77"/>
      <c r="F81" s="77"/>
      <c r="G81" s="78"/>
      <c r="H81" s="78"/>
      <c r="I81" s="78"/>
      <c r="J81" s="76"/>
      <c r="K81" s="76"/>
      <c r="L81" s="76"/>
      <c r="M81" s="79"/>
      <c r="N81" s="76"/>
      <c r="O81" s="80"/>
      <c r="P81" s="81"/>
      <c r="Q81" s="78"/>
      <c r="R81" s="94"/>
      <c r="S81" s="80"/>
      <c r="T81" s="81"/>
      <c r="U81" s="78"/>
      <c r="V81" s="78"/>
      <c r="W81" s="82"/>
      <c r="X81" s="83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73" t="e">
        <f>CONCATENATE(#REF!,H81)</f>
        <v>#REF!</v>
      </c>
    </row>
    <row r="82" spans="1:231" s="85" customFormat="1" ht="16.05" customHeight="1">
      <c r="A82" s="74"/>
      <c r="B82" s="86"/>
      <c r="C82" s="75"/>
      <c r="D82" s="76"/>
      <c r="E82" s="77"/>
      <c r="F82" s="77"/>
      <c r="G82" s="78"/>
      <c r="H82" s="78"/>
      <c r="I82" s="78"/>
      <c r="J82" s="76"/>
      <c r="K82" s="76"/>
      <c r="L82" s="76"/>
      <c r="M82" s="79"/>
      <c r="N82" s="76"/>
      <c r="O82" s="80"/>
      <c r="P82" s="81"/>
      <c r="Q82" s="78"/>
      <c r="R82" s="94"/>
      <c r="S82" s="80"/>
      <c r="T82" s="81"/>
      <c r="U82" s="78"/>
      <c r="V82" s="78"/>
      <c r="W82" s="82"/>
      <c r="X82" s="83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73" t="e">
        <f>CONCATENATE(#REF!,H82)</f>
        <v>#REF!</v>
      </c>
    </row>
    <row r="83" spans="1:231" s="85" customFormat="1" ht="16.05" customHeight="1">
      <c r="A83" s="74"/>
      <c r="B83" s="86"/>
      <c r="C83" s="75"/>
      <c r="D83" s="76"/>
      <c r="E83" s="77"/>
      <c r="F83" s="77"/>
      <c r="G83" s="78"/>
      <c r="H83" s="78"/>
      <c r="I83" s="78"/>
      <c r="J83" s="76"/>
      <c r="K83" s="76"/>
      <c r="L83" s="76"/>
      <c r="M83" s="79"/>
      <c r="N83" s="76"/>
      <c r="O83" s="80"/>
      <c r="P83" s="81"/>
      <c r="Q83" s="78"/>
      <c r="R83" s="94"/>
      <c r="S83" s="80"/>
      <c r="T83" s="81"/>
      <c r="U83" s="78"/>
      <c r="V83" s="78"/>
      <c r="W83" s="82"/>
      <c r="X83" s="83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  <c r="FU83" s="84"/>
      <c r="FV83" s="84"/>
      <c r="FW83" s="84"/>
      <c r="FX83" s="84"/>
      <c r="FY83" s="84"/>
      <c r="FZ83" s="84"/>
      <c r="GA83" s="84"/>
      <c r="GB83" s="84"/>
      <c r="GC83" s="84"/>
      <c r="GD83" s="84"/>
      <c r="GE83" s="84"/>
      <c r="GF83" s="84"/>
      <c r="GG83" s="84"/>
      <c r="GH83" s="84"/>
      <c r="GI83" s="84"/>
      <c r="GJ83" s="84"/>
      <c r="GK83" s="84"/>
      <c r="GL83" s="84"/>
      <c r="GM83" s="84"/>
      <c r="GN83" s="84"/>
      <c r="GO83" s="84"/>
      <c r="GP83" s="84"/>
      <c r="GQ83" s="84"/>
      <c r="GR83" s="84"/>
      <c r="GS83" s="84"/>
      <c r="GT83" s="84"/>
      <c r="GU83" s="84"/>
      <c r="GV83" s="84"/>
      <c r="GW83" s="84"/>
      <c r="GX83" s="84"/>
      <c r="GY83" s="84"/>
      <c r="GZ83" s="84"/>
      <c r="HA83" s="84"/>
      <c r="HB83" s="84"/>
      <c r="HC83" s="84"/>
      <c r="HD83" s="84"/>
      <c r="HE83" s="84"/>
      <c r="HF83" s="84"/>
      <c r="HG83" s="84"/>
      <c r="HH83" s="84"/>
      <c r="HI83" s="84"/>
      <c r="HJ83" s="84"/>
      <c r="HK83" s="84"/>
      <c r="HL83" s="84"/>
      <c r="HM83" s="84"/>
      <c r="HN83" s="84"/>
      <c r="HO83" s="84"/>
      <c r="HP83" s="84"/>
      <c r="HQ83" s="84"/>
      <c r="HR83" s="84"/>
      <c r="HS83" s="84"/>
      <c r="HT83" s="84"/>
      <c r="HU83" s="84"/>
      <c r="HV83" s="84"/>
      <c r="HW83" s="73" t="e">
        <f>CONCATENATE(#REF!,H83)</f>
        <v>#REF!</v>
      </c>
    </row>
    <row r="84" spans="1:231" s="85" customFormat="1" ht="16.05" customHeight="1">
      <c r="A84" s="74"/>
      <c r="B84" s="86"/>
      <c r="C84" s="75"/>
      <c r="D84" s="76"/>
      <c r="E84" s="77"/>
      <c r="F84" s="77"/>
      <c r="G84" s="78"/>
      <c r="H84" s="78"/>
      <c r="I84" s="78"/>
      <c r="J84" s="76"/>
      <c r="K84" s="76"/>
      <c r="L84" s="76"/>
      <c r="M84" s="79"/>
      <c r="N84" s="76"/>
      <c r="O84" s="80"/>
      <c r="P84" s="81"/>
      <c r="Q84" s="78"/>
      <c r="R84" s="94"/>
      <c r="S84" s="80"/>
      <c r="T84" s="81"/>
      <c r="U84" s="78"/>
      <c r="V84" s="78"/>
      <c r="W84" s="82"/>
      <c r="X84" s="83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  <c r="FU84" s="84"/>
      <c r="FV84" s="84"/>
      <c r="FW84" s="84"/>
      <c r="FX84" s="84"/>
      <c r="FY84" s="84"/>
      <c r="FZ84" s="84"/>
      <c r="GA84" s="84"/>
      <c r="GB84" s="84"/>
      <c r="GC84" s="84"/>
      <c r="GD84" s="84"/>
      <c r="GE84" s="84"/>
      <c r="GF84" s="84"/>
      <c r="GG84" s="84"/>
      <c r="GH84" s="84"/>
      <c r="GI84" s="84"/>
      <c r="GJ84" s="84"/>
      <c r="GK84" s="84"/>
      <c r="GL84" s="84"/>
      <c r="GM84" s="84"/>
      <c r="GN84" s="84"/>
      <c r="GO84" s="84"/>
      <c r="GP84" s="84"/>
      <c r="GQ84" s="84"/>
      <c r="GR84" s="84"/>
      <c r="GS84" s="84"/>
      <c r="GT84" s="84"/>
      <c r="GU84" s="84"/>
      <c r="GV84" s="84"/>
      <c r="GW84" s="84"/>
      <c r="GX84" s="84"/>
      <c r="GY84" s="84"/>
      <c r="GZ84" s="84"/>
      <c r="HA84" s="84"/>
      <c r="HB84" s="84"/>
      <c r="HC84" s="84"/>
      <c r="HD84" s="84"/>
      <c r="HE84" s="84"/>
      <c r="HF84" s="84"/>
      <c r="HG84" s="84"/>
      <c r="HH84" s="84"/>
      <c r="HI84" s="84"/>
      <c r="HJ84" s="84"/>
      <c r="HK84" s="84"/>
      <c r="HL84" s="84"/>
      <c r="HM84" s="84"/>
      <c r="HN84" s="84"/>
      <c r="HO84" s="84"/>
      <c r="HP84" s="84"/>
      <c r="HQ84" s="84"/>
      <c r="HR84" s="84"/>
      <c r="HS84" s="84"/>
      <c r="HT84" s="84"/>
      <c r="HU84" s="84"/>
      <c r="HV84" s="84"/>
      <c r="HW84" s="73" t="e">
        <f>CONCATENATE(#REF!,H84)</f>
        <v>#REF!</v>
      </c>
    </row>
    <row r="85" spans="1:231" s="85" customFormat="1" ht="16.05" customHeight="1">
      <c r="A85" s="74"/>
      <c r="B85" s="86"/>
      <c r="C85" s="75"/>
      <c r="D85" s="76"/>
      <c r="E85" s="77"/>
      <c r="F85" s="77"/>
      <c r="G85" s="78"/>
      <c r="H85" s="78"/>
      <c r="I85" s="78"/>
      <c r="J85" s="76"/>
      <c r="K85" s="76"/>
      <c r="L85" s="76"/>
      <c r="M85" s="79"/>
      <c r="N85" s="76"/>
      <c r="O85" s="80"/>
      <c r="P85" s="81"/>
      <c r="Q85" s="78"/>
      <c r="R85" s="94"/>
      <c r="S85" s="80"/>
      <c r="T85" s="81"/>
      <c r="U85" s="78"/>
      <c r="V85" s="78"/>
      <c r="W85" s="82"/>
      <c r="X85" s="83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  <c r="FU85" s="84"/>
      <c r="FV85" s="84"/>
      <c r="FW85" s="84"/>
      <c r="FX85" s="84"/>
      <c r="FY85" s="84"/>
      <c r="FZ85" s="84"/>
      <c r="GA85" s="84"/>
      <c r="GB85" s="84"/>
      <c r="GC85" s="84"/>
      <c r="GD85" s="84"/>
      <c r="GE85" s="84"/>
      <c r="GF85" s="84"/>
      <c r="GG85" s="84"/>
      <c r="GH85" s="84"/>
      <c r="GI85" s="84"/>
      <c r="GJ85" s="84"/>
      <c r="GK85" s="84"/>
      <c r="GL85" s="84"/>
      <c r="GM85" s="84"/>
      <c r="GN85" s="84"/>
      <c r="GO85" s="84"/>
      <c r="GP85" s="84"/>
      <c r="GQ85" s="84"/>
      <c r="GR85" s="84"/>
      <c r="GS85" s="84"/>
      <c r="GT85" s="84"/>
      <c r="GU85" s="84"/>
      <c r="GV85" s="84"/>
      <c r="GW85" s="84"/>
      <c r="GX85" s="84"/>
      <c r="GY85" s="84"/>
      <c r="GZ85" s="84"/>
      <c r="HA85" s="84"/>
      <c r="HB85" s="84"/>
      <c r="HC85" s="84"/>
      <c r="HD85" s="84"/>
      <c r="HE85" s="84"/>
      <c r="HF85" s="84"/>
      <c r="HG85" s="84"/>
      <c r="HH85" s="84"/>
      <c r="HI85" s="84"/>
      <c r="HJ85" s="84"/>
      <c r="HK85" s="84"/>
      <c r="HL85" s="84"/>
      <c r="HM85" s="84"/>
      <c r="HN85" s="84"/>
      <c r="HO85" s="84"/>
      <c r="HP85" s="84"/>
      <c r="HQ85" s="84"/>
      <c r="HR85" s="84"/>
      <c r="HS85" s="84"/>
      <c r="HT85" s="84"/>
      <c r="HU85" s="84"/>
      <c r="HV85" s="84"/>
      <c r="HW85" s="73" t="e">
        <f>CONCATENATE(#REF!,H85)</f>
        <v>#REF!</v>
      </c>
    </row>
    <row r="86" spans="1:231" s="85" customFormat="1" ht="16.05" customHeight="1">
      <c r="A86" s="74"/>
      <c r="B86" s="86"/>
      <c r="C86" s="75"/>
      <c r="D86" s="76"/>
      <c r="E86" s="77"/>
      <c r="F86" s="77"/>
      <c r="G86" s="78"/>
      <c r="H86" s="78"/>
      <c r="I86" s="78"/>
      <c r="J86" s="76"/>
      <c r="K86" s="76"/>
      <c r="L86" s="76"/>
      <c r="M86" s="79"/>
      <c r="N86" s="76"/>
      <c r="O86" s="80"/>
      <c r="P86" s="81"/>
      <c r="Q86" s="78"/>
      <c r="R86" s="94"/>
      <c r="S86" s="80"/>
      <c r="T86" s="81"/>
      <c r="U86" s="78"/>
      <c r="V86" s="78"/>
      <c r="W86" s="82"/>
      <c r="X86" s="83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  <c r="FU86" s="84"/>
      <c r="FV86" s="84"/>
      <c r="FW86" s="84"/>
      <c r="FX86" s="84"/>
      <c r="FY86" s="84"/>
      <c r="FZ86" s="84"/>
      <c r="GA86" s="84"/>
      <c r="GB86" s="84"/>
      <c r="GC86" s="84"/>
      <c r="GD86" s="84"/>
      <c r="GE86" s="84"/>
      <c r="GF86" s="84"/>
      <c r="GG86" s="84"/>
      <c r="GH86" s="84"/>
      <c r="GI86" s="84"/>
      <c r="GJ86" s="84"/>
      <c r="GK86" s="84"/>
      <c r="GL86" s="84"/>
      <c r="GM86" s="84"/>
      <c r="GN86" s="84"/>
      <c r="GO86" s="84"/>
      <c r="GP86" s="84"/>
      <c r="GQ86" s="84"/>
      <c r="GR86" s="84"/>
      <c r="GS86" s="84"/>
      <c r="GT86" s="84"/>
      <c r="GU86" s="84"/>
      <c r="GV86" s="84"/>
      <c r="GW86" s="84"/>
      <c r="GX86" s="84"/>
      <c r="GY86" s="84"/>
      <c r="GZ86" s="84"/>
      <c r="HA86" s="84"/>
      <c r="HB86" s="84"/>
      <c r="HC86" s="84"/>
      <c r="HD86" s="84"/>
      <c r="HE86" s="84"/>
      <c r="HF86" s="84"/>
      <c r="HG86" s="84"/>
      <c r="HH86" s="84"/>
      <c r="HI86" s="84"/>
      <c r="HJ86" s="84"/>
      <c r="HK86" s="84"/>
      <c r="HL86" s="84"/>
      <c r="HM86" s="84"/>
      <c r="HN86" s="84"/>
      <c r="HO86" s="84"/>
      <c r="HP86" s="84"/>
      <c r="HQ86" s="84"/>
      <c r="HR86" s="84"/>
      <c r="HS86" s="84"/>
      <c r="HT86" s="84"/>
      <c r="HU86" s="84"/>
      <c r="HV86" s="84"/>
      <c r="HW86" s="73" t="e">
        <f>CONCATENATE(#REF!,H86)</f>
        <v>#REF!</v>
      </c>
    </row>
    <row r="87" spans="1:231" s="85" customFormat="1" ht="16.05" customHeight="1">
      <c r="A87" s="74"/>
      <c r="B87" s="86"/>
      <c r="C87" s="75"/>
      <c r="D87" s="76"/>
      <c r="E87" s="77"/>
      <c r="F87" s="77"/>
      <c r="G87" s="78"/>
      <c r="H87" s="78"/>
      <c r="I87" s="78"/>
      <c r="J87" s="76"/>
      <c r="K87" s="76"/>
      <c r="L87" s="76"/>
      <c r="M87" s="79"/>
      <c r="N87" s="76"/>
      <c r="O87" s="80"/>
      <c r="P87" s="81"/>
      <c r="Q87" s="78"/>
      <c r="R87" s="94"/>
      <c r="S87" s="80"/>
      <c r="T87" s="81"/>
      <c r="U87" s="78"/>
      <c r="V87" s="78"/>
      <c r="W87" s="82"/>
      <c r="X87" s="83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  <c r="FU87" s="84"/>
      <c r="FV87" s="84"/>
      <c r="FW87" s="84"/>
      <c r="FX87" s="84"/>
      <c r="FY87" s="84"/>
      <c r="FZ87" s="84"/>
      <c r="GA87" s="84"/>
      <c r="GB87" s="84"/>
      <c r="GC87" s="84"/>
      <c r="GD87" s="84"/>
      <c r="GE87" s="84"/>
      <c r="GF87" s="84"/>
      <c r="GG87" s="84"/>
      <c r="GH87" s="84"/>
      <c r="GI87" s="84"/>
      <c r="GJ87" s="84"/>
      <c r="GK87" s="84"/>
      <c r="GL87" s="84"/>
      <c r="GM87" s="84"/>
      <c r="GN87" s="84"/>
      <c r="GO87" s="84"/>
      <c r="GP87" s="84"/>
      <c r="GQ87" s="84"/>
      <c r="GR87" s="84"/>
      <c r="GS87" s="84"/>
      <c r="GT87" s="84"/>
      <c r="GU87" s="84"/>
      <c r="GV87" s="84"/>
      <c r="GW87" s="84"/>
      <c r="GX87" s="84"/>
      <c r="GY87" s="84"/>
      <c r="GZ87" s="84"/>
      <c r="HA87" s="84"/>
      <c r="HB87" s="84"/>
      <c r="HC87" s="84"/>
      <c r="HD87" s="84"/>
      <c r="HE87" s="84"/>
      <c r="HF87" s="84"/>
      <c r="HG87" s="84"/>
      <c r="HH87" s="84"/>
      <c r="HI87" s="84"/>
      <c r="HJ87" s="84"/>
      <c r="HK87" s="84"/>
      <c r="HL87" s="84"/>
      <c r="HM87" s="84"/>
      <c r="HN87" s="84"/>
      <c r="HO87" s="84"/>
      <c r="HP87" s="84"/>
      <c r="HQ87" s="84"/>
      <c r="HR87" s="84"/>
      <c r="HS87" s="84"/>
      <c r="HT87" s="84"/>
      <c r="HU87" s="84"/>
      <c r="HV87" s="84"/>
      <c r="HW87" s="73" t="e">
        <f>CONCATENATE(#REF!,H87)</f>
        <v>#REF!</v>
      </c>
    </row>
    <row r="88" spans="1:231" s="85" customFormat="1" ht="16.05" customHeight="1">
      <c r="A88" s="74"/>
      <c r="B88" s="86"/>
      <c r="C88" s="75"/>
      <c r="D88" s="76"/>
      <c r="E88" s="77"/>
      <c r="F88" s="77"/>
      <c r="G88" s="78"/>
      <c r="H88" s="78"/>
      <c r="I88" s="78"/>
      <c r="J88" s="76"/>
      <c r="K88" s="76"/>
      <c r="L88" s="76"/>
      <c r="M88" s="79"/>
      <c r="N88" s="76"/>
      <c r="O88" s="80"/>
      <c r="P88" s="81"/>
      <c r="Q88" s="78"/>
      <c r="R88" s="94"/>
      <c r="S88" s="80"/>
      <c r="T88" s="81"/>
      <c r="U88" s="78"/>
      <c r="V88" s="78"/>
      <c r="W88" s="82"/>
      <c r="X88" s="83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  <c r="FU88" s="84"/>
      <c r="FV88" s="84"/>
      <c r="FW88" s="84"/>
      <c r="FX88" s="84"/>
      <c r="FY88" s="84"/>
      <c r="FZ88" s="84"/>
      <c r="GA88" s="84"/>
      <c r="GB88" s="84"/>
      <c r="GC88" s="84"/>
      <c r="GD88" s="84"/>
      <c r="GE88" s="84"/>
      <c r="GF88" s="84"/>
      <c r="GG88" s="84"/>
      <c r="GH88" s="84"/>
      <c r="GI88" s="84"/>
      <c r="GJ88" s="84"/>
      <c r="GK88" s="84"/>
      <c r="GL88" s="84"/>
      <c r="GM88" s="84"/>
      <c r="GN88" s="84"/>
      <c r="GO88" s="84"/>
      <c r="GP88" s="84"/>
      <c r="GQ88" s="84"/>
      <c r="GR88" s="84"/>
      <c r="GS88" s="84"/>
      <c r="GT88" s="84"/>
      <c r="GU88" s="84"/>
      <c r="GV88" s="84"/>
      <c r="GW88" s="84"/>
      <c r="GX88" s="84"/>
      <c r="GY88" s="84"/>
      <c r="GZ88" s="84"/>
      <c r="HA88" s="84"/>
      <c r="HB88" s="84"/>
      <c r="HC88" s="84"/>
      <c r="HD88" s="84"/>
      <c r="HE88" s="84"/>
      <c r="HF88" s="84"/>
      <c r="HG88" s="84"/>
      <c r="HH88" s="84"/>
      <c r="HI88" s="84"/>
      <c r="HJ88" s="84"/>
      <c r="HK88" s="84"/>
      <c r="HL88" s="84"/>
      <c r="HM88" s="84"/>
      <c r="HN88" s="84"/>
      <c r="HO88" s="84"/>
      <c r="HP88" s="84"/>
      <c r="HQ88" s="84"/>
      <c r="HR88" s="84"/>
      <c r="HS88" s="84"/>
      <c r="HT88" s="84"/>
      <c r="HU88" s="84"/>
      <c r="HV88" s="84"/>
      <c r="HW88" s="73" t="e">
        <f>CONCATENATE(#REF!,H88)</f>
        <v>#REF!</v>
      </c>
    </row>
    <row r="89" spans="1:231" s="85" customFormat="1" ht="16.05" customHeight="1">
      <c r="A89" s="74"/>
      <c r="B89" s="86"/>
      <c r="C89" s="75"/>
      <c r="D89" s="76"/>
      <c r="E89" s="77"/>
      <c r="F89" s="77"/>
      <c r="G89" s="78"/>
      <c r="H89" s="78"/>
      <c r="I89" s="78"/>
      <c r="J89" s="76"/>
      <c r="K89" s="76"/>
      <c r="L89" s="76"/>
      <c r="M89" s="79"/>
      <c r="N89" s="76"/>
      <c r="O89" s="80"/>
      <c r="P89" s="81"/>
      <c r="Q89" s="78"/>
      <c r="R89" s="94"/>
      <c r="S89" s="80"/>
      <c r="T89" s="81"/>
      <c r="U89" s="78"/>
      <c r="V89" s="78"/>
      <c r="W89" s="82"/>
      <c r="X89" s="83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  <c r="FU89" s="84"/>
      <c r="FV89" s="84"/>
      <c r="FW89" s="84"/>
      <c r="FX89" s="84"/>
      <c r="FY89" s="84"/>
      <c r="FZ89" s="84"/>
      <c r="GA89" s="84"/>
      <c r="GB89" s="84"/>
      <c r="GC89" s="84"/>
      <c r="GD89" s="84"/>
      <c r="GE89" s="84"/>
      <c r="GF89" s="84"/>
      <c r="GG89" s="84"/>
      <c r="GH89" s="84"/>
      <c r="GI89" s="84"/>
      <c r="GJ89" s="84"/>
      <c r="GK89" s="84"/>
      <c r="GL89" s="84"/>
      <c r="GM89" s="84"/>
      <c r="GN89" s="84"/>
      <c r="GO89" s="84"/>
      <c r="GP89" s="84"/>
      <c r="GQ89" s="84"/>
      <c r="GR89" s="84"/>
      <c r="GS89" s="84"/>
      <c r="GT89" s="84"/>
      <c r="GU89" s="84"/>
      <c r="GV89" s="84"/>
      <c r="GW89" s="84"/>
      <c r="GX89" s="84"/>
      <c r="GY89" s="84"/>
      <c r="GZ89" s="84"/>
      <c r="HA89" s="84"/>
      <c r="HB89" s="84"/>
      <c r="HC89" s="84"/>
      <c r="HD89" s="84"/>
      <c r="HE89" s="84"/>
      <c r="HF89" s="84"/>
      <c r="HG89" s="84"/>
      <c r="HH89" s="84"/>
      <c r="HI89" s="84"/>
      <c r="HJ89" s="84"/>
      <c r="HK89" s="84"/>
      <c r="HL89" s="84"/>
      <c r="HM89" s="84"/>
      <c r="HN89" s="84"/>
      <c r="HO89" s="84"/>
      <c r="HP89" s="84"/>
      <c r="HQ89" s="84"/>
      <c r="HR89" s="84"/>
      <c r="HS89" s="84"/>
      <c r="HT89" s="84"/>
      <c r="HU89" s="84"/>
      <c r="HV89" s="84"/>
      <c r="HW89" s="73" t="e">
        <f>CONCATENATE(#REF!,H89)</f>
        <v>#REF!</v>
      </c>
    </row>
    <row r="90" spans="1:231" s="85" customFormat="1" ht="16.05" customHeight="1">
      <c r="A90" s="74"/>
      <c r="B90" s="86"/>
      <c r="C90" s="75"/>
      <c r="D90" s="76"/>
      <c r="E90" s="77"/>
      <c r="F90" s="77"/>
      <c r="G90" s="78"/>
      <c r="H90" s="78"/>
      <c r="I90" s="78"/>
      <c r="J90" s="76"/>
      <c r="K90" s="76"/>
      <c r="L90" s="76"/>
      <c r="M90" s="79"/>
      <c r="N90" s="76"/>
      <c r="O90" s="80"/>
      <c r="P90" s="81"/>
      <c r="Q90" s="78"/>
      <c r="R90" s="94"/>
      <c r="S90" s="80"/>
      <c r="T90" s="81"/>
      <c r="U90" s="78"/>
      <c r="V90" s="78"/>
      <c r="W90" s="82"/>
      <c r="X90" s="83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  <c r="FU90" s="84"/>
      <c r="FV90" s="84"/>
      <c r="FW90" s="84"/>
      <c r="FX90" s="84"/>
      <c r="FY90" s="84"/>
      <c r="FZ90" s="84"/>
      <c r="GA90" s="84"/>
      <c r="GB90" s="84"/>
      <c r="GC90" s="84"/>
      <c r="GD90" s="84"/>
      <c r="GE90" s="84"/>
      <c r="GF90" s="84"/>
      <c r="GG90" s="84"/>
      <c r="GH90" s="84"/>
      <c r="GI90" s="84"/>
      <c r="GJ90" s="84"/>
      <c r="GK90" s="84"/>
      <c r="GL90" s="84"/>
      <c r="GM90" s="84"/>
      <c r="GN90" s="84"/>
      <c r="GO90" s="84"/>
      <c r="GP90" s="84"/>
      <c r="GQ90" s="84"/>
      <c r="GR90" s="84"/>
      <c r="GS90" s="84"/>
      <c r="GT90" s="84"/>
      <c r="GU90" s="84"/>
      <c r="GV90" s="84"/>
      <c r="GW90" s="84"/>
      <c r="GX90" s="84"/>
      <c r="GY90" s="84"/>
      <c r="GZ90" s="84"/>
      <c r="HA90" s="84"/>
      <c r="HB90" s="84"/>
      <c r="HC90" s="84"/>
      <c r="HD90" s="84"/>
      <c r="HE90" s="84"/>
      <c r="HF90" s="84"/>
      <c r="HG90" s="84"/>
      <c r="HH90" s="84"/>
      <c r="HI90" s="84"/>
      <c r="HJ90" s="84"/>
      <c r="HK90" s="84"/>
      <c r="HL90" s="84"/>
      <c r="HM90" s="84"/>
      <c r="HN90" s="84"/>
      <c r="HO90" s="84"/>
      <c r="HP90" s="84"/>
      <c r="HQ90" s="84"/>
      <c r="HR90" s="84"/>
      <c r="HS90" s="84"/>
      <c r="HT90" s="84"/>
      <c r="HU90" s="84"/>
      <c r="HV90" s="84"/>
      <c r="HW90" s="73" t="e">
        <f>CONCATENATE(#REF!,H90)</f>
        <v>#REF!</v>
      </c>
    </row>
    <row r="91" spans="1:231" s="85" customFormat="1" ht="16.05" customHeight="1">
      <c r="A91" s="74"/>
      <c r="B91" s="86"/>
      <c r="C91" s="75"/>
      <c r="D91" s="76"/>
      <c r="E91" s="77"/>
      <c r="F91" s="77"/>
      <c r="G91" s="78"/>
      <c r="H91" s="78"/>
      <c r="I91" s="78"/>
      <c r="J91" s="76"/>
      <c r="K91" s="76"/>
      <c r="L91" s="76"/>
      <c r="M91" s="79"/>
      <c r="N91" s="76"/>
      <c r="O91" s="80"/>
      <c r="P91" s="81"/>
      <c r="Q91" s="78"/>
      <c r="R91" s="94"/>
      <c r="S91" s="80"/>
      <c r="T91" s="81"/>
      <c r="U91" s="78"/>
      <c r="V91" s="78"/>
      <c r="W91" s="82"/>
      <c r="X91" s="83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  <c r="FU91" s="84"/>
      <c r="FV91" s="84"/>
      <c r="FW91" s="84"/>
      <c r="FX91" s="84"/>
      <c r="FY91" s="84"/>
      <c r="FZ91" s="84"/>
      <c r="GA91" s="84"/>
      <c r="GB91" s="84"/>
      <c r="GC91" s="84"/>
      <c r="GD91" s="84"/>
      <c r="GE91" s="84"/>
      <c r="GF91" s="84"/>
      <c r="GG91" s="84"/>
      <c r="GH91" s="84"/>
      <c r="GI91" s="84"/>
      <c r="GJ91" s="84"/>
      <c r="GK91" s="84"/>
      <c r="GL91" s="84"/>
      <c r="GM91" s="84"/>
      <c r="GN91" s="84"/>
      <c r="GO91" s="84"/>
      <c r="GP91" s="84"/>
      <c r="GQ91" s="84"/>
      <c r="GR91" s="84"/>
      <c r="GS91" s="84"/>
      <c r="GT91" s="84"/>
      <c r="GU91" s="84"/>
      <c r="GV91" s="84"/>
      <c r="GW91" s="84"/>
      <c r="GX91" s="84"/>
      <c r="GY91" s="84"/>
      <c r="GZ91" s="84"/>
      <c r="HA91" s="84"/>
      <c r="HB91" s="84"/>
      <c r="HC91" s="84"/>
      <c r="HD91" s="84"/>
      <c r="HE91" s="84"/>
      <c r="HF91" s="84"/>
      <c r="HG91" s="84"/>
      <c r="HH91" s="84"/>
      <c r="HI91" s="84"/>
      <c r="HJ91" s="84"/>
      <c r="HK91" s="84"/>
      <c r="HL91" s="84"/>
      <c r="HM91" s="84"/>
      <c r="HN91" s="84"/>
      <c r="HO91" s="84"/>
      <c r="HP91" s="84"/>
      <c r="HQ91" s="84"/>
      <c r="HR91" s="84"/>
      <c r="HS91" s="84"/>
      <c r="HT91" s="84"/>
      <c r="HU91" s="84"/>
      <c r="HV91" s="84"/>
      <c r="HW91" s="73" t="e">
        <f>CONCATENATE(#REF!,H91)</f>
        <v>#REF!</v>
      </c>
    </row>
    <row r="92" spans="1:231" s="85" customFormat="1" ht="16.05" customHeight="1">
      <c r="A92" s="74"/>
      <c r="B92" s="86"/>
      <c r="C92" s="75"/>
      <c r="D92" s="76"/>
      <c r="E92" s="77"/>
      <c r="F92" s="77"/>
      <c r="G92" s="78"/>
      <c r="H92" s="78"/>
      <c r="I92" s="78"/>
      <c r="J92" s="76"/>
      <c r="K92" s="76"/>
      <c r="L92" s="76"/>
      <c r="M92" s="79"/>
      <c r="N92" s="76"/>
      <c r="O92" s="80"/>
      <c r="P92" s="81"/>
      <c r="Q92" s="78"/>
      <c r="R92" s="94"/>
      <c r="S92" s="80"/>
      <c r="T92" s="81"/>
      <c r="U92" s="78"/>
      <c r="V92" s="78"/>
      <c r="W92" s="82"/>
      <c r="X92" s="83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  <c r="FU92" s="84"/>
      <c r="FV92" s="84"/>
      <c r="FW92" s="84"/>
      <c r="FX92" s="84"/>
      <c r="FY92" s="84"/>
      <c r="FZ92" s="84"/>
      <c r="GA92" s="84"/>
      <c r="GB92" s="84"/>
      <c r="GC92" s="84"/>
      <c r="GD92" s="84"/>
      <c r="GE92" s="84"/>
      <c r="GF92" s="84"/>
      <c r="GG92" s="84"/>
      <c r="GH92" s="84"/>
      <c r="GI92" s="84"/>
      <c r="GJ92" s="84"/>
      <c r="GK92" s="84"/>
      <c r="GL92" s="84"/>
      <c r="GM92" s="84"/>
      <c r="GN92" s="84"/>
      <c r="GO92" s="84"/>
      <c r="GP92" s="84"/>
      <c r="GQ92" s="84"/>
      <c r="GR92" s="84"/>
      <c r="GS92" s="84"/>
      <c r="GT92" s="84"/>
      <c r="GU92" s="84"/>
      <c r="GV92" s="84"/>
      <c r="GW92" s="84"/>
      <c r="GX92" s="84"/>
      <c r="GY92" s="84"/>
      <c r="GZ92" s="84"/>
      <c r="HA92" s="84"/>
      <c r="HB92" s="84"/>
      <c r="HC92" s="84"/>
      <c r="HD92" s="84"/>
      <c r="HE92" s="84"/>
      <c r="HF92" s="84"/>
      <c r="HG92" s="84"/>
      <c r="HH92" s="84"/>
      <c r="HI92" s="84"/>
      <c r="HJ92" s="84"/>
      <c r="HK92" s="84"/>
      <c r="HL92" s="84"/>
      <c r="HM92" s="84"/>
      <c r="HN92" s="84"/>
      <c r="HO92" s="84"/>
      <c r="HP92" s="84"/>
      <c r="HQ92" s="84"/>
      <c r="HR92" s="84"/>
      <c r="HS92" s="84"/>
      <c r="HT92" s="84"/>
      <c r="HU92" s="84"/>
      <c r="HV92" s="84"/>
      <c r="HW92" s="73" t="e">
        <f>CONCATENATE(#REF!,H92)</f>
        <v>#REF!</v>
      </c>
    </row>
    <row r="93" spans="1:231" s="85" customFormat="1" ht="16.05" customHeight="1">
      <c r="A93" s="74"/>
      <c r="B93" s="86"/>
      <c r="C93" s="75"/>
      <c r="D93" s="76"/>
      <c r="E93" s="77"/>
      <c r="F93" s="77"/>
      <c r="G93" s="78"/>
      <c r="H93" s="78"/>
      <c r="I93" s="78"/>
      <c r="J93" s="76"/>
      <c r="K93" s="76"/>
      <c r="L93" s="76"/>
      <c r="M93" s="79"/>
      <c r="N93" s="76"/>
      <c r="O93" s="80"/>
      <c r="P93" s="81"/>
      <c r="Q93" s="78"/>
      <c r="R93" s="94"/>
      <c r="S93" s="80"/>
      <c r="T93" s="81"/>
      <c r="U93" s="78"/>
      <c r="V93" s="78"/>
      <c r="W93" s="82"/>
      <c r="X93" s="83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  <c r="FU93" s="84"/>
      <c r="FV93" s="84"/>
      <c r="FW93" s="84"/>
      <c r="FX93" s="84"/>
      <c r="FY93" s="84"/>
      <c r="FZ93" s="84"/>
      <c r="GA93" s="84"/>
      <c r="GB93" s="84"/>
      <c r="GC93" s="84"/>
      <c r="GD93" s="84"/>
      <c r="GE93" s="84"/>
      <c r="GF93" s="84"/>
      <c r="GG93" s="84"/>
      <c r="GH93" s="84"/>
      <c r="GI93" s="84"/>
      <c r="GJ93" s="84"/>
      <c r="GK93" s="84"/>
      <c r="GL93" s="84"/>
      <c r="GM93" s="84"/>
      <c r="GN93" s="84"/>
      <c r="GO93" s="84"/>
      <c r="GP93" s="84"/>
      <c r="GQ93" s="84"/>
      <c r="GR93" s="84"/>
      <c r="GS93" s="84"/>
      <c r="GT93" s="84"/>
      <c r="GU93" s="84"/>
      <c r="GV93" s="84"/>
      <c r="GW93" s="84"/>
      <c r="GX93" s="84"/>
      <c r="GY93" s="84"/>
      <c r="GZ93" s="84"/>
      <c r="HA93" s="84"/>
      <c r="HB93" s="84"/>
      <c r="HC93" s="84"/>
      <c r="HD93" s="84"/>
      <c r="HE93" s="84"/>
      <c r="HF93" s="84"/>
      <c r="HG93" s="84"/>
      <c r="HH93" s="84"/>
      <c r="HI93" s="84"/>
      <c r="HJ93" s="84"/>
      <c r="HK93" s="84"/>
      <c r="HL93" s="84"/>
      <c r="HM93" s="84"/>
      <c r="HN93" s="84"/>
      <c r="HO93" s="84"/>
      <c r="HP93" s="84"/>
      <c r="HQ93" s="84"/>
      <c r="HR93" s="84"/>
      <c r="HS93" s="84"/>
      <c r="HT93" s="84"/>
      <c r="HU93" s="84"/>
      <c r="HV93" s="84"/>
      <c r="HW93" s="73" t="e">
        <f>CONCATENATE(#REF!,H93)</f>
        <v>#REF!</v>
      </c>
    </row>
    <row r="94" spans="1:231" s="85" customFormat="1" ht="16.05" customHeight="1">
      <c r="A94" s="74"/>
      <c r="B94" s="86"/>
      <c r="C94" s="75"/>
      <c r="D94" s="76"/>
      <c r="E94" s="77"/>
      <c r="F94" s="77"/>
      <c r="G94" s="78"/>
      <c r="H94" s="78"/>
      <c r="I94" s="78"/>
      <c r="J94" s="76"/>
      <c r="K94" s="76"/>
      <c r="L94" s="76"/>
      <c r="M94" s="79"/>
      <c r="N94" s="76"/>
      <c r="O94" s="80"/>
      <c r="P94" s="81"/>
      <c r="Q94" s="78"/>
      <c r="R94" s="94"/>
      <c r="S94" s="80"/>
      <c r="T94" s="81"/>
      <c r="U94" s="78"/>
      <c r="V94" s="78"/>
      <c r="W94" s="82"/>
      <c r="X94" s="83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  <c r="FU94" s="84"/>
      <c r="FV94" s="84"/>
      <c r="FW94" s="84"/>
      <c r="FX94" s="84"/>
      <c r="FY94" s="84"/>
      <c r="FZ94" s="84"/>
      <c r="GA94" s="84"/>
      <c r="GB94" s="84"/>
      <c r="GC94" s="84"/>
      <c r="GD94" s="84"/>
      <c r="GE94" s="84"/>
      <c r="GF94" s="84"/>
      <c r="GG94" s="84"/>
      <c r="GH94" s="84"/>
      <c r="GI94" s="84"/>
      <c r="GJ94" s="84"/>
      <c r="GK94" s="84"/>
      <c r="GL94" s="84"/>
      <c r="GM94" s="84"/>
      <c r="GN94" s="84"/>
      <c r="GO94" s="84"/>
      <c r="GP94" s="84"/>
      <c r="GQ94" s="84"/>
      <c r="GR94" s="84"/>
      <c r="GS94" s="84"/>
      <c r="GT94" s="84"/>
      <c r="GU94" s="84"/>
      <c r="GV94" s="84"/>
      <c r="GW94" s="84"/>
      <c r="GX94" s="84"/>
      <c r="GY94" s="84"/>
      <c r="GZ94" s="84"/>
      <c r="HA94" s="84"/>
      <c r="HB94" s="84"/>
      <c r="HC94" s="84"/>
      <c r="HD94" s="84"/>
      <c r="HE94" s="84"/>
      <c r="HF94" s="84"/>
      <c r="HG94" s="84"/>
      <c r="HH94" s="84"/>
      <c r="HI94" s="84"/>
      <c r="HJ94" s="84"/>
      <c r="HK94" s="84"/>
      <c r="HL94" s="84"/>
      <c r="HM94" s="84"/>
      <c r="HN94" s="84"/>
      <c r="HO94" s="84"/>
      <c r="HP94" s="84"/>
      <c r="HQ94" s="84"/>
      <c r="HR94" s="84"/>
      <c r="HS94" s="84"/>
      <c r="HT94" s="84"/>
      <c r="HU94" s="84"/>
      <c r="HV94" s="84"/>
      <c r="HW94" s="73" t="e">
        <f>CONCATENATE(#REF!,H94)</f>
        <v>#REF!</v>
      </c>
    </row>
    <row r="95" spans="1:231" s="85" customFormat="1" ht="16.05" customHeight="1">
      <c r="A95" s="74"/>
      <c r="B95" s="86"/>
      <c r="C95" s="75"/>
      <c r="D95" s="76"/>
      <c r="E95" s="77"/>
      <c r="F95" s="77"/>
      <c r="G95" s="78"/>
      <c r="H95" s="78"/>
      <c r="I95" s="78"/>
      <c r="J95" s="76"/>
      <c r="K95" s="76"/>
      <c r="L95" s="76"/>
      <c r="M95" s="79"/>
      <c r="N95" s="76"/>
      <c r="O95" s="80"/>
      <c r="P95" s="81"/>
      <c r="Q95" s="78"/>
      <c r="R95" s="94"/>
      <c r="S95" s="80"/>
      <c r="T95" s="81"/>
      <c r="U95" s="78"/>
      <c r="V95" s="78"/>
      <c r="W95" s="82"/>
      <c r="X95" s="83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  <c r="FU95" s="84"/>
      <c r="FV95" s="84"/>
      <c r="FW95" s="84"/>
      <c r="FX95" s="84"/>
      <c r="FY95" s="84"/>
      <c r="FZ95" s="84"/>
      <c r="GA95" s="84"/>
      <c r="GB95" s="84"/>
      <c r="GC95" s="84"/>
      <c r="GD95" s="84"/>
      <c r="GE95" s="84"/>
      <c r="GF95" s="84"/>
      <c r="GG95" s="84"/>
      <c r="GH95" s="84"/>
      <c r="GI95" s="84"/>
      <c r="GJ95" s="84"/>
      <c r="GK95" s="84"/>
      <c r="GL95" s="84"/>
      <c r="GM95" s="84"/>
      <c r="GN95" s="84"/>
      <c r="GO95" s="84"/>
      <c r="GP95" s="84"/>
      <c r="GQ95" s="84"/>
      <c r="GR95" s="84"/>
      <c r="GS95" s="84"/>
      <c r="GT95" s="84"/>
      <c r="GU95" s="84"/>
      <c r="GV95" s="84"/>
      <c r="GW95" s="84"/>
      <c r="GX95" s="84"/>
      <c r="GY95" s="84"/>
      <c r="GZ95" s="84"/>
      <c r="HA95" s="84"/>
      <c r="HB95" s="84"/>
      <c r="HC95" s="84"/>
      <c r="HD95" s="84"/>
      <c r="HE95" s="84"/>
      <c r="HF95" s="84"/>
      <c r="HG95" s="84"/>
      <c r="HH95" s="84"/>
      <c r="HI95" s="84"/>
      <c r="HJ95" s="84"/>
      <c r="HK95" s="84"/>
      <c r="HL95" s="84"/>
      <c r="HM95" s="84"/>
      <c r="HN95" s="84"/>
      <c r="HO95" s="84"/>
      <c r="HP95" s="84"/>
      <c r="HQ95" s="84"/>
      <c r="HR95" s="84"/>
      <c r="HS95" s="84"/>
      <c r="HT95" s="84"/>
      <c r="HU95" s="84"/>
      <c r="HV95" s="84"/>
      <c r="HW95" s="73" t="e">
        <f>CONCATENATE(#REF!,H95)</f>
        <v>#REF!</v>
      </c>
    </row>
    <row r="96" spans="1:231" s="85" customFormat="1" ht="16.05" customHeight="1">
      <c r="A96" s="74"/>
      <c r="B96" s="86"/>
      <c r="C96" s="75"/>
      <c r="D96" s="76"/>
      <c r="E96" s="77"/>
      <c r="F96" s="77"/>
      <c r="G96" s="78"/>
      <c r="H96" s="78"/>
      <c r="I96" s="78"/>
      <c r="J96" s="76"/>
      <c r="K96" s="76"/>
      <c r="L96" s="76"/>
      <c r="M96" s="79"/>
      <c r="N96" s="76"/>
      <c r="O96" s="80"/>
      <c r="P96" s="81"/>
      <c r="Q96" s="78"/>
      <c r="R96" s="94"/>
      <c r="S96" s="80"/>
      <c r="T96" s="81"/>
      <c r="U96" s="78"/>
      <c r="V96" s="78"/>
      <c r="W96" s="82"/>
      <c r="X96" s="83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  <c r="FU96" s="84"/>
      <c r="FV96" s="84"/>
      <c r="FW96" s="84"/>
      <c r="FX96" s="84"/>
      <c r="FY96" s="84"/>
      <c r="FZ96" s="84"/>
      <c r="GA96" s="84"/>
      <c r="GB96" s="84"/>
      <c r="GC96" s="84"/>
      <c r="GD96" s="84"/>
      <c r="GE96" s="84"/>
      <c r="GF96" s="84"/>
      <c r="GG96" s="84"/>
      <c r="GH96" s="84"/>
      <c r="GI96" s="84"/>
      <c r="GJ96" s="84"/>
      <c r="GK96" s="84"/>
      <c r="GL96" s="84"/>
      <c r="GM96" s="84"/>
      <c r="GN96" s="84"/>
      <c r="GO96" s="84"/>
      <c r="GP96" s="84"/>
      <c r="GQ96" s="84"/>
      <c r="GR96" s="84"/>
      <c r="GS96" s="84"/>
      <c r="GT96" s="84"/>
      <c r="GU96" s="84"/>
      <c r="GV96" s="84"/>
      <c r="GW96" s="84"/>
      <c r="GX96" s="84"/>
      <c r="GY96" s="84"/>
      <c r="GZ96" s="84"/>
      <c r="HA96" s="84"/>
      <c r="HB96" s="84"/>
      <c r="HC96" s="84"/>
      <c r="HD96" s="84"/>
      <c r="HE96" s="84"/>
      <c r="HF96" s="84"/>
      <c r="HG96" s="84"/>
      <c r="HH96" s="84"/>
      <c r="HI96" s="84"/>
      <c r="HJ96" s="84"/>
      <c r="HK96" s="84"/>
      <c r="HL96" s="84"/>
      <c r="HM96" s="84"/>
      <c r="HN96" s="84"/>
      <c r="HO96" s="84"/>
      <c r="HP96" s="84"/>
      <c r="HQ96" s="84"/>
      <c r="HR96" s="84"/>
      <c r="HS96" s="84"/>
      <c r="HT96" s="84"/>
      <c r="HU96" s="84"/>
      <c r="HV96" s="84"/>
      <c r="HW96" s="73" t="e">
        <f>CONCATENATE(#REF!,H96)</f>
        <v>#REF!</v>
      </c>
    </row>
    <row r="97" spans="1:231" s="85" customFormat="1" ht="16.05" customHeight="1">
      <c r="A97" s="74"/>
      <c r="B97" s="86"/>
      <c r="C97" s="75"/>
      <c r="D97" s="76"/>
      <c r="E97" s="77"/>
      <c r="F97" s="77"/>
      <c r="G97" s="78"/>
      <c r="H97" s="78"/>
      <c r="I97" s="78"/>
      <c r="J97" s="76"/>
      <c r="K97" s="76"/>
      <c r="L97" s="76"/>
      <c r="M97" s="79"/>
      <c r="N97" s="76"/>
      <c r="O97" s="80"/>
      <c r="P97" s="81"/>
      <c r="Q97" s="78"/>
      <c r="R97" s="94"/>
      <c r="S97" s="80"/>
      <c r="T97" s="81"/>
      <c r="U97" s="78"/>
      <c r="V97" s="78"/>
      <c r="W97" s="82"/>
      <c r="X97" s="83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  <c r="FU97" s="84"/>
      <c r="FV97" s="84"/>
      <c r="FW97" s="84"/>
      <c r="FX97" s="84"/>
      <c r="FY97" s="84"/>
      <c r="FZ97" s="84"/>
      <c r="GA97" s="84"/>
      <c r="GB97" s="84"/>
      <c r="GC97" s="84"/>
      <c r="GD97" s="84"/>
      <c r="GE97" s="84"/>
      <c r="GF97" s="84"/>
      <c r="GG97" s="84"/>
      <c r="GH97" s="84"/>
      <c r="GI97" s="84"/>
      <c r="GJ97" s="84"/>
      <c r="GK97" s="84"/>
      <c r="GL97" s="84"/>
      <c r="GM97" s="84"/>
      <c r="GN97" s="84"/>
      <c r="GO97" s="84"/>
      <c r="GP97" s="84"/>
      <c r="GQ97" s="84"/>
      <c r="GR97" s="84"/>
      <c r="GS97" s="84"/>
      <c r="GT97" s="84"/>
      <c r="GU97" s="84"/>
      <c r="GV97" s="84"/>
      <c r="GW97" s="84"/>
      <c r="GX97" s="84"/>
      <c r="GY97" s="84"/>
      <c r="GZ97" s="84"/>
      <c r="HA97" s="84"/>
      <c r="HB97" s="84"/>
      <c r="HC97" s="84"/>
      <c r="HD97" s="84"/>
      <c r="HE97" s="84"/>
      <c r="HF97" s="84"/>
      <c r="HG97" s="84"/>
      <c r="HH97" s="84"/>
      <c r="HI97" s="84"/>
      <c r="HJ97" s="84"/>
      <c r="HK97" s="84"/>
      <c r="HL97" s="84"/>
      <c r="HM97" s="84"/>
      <c r="HN97" s="84"/>
      <c r="HO97" s="84"/>
      <c r="HP97" s="84"/>
      <c r="HQ97" s="84"/>
      <c r="HR97" s="84"/>
      <c r="HS97" s="84"/>
      <c r="HT97" s="84"/>
      <c r="HU97" s="84"/>
      <c r="HV97" s="84"/>
      <c r="HW97" s="73" t="e">
        <f>CONCATENATE(#REF!,H97)</f>
        <v>#REF!</v>
      </c>
    </row>
    <row r="98" spans="1:231" s="85" customFormat="1" ht="16.05" customHeight="1">
      <c r="A98" s="74"/>
      <c r="B98" s="86"/>
      <c r="C98" s="75"/>
      <c r="D98" s="76"/>
      <c r="E98" s="77"/>
      <c r="F98" s="77"/>
      <c r="G98" s="78"/>
      <c r="H98" s="78"/>
      <c r="I98" s="78"/>
      <c r="J98" s="76"/>
      <c r="K98" s="76"/>
      <c r="L98" s="76"/>
      <c r="M98" s="79"/>
      <c r="N98" s="76"/>
      <c r="O98" s="80"/>
      <c r="P98" s="81"/>
      <c r="Q98" s="78"/>
      <c r="R98" s="94"/>
      <c r="S98" s="80"/>
      <c r="T98" s="81"/>
      <c r="U98" s="78"/>
      <c r="V98" s="78"/>
      <c r="W98" s="82"/>
      <c r="X98" s="83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  <c r="FU98" s="84"/>
      <c r="FV98" s="84"/>
      <c r="FW98" s="84"/>
      <c r="FX98" s="84"/>
      <c r="FY98" s="84"/>
      <c r="FZ98" s="84"/>
      <c r="GA98" s="84"/>
      <c r="GB98" s="84"/>
      <c r="GC98" s="84"/>
      <c r="GD98" s="84"/>
      <c r="GE98" s="84"/>
      <c r="GF98" s="84"/>
      <c r="GG98" s="84"/>
      <c r="GH98" s="84"/>
      <c r="GI98" s="84"/>
      <c r="GJ98" s="84"/>
      <c r="GK98" s="84"/>
      <c r="GL98" s="84"/>
      <c r="GM98" s="84"/>
      <c r="GN98" s="84"/>
      <c r="GO98" s="84"/>
      <c r="GP98" s="84"/>
      <c r="GQ98" s="84"/>
      <c r="GR98" s="84"/>
      <c r="GS98" s="84"/>
      <c r="GT98" s="84"/>
      <c r="GU98" s="84"/>
      <c r="GV98" s="84"/>
      <c r="GW98" s="84"/>
      <c r="GX98" s="84"/>
      <c r="GY98" s="84"/>
      <c r="GZ98" s="84"/>
      <c r="HA98" s="84"/>
      <c r="HB98" s="84"/>
      <c r="HC98" s="84"/>
      <c r="HD98" s="84"/>
      <c r="HE98" s="84"/>
      <c r="HF98" s="84"/>
      <c r="HG98" s="84"/>
      <c r="HH98" s="84"/>
      <c r="HI98" s="84"/>
      <c r="HJ98" s="84"/>
      <c r="HK98" s="84"/>
      <c r="HL98" s="84"/>
      <c r="HM98" s="84"/>
      <c r="HN98" s="84"/>
      <c r="HO98" s="84"/>
      <c r="HP98" s="84"/>
      <c r="HQ98" s="84"/>
      <c r="HR98" s="84"/>
      <c r="HS98" s="84"/>
      <c r="HT98" s="84"/>
      <c r="HU98" s="84"/>
      <c r="HV98" s="84"/>
      <c r="HW98" s="73" t="e">
        <f>CONCATENATE(#REF!,H98)</f>
        <v>#REF!</v>
      </c>
    </row>
    <row r="99" spans="1:231" s="85" customFormat="1" ht="16.05" customHeight="1">
      <c r="A99" s="74"/>
      <c r="B99" s="86"/>
      <c r="C99" s="75"/>
      <c r="D99" s="76"/>
      <c r="E99" s="77"/>
      <c r="F99" s="77"/>
      <c r="G99" s="78"/>
      <c r="H99" s="78"/>
      <c r="I99" s="78"/>
      <c r="J99" s="76"/>
      <c r="K99" s="76"/>
      <c r="L99" s="76"/>
      <c r="M99" s="79"/>
      <c r="N99" s="76"/>
      <c r="O99" s="80"/>
      <c r="P99" s="81"/>
      <c r="Q99" s="78"/>
      <c r="R99" s="94"/>
      <c r="S99" s="80"/>
      <c r="T99" s="81"/>
      <c r="U99" s="78"/>
      <c r="V99" s="78"/>
      <c r="W99" s="82"/>
      <c r="X99" s="83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  <c r="FU99" s="84"/>
      <c r="FV99" s="84"/>
      <c r="FW99" s="84"/>
      <c r="FX99" s="84"/>
      <c r="FY99" s="84"/>
      <c r="FZ99" s="84"/>
      <c r="GA99" s="84"/>
      <c r="GB99" s="84"/>
      <c r="GC99" s="84"/>
      <c r="GD99" s="84"/>
      <c r="GE99" s="84"/>
      <c r="GF99" s="84"/>
      <c r="GG99" s="84"/>
      <c r="GH99" s="84"/>
      <c r="GI99" s="84"/>
      <c r="GJ99" s="84"/>
      <c r="GK99" s="84"/>
      <c r="GL99" s="84"/>
      <c r="GM99" s="84"/>
      <c r="GN99" s="84"/>
      <c r="GO99" s="84"/>
      <c r="GP99" s="84"/>
      <c r="GQ99" s="84"/>
      <c r="GR99" s="84"/>
      <c r="GS99" s="84"/>
      <c r="GT99" s="84"/>
      <c r="GU99" s="84"/>
      <c r="GV99" s="84"/>
      <c r="GW99" s="84"/>
      <c r="GX99" s="84"/>
      <c r="GY99" s="84"/>
      <c r="GZ99" s="84"/>
      <c r="HA99" s="84"/>
      <c r="HB99" s="84"/>
      <c r="HC99" s="84"/>
      <c r="HD99" s="84"/>
      <c r="HE99" s="84"/>
      <c r="HF99" s="84"/>
      <c r="HG99" s="84"/>
      <c r="HH99" s="84"/>
      <c r="HI99" s="84"/>
      <c r="HJ99" s="84"/>
      <c r="HK99" s="84"/>
      <c r="HL99" s="84"/>
      <c r="HM99" s="84"/>
      <c r="HN99" s="84"/>
      <c r="HO99" s="84"/>
      <c r="HP99" s="84"/>
      <c r="HQ99" s="84"/>
      <c r="HR99" s="84"/>
      <c r="HS99" s="84"/>
      <c r="HT99" s="84"/>
      <c r="HU99" s="84"/>
      <c r="HV99" s="84"/>
      <c r="HW99" s="73" t="e">
        <f>CONCATENATE(#REF!,H99)</f>
        <v>#REF!</v>
      </c>
    </row>
    <row r="100" spans="1:231" s="85" customFormat="1" ht="16.05" customHeight="1">
      <c r="A100" s="74"/>
      <c r="B100" s="86"/>
      <c r="C100" s="75"/>
      <c r="D100" s="76"/>
      <c r="E100" s="77"/>
      <c r="F100" s="77"/>
      <c r="G100" s="78"/>
      <c r="H100" s="78"/>
      <c r="I100" s="78"/>
      <c r="J100" s="76"/>
      <c r="K100" s="76"/>
      <c r="L100" s="76"/>
      <c r="M100" s="79"/>
      <c r="N100" s="76"/>
      <c r="O100" s="80"/>
      <c r="P100" s="81"/>
      <c r="Q100" s="78"/>
      <c r="R100" s="94"/>
      <c r="S100" s="80"/>
      <c r="T100" s="81"/>
      <c r="U100" s="78"/>
      <c r="V100" s="78"/>
      <c r="W100" s="82"/>
      <c r="X100" s="83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  <c r="FU100" s="84"/>
      <c r="FV100" s="84"/>
      <c r="FW100" s="84"/>
      <c r="FX100" s="84"/>
      <c r="FY100" s="84"/>
      <c r="FZ100" s="84"/>
      <c r="GA100" s="84"/>
      <c r="GB100" s="84"/>
      <c r="GC100" s="84"/>
      <c r="GD100" s="84"/>
      <c r="GE100" s="84"/>
      <c r="GF100" s="84"/>
      <c r="GG100" s="84"/>
      <c r="GH100" s="84"/>
      <c r="GI100" s="84"/>
      <c r="GJ100" s="84"/>
      <c r="GK100" s="84"/>
      <c r="GL100" s="84"/>
      <c r="GM100" s="84"/>
      <c r="GN100" s="84"/>
      <c r="GO100" s="84"/>
      <c r="GP100" s="84"/>
      <c r="GQ100" s="84"/>
      <c r="GR100" s="84"/>
      <c r="GS100" s="84"/>
      <c r="GT100" s="84"/>
      <c r="GU100" s="84"/>
      <c r="GV100" s="84"/>
      <c r="GW100" s="84"/>
      <c r="GX100" s="84"/>
      <c r="GY100" s="84"/>
      <c r="GZ100" s="84"/>
      <c r="HA100" s="84"/>
      <c r="HB100" s="84"/>
      <c r="HC100" s="84"/>
      <c r="HD100" s="84"/>
      <c r="HE100" s="84"/>
      <c r="HF100" s="84"/>
      <c r="HG100" s="84"/>
      <c r="HH100" s="84"/>
      <c r="HI100" s="84"/>
      <c r="HJ100" s="84"/>
      <c r="HK100" s="84"/>
      <c r="HL100" s="84"/>
      <c r="HM100" s="84"/>
      <c r="HN100" s="84"/>
      <c r="HO100" s="84"/>
      <c r="HP100" s="84"/>
      <c r="HQ100" s="84"/>
      <c r="HR100" s="84"/>
      <c r="HS100" s="84"/>
      <c r="HT100" s="84"/>
      <c r="HU100" s="84"/>
      <c r="HV100" s="84"/>
      <c r="HW100" s="73" t="e">
        <f>CONCATENATE(#REF!,H100)</f>
        <v>#REF!</v>
      </c>
    </row>
  </sheetData>
  <mergeCells count="19">
    <mergeCell ref="P5:Q5"/>
    <mergeCell ref="R5:T5"/>
    <mergeCell ref="A1:W1"/>
    <mergeCell ref="P3:Q3"/>
    <mergeCell ref="R3:U3"/>
    <mergeCell ref="P4:Q4"/>
    <mergeCell ref="R4:T4"/>
    <mergeCell ref="N9:Q9"/>
    <mergeCell ref="R9:U9"/>
    <mergeCell ref="B7:W7"/>
    <mergeCell ref="A8:A10"/>
    <mergeCell ref="B8:B10"/>
    <mergeCell ref="C8:G9"/>
    <mergeCell ref="H8:H10"/>
    <mergeCell ref="I8:I10"/>
    <mergeCell ref="J8:M8"/>
    <mergeCell ref="N8:Q8"/>
    <mergeCell ref="R8:U8"/>
    <mergeCell ref="J9:M9"/>
  </mergeCells>
  <conditionalFormatting sqref="B24">
    <cfRule type="duplicateValues" dxfId="2" priority="1"/>
  </conditionalFormatting>
  <dataValidations count="3">
    <dataValidation type="whole" allowBlank="1" showErrorMessage="1" errorTitle="خطا في الادخال" error="ادخل العام فقط وبدون اي اضافات_x000a_مثلا 1999 " sqref="Q11:Q27 U11:U27 G11:I27" xr:uid="{00000000-0002-0000-0100-000000000000}">
      <formula1>1950</formula1>
      <formula2>2017</formula2>
    </dataValidation>
    <dataValidation type="whole" allowBlank="1" showErrorMessage="1" errorTitle="خطا في الادخال" error="ادخل رقم الشهر فقط " sqref="F11:F27" xr:uid="{00000000-0002-0000-0100-000001000000}">
      <formula1>1</formula1>
      <formula2>12</formula2>
    </dataValidation>
    <dataValidation type="whole" allowBlank="1" showErrorMessage="1" errorTitle="خطأ في الادخال" error="ادخل تاريخ اليوم " sqref="E11:E27" xr:uid="{00000000-0002-0000-0100-000002000000}">
      <formula1>1</formula1>
      <formula2>30</formula2>
    </dataValidation>
  </dataValidations>
  <printOptions horizontalCentered="1"/>
  <pageMargins left="0" right="0" top="0.11811023622047245" bottom="1.4173228346456694" header="0.27559055118110237" footer="7.874015748031496E-2"/>
  <pageSetup paperSize="9" scale="95" orientation="landscape" r:id="rId1"/>
  <headerFooter>
    <oddHeader xml:space="preserve">&amp;L&amp;"Arial,غامق"&amp;12 (  &amp;P )  كشف رقم </oddHeader>
    <oddFooter xml:space="preserve">&amp;C&amp;"Arial,غامق"&amp;12 &amp;G&amp;R </oddFooter>
  </headerFooter>
  <rowBreaks count="1" manualBreakCount="1">
    <brk id="30" max="22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H157"/>
  <sheetViews>
    <sheetView rightToLeft="1" view="pageBreakPreview" zoomScale="90" zoomScaleNormal="80" zoomScaleSheetLayoutView="90" zoomScalePageLayoutView="60" workbookViewId="0">
      <pane xSplit="2" topLeftCell="C1" activePane="topRight" state="frozen"/>
      <selection activeCell="A6" sqref="A6"/>
      <selection pane="topRight" activeCell="B10" sqref="B10"/>
    </sheetView>
  </sheetViews>
  <sheetFormatPr defaultColWidth="9.21875" defaultRowHeight="19.95" customHeight="1"/>
  <cols>
    <col min="1" max="1" width="4.44140625" style="312" customWidth="1"/>
    <col min="2" max="2" width="25.5546875" style="376" customWidth="1"/>
    <col min="3" max="3" width="6.44140625" style="312" customWidth="1"/>
    <col min="4" max="4" width="4.77734375" style="312" customWidth="1"/>
    <col min="5" max="5" width="3.5546875" style="312" customWidth="1"/>
    <col min="6" max="6" width="4" style="312" customWidth="1"/>
    <col min="7" max="7" width="5.21875" style="312" customWidth="1"/>
    <col min="8" max="8" width="4.21875" style="312" customWidth="1"/>
    <col min="9" max="9" width="4.77734375" style="312" customWidth="1"/>
    <col min="10" max="10" width="6.77734375" style="312" customWidth="1"/>
    <col min="11" max="11" width="5.44140625" style="312" customWidth="1"/>
    <col min="12" max="13" width="8.44140625" style="312" customWidth="1"/>
    <col min="14" max="14" width="9.5546875" style="312" customWidth="1"/>
    <col min="15" max="15" width="5.21875" style="312" customWidth="1"/>
    <col min="16" max="16" width="4.21875" style="312" customWidth="1"/>
    <col min="17" max="17" width="9.77734375" style="312" customWidth="1"/>
    <col min="18" max="18" width="11" style="312" customWidth="1"/>
    <col min="19" max="19" width="6.77734375" style="312" customWidth="1"/>
    <col min="20" max="20" width="6.44140625" style="312" customWidth="1"/>
    <col min="21" max="21" width="12.5546875" style="312" customWidth="1"/>
    <col min="22" max="22" width="12.21875" style="312" customWidth="1"/>
    <col min="23" max="23" width="13" style="312" customWidth="1"/>
    <col min="24" max="24" width="14.21875" style="312" customWidth="1"/>
    <col min="25" max="26" width="4.77734375" style="312" customWidth="1"/>
    <col min="27" max="28" width="4.21875" style="312" customWidth="1"/>
    <col min="29" max="29" width="4.77734375" style="312" customWidth="1"/>
    <col min="30" max="30" width="4.21875" style="312" customWidth="1"/>
    <col min="31" max="31" width="3.77734375" style="312" customWidth="1"/>
    <col min="32" max="32" width="4.21875" style="312" customWidth="1"/>
    <col min="33" max="33" width="4.77734375" style="312" customWidth="1"/>
    <col min="34" max="34" width="3.77734375" style="312" customWidth="1"/>
    <col min="35" max="35" width="4.21875" style="312" customWidth="1"/>
    <col min="36" max="36" width="4.77734375" style="312" customWidth="1"/>
    <col min="37" max="37" width="4.21875" style="312" customWidth="1"/>
    <col min="38" max="39" width="3.77734375" style="312" customWidth="1"/>
    <col min="40" max="40" width="4.21875" style="312" customWidth="1"/>
    <col min="41" max="42" width="3.77734375" style="312" customWidth="1"/>
    <col min="43" max="43" width="3.44140625" style="312" customWidth="1"/>
    <col min="44" max="44" width="3.77734375" style="312" customWidth="1"/>
    <col min="45" max="45" width="4.21875" style="312" customWidth="1"/>
    <col min="46" max="48" width="3.77734375" style="312" customWidth="1"/>
    <col min="49" max="49" width="4.21875" style="312" customWidth="1"/>
    <col min="50" max="53" width="3.77734375" style="312" customWidth="1"/>
    <col min="54" max="54" width="3.5546875" style="312" customWidth="1"/>
    <col min="55" max="55" width="4.44140625" style="312" customWidth="1"/>
    <col min="56" max="56" width="5" style="312" customWidth="1"/>
    <col min="57" max="57" width="5.21875" style="312" customWidth="1"/>
    <col min="58" max="58" width="5.44140625" style="312" customWidth="1"/>
    <col min="59" max="59" width="3.5546875" style="312" customWidth="1"/>
    <col min="60" max="16384" width="9.21875" style="312"/>
  </cols>
  <sheetData>
    <row r="1" spans="1:60" ht="17.25" customHeight="1" thickBot="1">
      <c r="A1" s="497" t="s">
        <v>76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7"/>
      <c r="X1" s="10"/>
      <c r="Y1" s="26"/>
      <c r="Z1" s="23"/>
      <c r="AA1" s="26"/>
      <c r="AB1" s="26"/>
      <c r="AC1" s="26"/>
      <c r="AD1" s="26"/>
      <c r="AE1" s="26"/>
      <c r="AF1" s="543" t="s">
        <v>68</v>
      </c>
      <c r="AG1" s="543"/>
      <c r="AH1" s="543"/>
      <c r="AI1" s="543"/>
      <c r="AJ1" s="543"/>
      <c r="AK1" s="543"/>
      <c r="AL1" s="543"/>
      <c r="AM1" s="543"/>
      <c r="AN1" s="543"/>
      <c r="AO1" s="543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4"/>
      <c r="BF1" s="24"/>
      <c r="BG1" s="24"/>
    </row>
    <row r="2" spans="1:60" ht="15" customHeight="1" thickBot="1">
      <c r="A2" s="67"/>
      <c r="B2" s="68" t="s">
        <v>10</v>
      </c>
      <c r="C2" s="67"/>
      <c r="D2" s="67"/>
      <c r="E2" s="67"/>
      <c r="F2" s="67"/>
      <c r="G2" s="313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168">
        <f>COUNTA(B10:B5422)</f>
        <v>0</v>
      </c>
      <c r="W2" s="315"/>
      <c r="X2" s="10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497" t="s">
        <v>42</v>
      </c>
      <c r="AT2" s="497"/>
      <c r="AU2" s="497"/>
      <c r="AV2" s="497">
        <f>Q3</f>
        <v>0</v>
      </c>
      <c r="AW2" s="497"/>
      <c r="AX2" s="497"/>
      <c r="AY2" s="497"/>
      <c r="AZ2" s="497"/>
      <c r="BA2" s="497"/>
      <c r="BB2" s="497"/>
      <c r="BC2" s="23"/>
      <c r="BD2" s="23"/>
      <c r="BE2" s="24"/>
      <c r="BF2" s="24"/>
      <c r="BG2" s="24"/>
    </row>
    <row r="3" spans="1:60" ht="15.75" customHeight="1" thickBot="1">
      <c r="A3" s="67"/>
      <c r="B3" s="68" t="s">
        <v>11</v>
      </c>
      <c r="C3" s="67"/>
      <c r="D3" s="67"/>
      <c r="E3" s="67"/>
      <c r="F3" s="67"/>
      <c r="G3" s="313"/>
      <c r="H3" s="67"/>
      <c r="I3" s="67"/>
      <c r="J3" s="67"/>
      <c r="K3" s="67"/>
      <c r="L3" s="67"/>
      <c r="M3" s="67"/>
      <c r="N3" s="67"/>
      <c r="O3" s="544" t="s">
        <v>42</v>
      </c>
      <c r="P3" s="544"/>
      <c r="Q3" s="496"/>
      <c r="R3" s="496"/>
      <c r="S3" s="496"/>
      <c r="T3" s="496"/>
      <c r="U3" s="316"/>
      <c r="V3" s="314" t="s">
        <v>46</v>
      </c>
      <c r="W3" s="315"/>
      <c r="X3" s="10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497" t="s">
        <v>12</v>
      </c>
      <c r="AT3" s="497"/>
      <c r="AU3" s="497"/>
      <c r="AV3" s="496" t="str">
        <f>Q4</f>
        <v>الشمايتين</v>
      </c>
      <c r="AW3" s="496"/>
      <c r="AX3" s="496"/>
      <c r="AY3" s="496"/>
      <c r="AZ3" s="496"/>
      <c r="BA3" s="26"/>
      <c r="BB3" s="26"/>
      <c r="BC3" s="26"/>
      <c r="BD3" s="26"/>
      <c r="BE3" s="24"/>
      <c r="BF3" s="24"/>
      <c r="BG3" s="24"/>
    </row>
    <row r="4" spans="1:60" ht="12.75" customHeight="1" thickBot="1">
      <c r="A4" s="67"/>
      <c r="B4" s="70" t="s">
        <v>4</v>
      </c>
      <c r="C4" s="67"/>
      <c r="D4" s="67"/>
      <c r="E4" s="67"/>
      <c r="F4" s="67"/>
      <c r="G4" s="313"/>
      <c r="H4" s="67"/>
      <c r="I4" s="67"/>
      <c r="J4" s="67"/>
      <c r="K4" s="67"/>
      <c r="L4" s="67"/>
      <c r="M4" s="67"/>
      <c r="N4" s="67"/>
      <c r="O4" s="537" t="s">
        <v>12</v>
      </c>
      <c r="P4" s="537"/>
      <c r="Q4" s="496" t="s">
        <v>67</v>
      </c>
      <c r="R4" s="496"/>
      <c r="S4" s="496"/>
      <c r="T4" s="192"/>
      <c r="U4" s="316"/>
      <c r="V4" s="314"/>
      <c r="W4" s="315"/>
      <c r="X4" s="10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497" t="s">
        <v>13</v>
      </c>
      <c r="AT4" s="497"/>
      <c r="AU4" s="497"/>
      <c r="AV4" s="497" t="s">
        <v>14</v>
      </c>
      <c r="AW4" s="497"/>
      <c r="AX4" s="497"/>
      <c r="AY4" s="192"/>
      <c r="AZ4" s="26"/>
      <c r="BA4" s="26"/>
      <c r="BB4" s="26"/>
      <c r="BC4" s="26"/>
      <c r="BD4" s="26"/>
      <c r="BE4" s="538" t="s">
        <v>77</v>
      </c>
      <c r="BF4" s="538"/>
      <c r="BG4" s="24"/>
    </row>
    <row r="5" spans="1:60" ht="13.5" customHeight="1">
      <c r="A5" s="67"/>
      <c r="B5" s="71" t="s">
        <v>45</v>
      </c>
      <c r="C5" s="67"/>
      <c r="D5" s="67"/>
      <c r="E5" s="67"/>
      <c r="F5" s="67"/>
      <c r="G5" s="313"/>
      <c r="H5" s="67"/>
      <c r="I5" s="67"/>
      <c r="J5" s="67"/>
      <c r="K5" s="67"/>
      <c r="L5" s="67"/>
      <c r="M5" s="67"/>
      <c r="N5" s="67"/>
      <c r="O5" s="537" t="s">
        <v>13</v>
      </c>
      <c r="P5" s="537"/>
      <c r="Q5" s="496" t="s">
        <v>14</v>
      </c>
      <c r="R5" s="496"/>
      <c r="S5" s="317"/>
      <c r="T5" s="192"/>
      <c r="U5" s="316"/>
      <c r="V5" s="539" t="s">
        <v>78</v>
      </c>
      <c r="W5" s="539"/>
      <c r="X5" s="539"/>
      <c r="Y5" s="26"/>
      <c r="Z5" s="26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18"/>
      <c r="BC5" s="318"/>
      <c r="BD5" s="318"/>
      <c r="BE5" s="538"/>
      <c r="BF5" s="538"/>
      <c r="BG5" s="24"/>
    </row>
    <row r="6" spans="1:60" ht="21.75" customHeight="1" thickBot="1">
      <c r="A6" s="67"/>
      <c r="B6" s="194" t="s">
        <v>65</v>
      </c>
      <c r="C6" s="67"/>
      <c r="D6" s="541" t="s">
        <v>81</v>
      </c>
      <c r="E6" s="541"/>
      <c r="F6" s="541"/>
      <c r="G6" s="541"/>
      <c r="H6" s="541"/>
      <c r="I6" s="541"/>
      <c r="J6" s="541"/>
      <c r="K6" s="541"/>
      <c r="L6" s="541"/>
      <c r="M6" s="541"/>
      <c r="N6" s="541"/>
      <c r="O6" s="541"/>
      <c r="P6" s="541"/>
      <c r="Q6" s="541"/>
      <c r="R6" s="541"/>
      <c r="S6" s="541"/>
      <c r="T6" s="541"/>
      <c r="U6" s="541"/>
      <c r="V6" s="540"/>
      <c r="W6" s="540"/>
      <c r="X6" s="540"/>
      <c r="Y6" s="26"/>
      <c r="Z6" s="542" t="s">
        <v>82</v>
      </c>
      <c r="AA6" s="542"/>
      <c r="AB6" s="542"/>
      <c r="AC6" s="542"/>
      <c r="AD6" s="542"/>
      <c r="AE6" s="542"/>
      <c r="AF6" s="542"/>
      <c r="AG6" s="542"/>
      <c r="AH6" s="542"/>
      <c r="AI6" s="542"/>
      <c r="AJ6" s="542"/>
      <c r="AK6" s="542"/>
      <c r="AL6" s="542"/>
      <c r="AM6" s="542"/>
      <c r="AN6" s="542"/>
      <c r="AO6" s="542"/>
      <c r="AP6" s="542"/>
      <c r="AQ6" s="542"/>
      <c r="AR6" s="542"/>
      <c r="AS6" s="542"/>
      <c r="AT6" s="542"/>
      <c r="AU6" s="542"/>
      <c r="AV6" s="542"/>
      <c r="AW6" s="542"/>
      <c r="AX6" s="542"/>
      <c r="AY6" s="542"/>
      <c r="AZ6" s="542"/>
      <c r="BA6" s="542"/>
      <c r="BB6" s="542"/>
      <c r="BC6" s="542"/>
      <c r="BD6" s="542"/>
      <c r="BE6" s="542"/>
      <c r="BF6" s="24"/>
      <c r="BG6" s="24"/>
    </row>
    <row r="7" spans="1:60" ht="15" customHeight="1" thickTop="1" thickBot="1">
      <c r="A7" s="520" t="s">
        <v>0</v>
      </c>
      <c r="B7" s="523" t="s">
        <v>8</v>
      </c>
      <c r="C7" s="526" t="s">
        <v>2</v>
      </c>
      <c r="D7" s="527"/>
      <c r="E7" s="527"/>
      <c r="F7" s="527"/>
      <c r="G7" s="528"/>
      <c r="H7" s="532" t="s">
        <v>1</v>
      </c>
      <c r="I7" s="535" t="s">
        <v>16</v>
      </c>
      <c r="J7" s="512" t="s">
        <v>7</v>
      </c>
      <c r="K7" s="513"/>
      <c r="L7" s="513"/>
      <c r="M7" s="514"/>
      <c r="N7" s="512" t="s">
        <v>17</v>
      </c>
      <c r="O7" s="513"/>
      <c r="P7" s="513"/>
      <c r="Q7" s="514"/>
      <c r="R7" s="512" t="s">
        <v>7</v>
      </c>
      <c r="S7" s="513"/>
      <c r="T7" s="513"/>
      <c r="U7" s="514"/>
      <c r="V7" s="512" t="s">
        <v>18</v>
      </c>
      <c r="W7" s="514"/>
      <c r="X7" s="515" t="s">
        <v>26</v>
      </c>
      <c r="Y7" s="507" t="s">
        <v>27</v>
      </c>
      <c r="Z7" s="508"/>
      <c r="AA7" s="508"/>
      <c r="AB7" s="518"/>
      <c r="AC7" s="509" t="s">
        <v>28</v>
      </c>
      <c r="AD7" s="508"/>
      <c r="AE7" s="508"/>
      <c r="AF7" s="519"/>
      <c r="AG7" s="507" t="s">
        <v>29</v>
      </c>
      <c r="AH7" s="508"/>
      <c r="AI7" s="508"/>
      <c r="AJ7" s="508"/>
      <c r="AK7" s="509" t="s">
        <v>30</v>
      </c>
      <c r="AL7" s="507"/>
      <c r="AM7" s="508"/>
      <c r="AN7" s="508"/>
      <c r="AO7" s="509" t="s">
        <v>31</v>
      </c>
      <c r="AP7" s="508"/>
      <c r="AQ7" s="508"/>
      <c r="AR7" s="508"/>
      <c r="AS7" s="510" t="s">
        <v>79</v>
      </c>
      <c r="AT7" s="510"/>
      <c r="AU7" s="510"/>
      <c r="AV7" s="510"/>
      <c r="AW7" s="510" t="s">
        <v>63</v>
      </c>
      <c r="AX7" s="510"/>
      <c r="AY7" s="510"/>
      <c r="AZ7" s="510"/>
      <c r="BA7" s="510" t="s">
        <v>80</v>
      </c>
      <c r="BB7" s="510"/>
      <c r="BC7" s="510"/>
      <c r="BD7" s="511"/>
      <c r="BE7" s="499" t="s">
        <v>35</v>
      </c>
      <c r="BF7" s="502" t="s">
        <v>26</v>
      </c>
      <c r="BG7" s="29"/>
    </row>
    <row r="8" spans="1:60" ht="19.5" customHeight="1" thickTop="1" thickBot="1">
      <c r="A8" s="521"/>
      <c r="B8" s="524"/>
      <c r="C8" s="529"/>
      <c r="D8" s="530"/>
      <c r="E8" s="530"/>
      <c r="F8" s="530"/>
      <c r="G8" s="531"/>
      <c r="H8" s="533"/>
      <c r="I8" s="536"/>
      <c r="J8" s="504" t="s">
        <v>19</v>
      </c>
      <c r="K8" s="505"/>
      <c r="L8" s="505"/>
      <c r="M8" s="506"/>
      <c r="N8" s="504" t="s">
        <v>20</v>
      </c>
      <c r="O8" s="505"/>
      <c r="P8" s="505"/>
      <c r="Q8" s="506"/>
      <c r="R8" s="504" t="s">
        <v>21</v>
      </c>
      <c r="S8" s="505"/>
      <c r="T8" s="505"/>
      <c r="U8" s="506"/>
      <c r="V8" s="504" t="s">
        <v>22</v>
      </c>
      <c r="W8" s="506"/>
      <c r="X8" s="516"/>
      <c r="Y8" s="319" t="s">
        <v>36</v>
      </c>
      <c r="Z8" s="319" t="s">
        <v>37</v>
      </c>
      <c r="AA8" s="319" t="s">
        <v>38</v>
      </c>
      <c r="AB8" s="320" t="s">
        <v>39</v>
      </c>
      <c r="AC8" s="321" t="s">
        <v>36</v>
      </c>
      <c r="AD8" s="319" t="s">
        <v>37</v>
      </c>
      <c r="AE8" s="319" t="s">
        <v>38</v>
      </c>
      <c r="AF8" s="322" t="s">
        <v>39</v>
      </c>
      <c r="AG8" s="319" t="s">
        <v>36</v>
      </c>
      <c r="AH8" s="319" t="s">
        <v>37</v>
      </c>
      <c r="AI8" s="319" t="s">
        <v>38</v>
      </c>
      <c r="AJ8" s="322" t="s">
        <v>39</v>
      </c>
      <c r="AK8" s="319" t="s">
        <v>36</v>
      </c>
      <c r="AL8" s="319" t="s">
        <v>37</v>
      </c>
      <c r="AM8" s="319" t="s">
        <v>38</v>
      </c>
      <c r="AN8" s="322" t="s">
        <v>39</v>
      </c>
      <c r="AO8" s="319" t="s">
        <v>36</v>
      </c>
      <c r="AP8" s="319" t="s">
        <v>37</v>
      </c>
      <c r="AQ8" s="319" t="s">
        <v>38</v>
      </c>
      <c r="AR8" s="322" t="s">
        <v>39</v>
      </c>
      <c r="AS8" s="319" t="s">
        <v>36</v>
      </c>
      <c r="AT8" s="319" t="s">
        <v>37</v>
      </c>
      <c r="AU8" s="319" t="s">
        <v>38</v>
      </c>
      <c r="AV8" s="322" t="s">
        <v>39</v>
      </c>
      <c r="AW8" s="319" t="s">
        <v>36</v>
      </c>
      <c r="AX8" s="319" t="s">
        <v>37</v>
      </c>
      <c r="AY8" s="319" t="s">
        <v>38</v>
      </c>
      <c r="AZ8" s="322" t="s">
        <v>39</v>
      </c>
      <c r="BA8" s="319" t="s">
        <v>36</v>
      </c>
      <c r="BB8" s="319" t="s">
        <v>37</v>
      </c>
      <c r="BC8" s="319" t="s">
        <v>38</v>
      </c>
      <c r="BD8" s="323" t="s">
        <v>39</v>
      </c>
      <c r="BE8" s="500"/>
      <c r="BF8" s="503"/>
      <c r="BG8" s="29"/>
    </row>
    <row r="9" spans="1:60" s="335" customFormat="1" ht="16.5" customHeight="1" thickBot="1">
      <c r="A9" s="522"/>
      <c r="B9" s="525"/>
      <c r="C9" s="324" t="s">
        <v>23</v>
      </c>
      <c r="D9" s="325" t="s">
        <v>24</v>
      </c>
      <c r="E9" s="326" t="s">
        <v>40</v>
      </c>
      <c r="F9" s="326" t="s">
        <v>41</v>
      </c>
      <c r="G9" s="327" t="s">
        <v>6</v>
      </c>
      <c r="H9" s="534"/>
      <c r="I9" s="536"/>
      <c r="J9" s="324" t="s">
        <v>23</v>
      </c>
      <c r="K9" s="328" t="s">
        <v>24</v>
      </c>
      <c r="L9" s="328" t="s">
        <v>5</v>
      </c>
      <c r="M9" s="329" t="s">
        <v>6</v>
      </c>
      <c r="N9" s="324" t="s">
        <v>25</v>
      </c>
      <c r="O9" s="328" t="s">
        <v>23</v>
      </c>
      <c r="P9" s="325" t="s">
        <v>24</v>
      </c>
      <c r="Q9" s="329" t="s">
        <v>6</v>
      </c>
      <c r="R9" s="324" t="s">
        <v>25</v>
      </c>
      <c r="S9" s="328" t="s">
        <v>23</v>
      </c>
      <c r="T9" s="328" t="s">
        <v>24</v>
      </c>
      <c r="U9" s="329" t="s">
        <v>6</v>
      </c>
      <c r="V9" s="324" t="s">
        <v>5</v>
      </c>
      <c r="W9" s="329" t="s">
        <v>6</v>
      </c>
      <c r="X9" s="517"/>
      <c r="Y9" s="330">
        <v>20</v>
      </c>
      <c r="Z9" s="331">
        <v>20</v>
      </c>
      <c r="AA9" s="331">
        <v>10</v>
      </c>
      <c r="AB9" s="332">
        <v>50</v>
      </c>
      <c r="AC9" s="330">
        <v>20</v>
      </c>
      <c r="AD9" s="331">
        <v>20</v>
      </c>
      <c r="AE9" s="331">
        <v>10</v>
      </c>
      <c r="AF9" s="332">
        <v>50</v>
      </c>
      <c r="AG9" s="330">
        <v>20</v>
      </c>
      <c r="AH9" s="331">
        <v>20</v>
      </c>
      <c r="AI9" s="331">
        <v>10</v>
      </c>
      <c r="AJ9" s="332">
        <v>50</v>
      </c>
      <c r="AK9" s="330">
        <v>20</v>
      </c>
      <c r="AL9" s="331">
        <v>20</v>
      </c>
      <c r="AM9" s="331">
        <v>10</v>
      </c>
      <c r="AN9" s="332">
        <v>50</v>
      </c>
      <c r="AO9" s="330">
        <v>20</v>
      </c>
      <c r="AP9" s="331">
        <v>20</v>
      </c>
      <c r="AQ9" s="331">
        <v>10</v>
      </c>
      <c r="AR9" s="332">
        <v>50</v>
      </c>
      <c r="AS9" s="330">
        <v>20</v>
      </c>
      <c r="AT9" s="331">
        <v>20</v>
      </c>
      <c r="AU9" s="331">
        <v>10</v>
      </c>
      <c r="AV9" s="332">
        <v>50</v>
      </c>
      <c r="AW9" s="330">
        <v>20</v>
      </c>
      <c r="AX9" s="331">
        <v>20</v>
      </c>
      <c r="AY9" s="331">
        <v>10</v>
      </c>
      <c r="AZ9" s="332">
        <v>50</v>
      </c>
      <c r="BA9" s="330">
        <v>20</v>
      </c>
      <c r="BB9" s="331">
        <v>20</v>
      </c>
      <c r="BC9" s="331">
        <v>10</v>
      </c>
      <c r="BD9" s="333">
        <v>50</v>
      </c>
      <c r="BE9" s="501"/>
      <c r="BF9" s="27"/>
      <c r="BG9" s="334"/>
    </row>
    <row r="10" spans="1:60" s="358" customFormat="1" ht="27" customHeight="1">
      <c r="A10" s="336">
        <v>1</v>
      </c>
      <c r="B10" s="337"/>
      <c r="C10" s="338"/>
      <c r="D10" s="339"/>
      <c r="E10" s="340"/>
      <c r="F10" s="340"/>
      <c r="G10" s="341"/>
      <c r="H10" s="342"/>
      <c r="I10" s="343"/>
      <c r="J10" s="344"/>
      <c r="K10" s="345"/>
      <c r="L10" s="339"/>
      <c r="M10" s="346"/>
      <c r="N10" s="344"/>
      <c r="O10" s="345"/>
      <c r="P10" s="339"/>
      <c r="Q10" s="346"/>
      <c r="R10" s="344"/>
      <c r="S10" s="345"/>
      <c r="T10" s="339"/>
      <c r="U10" s="347"/>
      <c r="V10" s="348"/>
      <c r="W10" s="349"/>
      <c r="X10" s="350"/>
      <c r="Y10" s="351"/>
      <c r="Z10" s="352"/>
      <c r="AA10" s="352"/>
      <c r="AB10" s="353">
        <f t="shared" ref="AB10:AB73" si="0">SUM(Y10:AA10)</f>
        <v>0</v>
      </c>
      <c r="AC10" s="354"/>
      <c r="AD10" s="352"/>
      <c r="AE10" s="352"/>
      <c r="AF10" s="353">
        <f t="shared" ref="AF10:AF73" si="1">SUM(AC10:AE10)</f>
        <v>0</v>
      </c>
      <c r="AG10" s="354"/>
      <c r="AH10" s="352"/>
      <c r="AI10" s="352"/>
      <c r="AJ10" s="353">
        <f t="shared" ref="AJ10:AJ73" si="2">SUM(AG10:AI10)</f>
        <v>0</v>
      </c>
      <c r="AK10" s="354"/>
      <c r="AL10" s="352"/>
      <c r="AM10" s="352"/>
      <c r="AN10" s="353">
        <f t="shared" ref="AN10:AN73" si="3">SUM(AK10:AM10)</f>
        <v>0</v>
      </c>
      <c r="AO10" s="354"/>
      <c r="AP10" s="352"/>
      <c r="AQ10" s="352"/>
      <c r="AR10" s="353">
        <f t="shared" ref="AR10:AR73" si="4">SUM(AO10:AQ10)</f>
        <v>0</v>
      </c>
      <c r="AS10" s="354"/>
      <c r="AT10" s="352"/>
      <c r="AU10" s="352"/>
      <c r="AV10" s="353">
        <f t="shared" ref="AV10:AV73" si="5">SUM(AS10:AU10)</f>
        <v>0</v>
      </c>
      <c r="AW10" s="354"/>
      <c r="AX10" s="352"/>
      <c r="AY10" s="352"/>
      <c r="AZ10" s="353">
        <f t="shared" ref="AZ10:AZ73" si="6">SUM(AW10:AY10)</f>
        <v>0</v>
      </c>
      <c r="BA10" s="354"/>
      <c r="BB10" s="352"/>
      <c r="BC10" s="352"/>
      <c r="BD10" s="353">
        <f t="shared" ref="BD10:BD73" si="7">SUM(BA10:BC10)</f>
        <v>0</v>
      </c>
      <c r="BE10" s="353">
        <f t="shared" ref="BE10:BE73" si="8">SUM(BD10,AZ10,AV10,AR10,AN10,AJ10,AF10,AB10)</f>
        <v>0</v>
      </c>
      <c r="BF10" s="355"/>
      <c r="BG10" s="356"/>
      <c r="BH10" s="357"/>
    </row>
    <row r="11" spans="1:60" ht="27" customHeight="1">
      <c r="A11" s="336">
        <v>2</v>
      </c>
      <c r="B11" s="337"/>
      <c r="C11" s="338"/>
      <c r="D11" s="339"/>
      <c r="E11" s="340"/>
      <c r="F11" s="340"/>
      <c r="G11" s="341"/>
      <c r="H11" s="359"/>
      <c r="I11" s="360"/>
      <c r="J11" s="344"/>
      <c r="K11" s="345"/>
      <c r="L11" s="339"/>
      <c r="M11" s="346"/>
      <c r="N11" s="344"/>
      <c r="O11" s="345"/>
      <c r="P11" s="339"/>
      <c r="Q11" s="346"/>
      <c r="R11" s="344"/>
      <c r="S11" s="345"/>
      <c r="T11" s="339"/>
      <c r="U11" s="347"/>
      <c r="V11" s="348"/>
      <c r="W11" s="349"/>
      <c r="X11" s="350"/>
      <c r="Y11" s="351"/>
      <c r="Z11" s="352"/>
      <c r="AA11" s="352"/>
      <c r="AB11" s="353">
        <f t="shared" si="0"/>
        <v>0</v>
      </c>
      <c r="AC11" s="354"/>
      <c r="AD11" s="352"/>
      <c r="AE11" s="352"/>
      <c r="AF11" s="353">
        <f t="shared" si="1"/>
        <v>0</v>
      </c>
      <c r="AG11" s="354"/>
      <c r="AH11" s="352"/>
      <c r="AI11" s="352"/>
      <c r="AJ11" s="353">
        <f t="shared" si="2"/>
        <v>0</v>
      </c>
      <c r="AK11" s="354"/>
      <c r="AL11" s="352"/>
      <c r="AM11" s="352"/>
      <c r="AN11" s="353">
        <f t="shared" si="3"/>
        <v>0</v>
      </c>
      <c r="AO11" s="354"/>
      <c r="AP11" s="352"/>
      <c r="AQ11" s="352"/>
      <c r="AR11" s="353">
        <f t="shared" si="4"/>
        <v>0</v>
      </c>
      <c r="AS11" s="354"/>
      <c r="AT11" s="352"/>
      <c r="AU11" s="352"/>
      <c r="AV11" s="353">
        <f t="shared" si="5"/>
        <v>0</v>
      </c>
      <c r="AW11" s="354"/>
      <c r="AX11" s="352"/>
      <c r="AY11" s="352"/>
      <c r="AZ11" s="353">
        <f t="shared" si="6"/>
        <v>0</v>
      </c>
      <c r="BA11" s="354"/>
      <c r="BB11" s="352"/>
      <c r="BC11" s="352"/>
      <c r="BD11" s="353">
        <f t="shared" si="7"/>
        <v>0</v>
      </c>
      <c r="BE11" s="353">
        <f t="shared" si="8"/>
        <v>0</v>
      </c>
      <c r="BF11" s="355"/>
      <c r="BG11" s="361"/>
      <c r="BH11" s="362"/>
    </row>
    <row r="12" spans="1:60" ht="27" customHeight="1">
      <c r="A12" s="336">
        <v>4</v>
      </c>
      <c r="B12" s="337"/>
      <c r="C12" s="338"/>
      <c r="D12" s="339"/>
      <c r="E12" s="340"/>
      <c r="F12" s="340"/>
      <c r="G12" s="341"/>
      <c r="H12" s="359"/>
      <c r="I12" s="360"/>
      <c r="J12" s="344"/>
      <c r="K12" s="345"/>
      <c r="L12" s="339"/>
      <c r="M12" s="346"/>
      <c r="N12" s="344"/>
      <c r="O12" s="345"/>
      <c r="P12" s="339"/>
      <c r="Q12" s="346"/>
      <c r="R12" s="344"/>
      <c r="S12" s="345"/>
      <c r="T12" s="339"/>
      <c r="U12" s="347"/>
      <c r="V12" s="348"/>
      <c r="W12" s="349"/>
      <c r="X12" s="350"/>
      <c r="Y12" s="351"/>
      <c r="Z12" s="352"/>
      <c r="AA12" s="352"/>
      <c r="AB12" s="353">
        <f t="shared" si="0"/>
        <v>0</v>
      </c>
      <c r="AC12" s="354"/>
      <c r="AD12" s="352"/>
      <c r="AE12" s="352"/>
      <c r="AF12" s="353">
        <f t="shared" si="1"/>
        <v>0</v>
      </c>
      <c r="AG12" s="354"/>
      <c r="AH12" s="352"/>
      <c r="AI12" s="352"/>
      <c r="AJ12" s="353">
        <f t="shared" si="2"/>
        <v>0</v>
      </c>
      <c r="AK12" s="354"/>
      <c r="AL12" s="352"/>
      <c r="AM12" s="352"/>
      <c r="AN12" s="353">
        <f t="shared" si="3"/>
        <v>0</v>
      </c>
      <c r="AO12" s="354"/>
      <c r="AP12" s="352"/>
      <c r="AQ12" s="352"/>
      <c r="AR12" s="353">
        <f t="shared" si="4"/>
        <v>0</v>
      </c>
      <c r="AS12" s="354"/>
      <c r="AT12" s="352"/>
      <c r="AU12" s="352"/>
      <c r="AV12" s="353">
        <f t="shared" si="5"/>
        <v>0</v>
      </c>
      <c r="AW12" s="354"/>
      <c r="AX12" s="352"/>
      <c r="AY12" s="352"/>
      <c r="AZ12" s="353">
        <f t="shared" si="6"/>
        <v>0</v>
      </c>
      <c r="BA12" s="354"/>
      <c r="BB12" s="352"/>
      <c r="BC12" s="352"/>
      <c r="BD12" s="353">
        <f t="shared" si="7"/>
        <v>0</v>
      </c>
      <c r="BE12" s="353">
        <f t="shared" si="8"/>
        <v>0</v>
      </c>
      <c r="BF12" s="355"/>
      <c r="BG12" s="361"/>
      <c r="BH12" s="362"/>
    </row>
    <row r="13" spans="1:60" ht="27" customHeight="1">
      <c r="A13" s="336">
        <v>5</v>
      </c>
      <c r="B13" s="337"/>
      <c r="C13" s="338"/>
      <c r="D13" s="339"/>
      <c r="E13" s="340"/>
      <c r="F13" s="340"/>
      <c r="G13" s="341"/>
      <c r="H13" s="359"/>
      <c r="I13" s="360"/>
      <c r="J13" s="344"/>
      <c r="K13" s="345"/>
      <c r="L13" s="339"/>
      <c r="M13" s="346"/>
      <c r="N13" s="344"/>
      <c r="O13" s="345"/>
      <c r="P13" s="339"/>
      <c r="Q13" s="346"/>
      <c r="R13" s="344"/>
      <c r="S13" s="345"/>
      <c r="T13" s="339"/>
      <c r="U13" s="347"/>
      <c r="V13" s="348"/>
      <c r="W13" s="349"/>
      <c r="X13" s="350"/>
      <c r="Y13" s="351"/>
      <c r="Z13" s="352"/>
      <c r="AA13" s="352"/>
      <c r="AB13" s="353">
        <f t="shared" si="0"/>
        <v>0</v>
      </c>
      <c r="AC13" s="354"/>
      <c r="AD13" s="352"/>
      <c r="AE13" s="352"/>
      <c r="AF13" s="353">
        <f t="shared" si="1"/>
        <v>0</v>
      </c>
      <c r="AG13" s="354"/>
      <c r="AH13" s="352"/>
      <c r="AI13" s="352"/>
      <c r="AJ13" s="353">
        <f t="shared" si="2"/>
        <v>0</v>
      </c>
      <c r="AK13" s="354"/>
      <c r="AL13" s="352"/>
      <c r="AM13" s="352"/>
      <c r="AN13" s="353">
        <f t="shared" si="3"/>
        <v>0</v>
      </c>
      <c r="AO13" s="354"/>
      <c r="AP13" s="352"/>
      <c r="AQ13" s="352"/>
      <c r="AR13" s="353">
        <f t="shared" si="4"/>
        <v>0</v>
      </c>
      <c r="AS13" s="354"/>
      <c r="AT13" s="352"/>
      <c r="AU13" s="352"/>
      <c r="AV13" s="353">
        <f t="shared" si="5"/>
        <v>0</v>
      </c>
      <c r="AW13" s="354"/>
      <c r="AX13" s="352"/>
      <c r="AY13" s="352"/>
      <c r="AZ13" s="353">
        <f t="shared" si="6"/>
        <v>0</v>
      </c>
      <c r="BA13" s="354"/>
      <c r="BB13" s="352"/>
      <c r="BC13" s="352"/>
      <c r="BD13" s="353">
        <f t="shared" si="7"/>
        <v>0</v>
      </c>
      <c r="BE13" s="353">
        <f t="shared" si="8"/>
        <v>0</v>
      </c>
      <c r="BF13" s="355"/>
      <c r="BG13" s="361"/>
      <c r="BH13" s="362"/>
    </row>
    <row r="14" spans="1:60" ht="27" customHeight="1">
      <c r="A14" s="336">
        <v>6</v>
      </c>
      <c r="B14" s="337"/>
      <c r="C14" s="338"/>
      <c r="D14" s="339"/>
      <c r="E14" s="340"/>
      <c r="F14" s="340"/>
      <c r="G14" s="341"/>
      <c r="H14" s="359"/>
      <c r="I14" s="360"/>
      <c r="J14" s="344"/>
      <c r="K14" s="345"/>
      <c r="L14" s="339"/>
      <c r="M14" s="346"/>
      <c r="N14" s="344"/>
      <c r="O14" s="345"/>
      <c r="P14" s="339"/>
      <c r="Q14" s="346"/>
      <c r="R14" s="344"/>
      <c r="S14" s="345"/>
      <c r="T14" s="339"/>
      <c r="U14" s="347"/>
      <c r="V14" s="348"/>
      <c r="W14" s="349"/>
      <c r="X14" s="350"/>
      <c r="Y14" s="351"/>
      <c r="Z14" s="352"/>
      <c r="AA14" s="352"/>
      <c r="AB14" s="353">
        <f t="shared" si="0"/>
        <v>0</v>
      </c>
      <c r="AC14" s="354"/>
      <c r="AD14" s="352"/>
      <c r="AE14" s="352"/>
      <c r="AF14" s="353">
        <f t="shared" si="1"/>
        <v>0</v>
      </c>
      <c r="AG14" s="354"/>
      <c r="AH14" s="352"/>
      <c r="AI14" s="352"/>
      <c r="AJ14" s="353">
        <f t="shared" si="2"/>
        <v>0</v>
      </c>
      <c r="AK14" s="354"/>
      <c r="AL14" s="352"/>
      <c r="AM14" s="352"/>
      <c r="AN14" s="353">
        <f t="shared" si="3"/>
        <v>0</v>
      </c>
      <c r="AO14" s="354"/>
      <c r="AP14" s="352"/>
      <c r="AQ14" s="352"/>
      <c r="AR14" s="353">
        <f t="shared" si="4"/>
        <v>0</v>
      </c>
      <c r="AS14" s="354"/>
      <c r="AT14" s="352"/>
      <c r="AU14" s="352"/>
      <c r="AV14" s="353">
        <f t="shared" si="5"/>
        <v>0</v>
      </c>
      <c r="AW14" s="354"/>
      <c r="AX14" s="352"/>
      <c r="AY14" s="352"/>
      <c r="AZ14" s="353">
        <f t="shared" si="6"/>
        <v>0</v>
      </c>
      <c r="BA14" s="354"/>
      <c r="BB14" s="352"/>
      <c r="BC14" s="352"/>
      <c r="BD14" s="353">
        <f t="shared" si="7"/>
        <v>0</v>
      </c>
      <c r="BE14" s="353">
        <f t="shared" si="8"/>
        <v>0</v>
      </c>
      <c r="BF14" s="355"/>
      <c r="BG14" s="361"/>
      <c r="BH14" s="362"/>
    </row>
    <row r="15" spans="1:60" ht="27" customHeight="1">
      <c r="A15" s="336">
        <v>7</v>
      </c>
      <c r="B15" s="337"/>
      <c r="C15" s="338"/>
      <c r="D15" s="339"/>
      <c r="E15" s="340"/>
      <c r="F15" s="340"/>
      <c r="G15" s="341"/>
      <c r="H15" s="359"/>
      <c r="I15" s="360"/>
      <c r="J15" s="344"/>
      <c r="K15" s="345"/>
      <c r="L15" s="339"/>
      <c r="M15" s="346"/>
      <c r="N15" s="344"/>
      <c r="O15" s="345"/>
      <c r="P15" s="339"/>
      <c r="Q15" s="346"/>
      <c r="R15" s="344"/>
      <c r="S15" s="345"/>
      <c r="T15" s="339"/>
      <c r="U15" s="347"/>
      <c r="V15" s="348"/>
      <c r="W15" s="349"/>
      <c r="X15" s="350"/>
      <c r="Y15" s="351"/>
      <c r="Z15" s="352"/>
      <c r="AA15" s="352"/>
      <c r="AB15" s="353">
        <f t="shared" si="0"/>
        <v>0</v>
      </c>
      <c r="AC15" s="354"/>
      <c r="AD15" s="352"/>
      <c r="AE15" s="352"/>
      <c r="AF15" s="353">
        <f t="shared" si="1"/>
        <v>0</v>
      </c>
      <c r="AG15" s="354"/>
      <c r="AH15" s="352"/>
      <c r="AI15" s="352"/>
      <c r="AJ15" s="353">
        <f t="shared" si="2"/>
        <v>0</v>
      </c>
      <c r="AK15" s="354"/>
      <c r="AL15" s="352"/>
      <c r="AM15" s="352"/>
      <c r="AN15" s="353">
        <f t="shared" si="3"/>
        <v>0</v>
      </c>
      <c r="AO15" s="354"/>
      <c r="AP15" s="352"/>
      <c r="AQ15" s="352"/>
      <c r="AR15" s="353">
        <f t="shared" si="4"/>
        <v>0</v>
      </c>
      <c r="AS15" s="354"/>
      <c r="AT15" s="352"/>
      <c r="AU15" s="352"/>
      <c r="AV15" s="353">
        <f t="shared" si="5"/>
        <v>0</v>
      </c>
      <c r="AW15" s="354"/>
      <c r="AX15" s="352"/>
      <c r="AY15" s="352"/>
      <c r="AZ15" s="353">
        <f t="shared" si="6"/>
        <v>0</v>
      </c>
      <c r="BA15" s="354"/>
      <c r="BB15" s="352"/>
      <c r="BC15" s="352"/>
      <c r="BD15" s="353">
        <f t="shared" si="7"/>
        <v>0</v>
      </c>
      <c r="BE15" s="353">
        <f t="shared" si="8"/>
        <v>0</v>
      </c>
      <c r="BF15" s="355"/>
      <c r="BG15" s="361"/>
      <c r="BH15" s="362"/>
    </row>
    <row r="16" spans="1:60" ht="27" customHeight="1">
      <c r="A16" s="336">
        <v>8</v>
      </c>
      <c r="B16" s="337"/>
      <c r="C16" s="338"/>
      <c r="D16" s="339"/>
      <c r="E16" s="340"/>
      <c r="F16" s="340"/>
      <c r="G16" s="341"/>
      <c r="H16" s="359"/>
      <c r="I16" s="360"/>
      <c r="J16" s="344"/>
      <c r="K16" s="345"/>
      <c r="L16" s="339"/>
      <c r="M16" s="346"/>
      <c r="N16" s="344"/>
      <c r="O16" s="345"/>
      <c r="P16" s="339"/>
      <c r="Q16" s="346"/>
      <c r="R16" s="344"/>
      <c r="S16" s="345"/>
      <c r="T16" s="339"/>
      <c r="U16" s="347"/>
      <c r="V16" s="348"/>
      <c r="W16" s="349"/>
      <c r="X16" s="350"/>
      <c r="Y16" s="351"/>
      <c r="Z16" s="352"/>
      <c r="AA16" s="352"/>
      <c r="AB16" s="353">
        <f t="shared" si="0"/>
        <v>0</v>
      </c>
      <c r="AC16" s="354"/>
      <c r="AD16" s="352"/>
      <c r="AE16" s="352"/>
      <c r="AF16" s="353">
        <f t="shared" si="1"/>
        <v>0</v>
      </c>
      <c r="AG16" s="354"/>
      <c r="AH16" s="352"/>
      <c r="AI16" s="352"/>
      <c r="AJ16" s="353">
        <f t="shared" si="2"/>
        <v>0</v>
      </c>
      <c r="AK16" s="354"/>
      <c r="AL16" s="352"/>
      <c r="AM16" s="352"/>
      <c r="AN16" s="353">
        <f t="shared" si="3"/>
        <v>0</v>
      </c>
      <c r="AO16" s="354"/>
      <c r="AP16" s="352"/>
      <c r="AQ16" s="352"/>
      <c r="AR16" s="353">
        <f t="shared" si="4"/>
        <v>0</v>
      </c>
      <c r="AS16" s="354"/>
      <c r="AT16" s="352"/>
      <c r="AU16" s="352"/>
      <c r="AV16" s="353">
        <f t="shared" si="5"/>
        <v>0</v>
      </c>
      <c r="AW16" s="354"/>
      <c r="AX16" s="352"/>
      <c r="AY16" s="352"/>
      <c r="AZ16" s="353">
        <f t="shared" si="6"/>
        <v>0</v>
      </c>
      <c r="BA16" s="354"/>
      <c r="BB16" s="352"/>
      <c r="BC16" s="352"/>
      <c r="BD16" s="353">
        <f t="shared" si="7"/>
        <v>0</v>
      </c>
      <c r="BE16" s="353">
        <f t="shared" si="8"/>
        <v>0</v>
      </c>
      <c r="BF16" s="355"/>
      <c r="BG16" s="361"/>
      <c r="BH16" s="362"/>
    </row>
    <row r="17" spans="1:60" ht="27" customHeight="1">
      <c r="A17" s="336">
        <v>9</v>
      </c>
      <c r="B17" s="337"/>
      <c r="C17" s="338"/>
      <c r="D17" s="339"/>
      <c r="E17" s="340"/>
      <c r="F17" s="340"/>
      <c r="G17" s="341"/>
      <c r="H17" s="359"/>
      <c r="I17" s="360"/>
      <c r="J17" s="344"/>
      <c r="K17" s="345"/>
      <c r="L17" s="339"/>
      <c r="M17" s="346"/>
      <c r="N17" s="344"/>
      <c r="O17" s="345"/>
      <c r="P17" s="339"/>
      <c r="Q17" s="346"/>
      <c r="R17" s="344"/>
      <c r="S17" s="345"/>
      <c r="T17" s="339"/>
      <c r="U17" s="347"/>
      <c r="V17" s="348"/>
      <c r="W17" s="349"/>
      <c r="X17" s="350"/>
      <c r="Y17" s="351"/>
      <c r="Z17" s="352"/>
      <c r="AA17" s="352"/>
      <c r="AB17" s="353">
        <f t="shared" si="0"/>
        <v>0</v>
      </c>
      <c r="AC17" s="354"/>
      <c r="AD17" s="352"/>
      <c r="AE17" s="352"/>
      <c r="AF17" s="353">
        <f t="shared" si="1"/>
        <v>0</v>
      </c>
      <c r="AG17" s="354"/>
      <c r="AH17" s="352"/>
      <c r="AI17" s="352"/>
      <c r="AJ17" s="353">
        <f t="shared" si="2"/>
        <v>0</v>
      </c>
      <c r="AK17" s="354"/>
      <c r="AL17" s="352"/>
      <c r="AM17" s="352"/>
      <c r="AN17" s="353">
        <f t="shared" si="3"/>
        <v>0</v>
      </c>
      <c r="AO17" s="354"/>
      <c r="AP17" s="352"/>
      <c r="AQ17" s="352"/>
      <c r="AR17" s="353">
        <f t="shared" si="4"/>
        <v>0</v>
      </c>
      <c r="AS17" s="354"/>
      <c r="AT17" s="352"/>
      <c r="AU17" s="352"/>
      <c r="AV17" s="353">
        <f t="shared" si="5"/>
        <v>0</v>
      </c>
      <c r="AW17" s="354"/>
      <c r="AX17" s="352"/>
      <c r="AY17" s="352"/>
      <c r="AZ17" s="353">
        <f t="shared" si="6"/>
        <v>0</v>
      </c>
      <c r="BA17" s="354"/>
      <c r="BB17" s="352"/>
      <c r="BC17" s="352"/>
      <c r="BD17" s="353">
        <f t="shared" si="7"/>
        <v>0</v>
      </c>
      <c r="BE17" s="353">
        <f t="shared" si="8"/>
        <v>0</v>
      </c>
      <c r="BF17" s="355"/>
      <c r="BG17" s="361"/>
      <c r="BH17" s="362"/>
    </row>
    <row r="18" spans="1:60" ht="27" customHeight="1">
      <c r="A18" s="336">
        <v>10</v>
      </c>
      <c r="B18" s="337"/>
      <c r="C18" s="338"/>
      <c r="D18" s="339"/>
      <c r="E18" s="340"/>
      <c r="F18" s="340"/>
      <c r="G18" s="341"/>
      <c r="H18" s="359"/>
      <c r="I18" s="360"/>
      <c r="J18" s="344"/>
      <c r="K18" s="345"/>
      <c r="L18" s="339"/>
      <c r="M18" s="346"/>
      <c r="N18" s="344"/>
      <c r="O18" s="345"/>
      <c r="P18" s="339"/>
      <c r="Q18" s="346"/>
      <c r="R18" s="344"/>
      <c r="S18" s="345"/>
      <c r="T18" s="339"/>
      <c r="U18" s="347"/>
      <c r="V18" s="348"/>
      <c r="W18" s="349"/>
      <c r="X18" s="350"/>
      <c r="Y18" s="351"/>
      <c r="Z18" s="352"/>
      <c r="AA18" s="352"/>
      <c r="AB18" s="353">
        <f t="shared" si="0"/>
        <v>0</v>
      </c>
      <c r="AC18" s="354"/>
      <c r="AD18" s="352"/>
      <c r="AE18" s="352"/>
      <c r="AF18" s="353">
        <f t="shared" si="1"/>
        <v>0</v>
      </c>
      <c r="AG18" s="354"/>
      <c r="AH18" s="352"/>
      <c r="AI18" s="352"/>
      <c r="AJ18" s="353">
        <f t="shared" si="2"/>
        <v>0</v>
      </c>
      <c r="AK18" s="354"/>
      <c r="AL18" s="352"/>
      <c r="AM18" s="352"/>
      <c r="AN18" s="353">
        <f t="shared" si="3"/>
        <v>0</v>
      </c>
      <c r="AO18" s="354"/>
      <c r="AP18" s="352"/>
      <c r="AQ18" s="352"/>
      <c r="AR18" s="353">
        <f t="shared" si="4"/>
        <v>0</v>
      </c>
      <c r="AS18" s="354"/>
      <c r="AT18" s="352"/>
      <c r="AU18" s="352"/>
      <c r="AV18" s="353">
        <f t="shared" si="5"/>
        <v>0</v>
      </c>
      <c r="AW18" s="354"/>
      <c r="AX18" s="352"/>
      <c r="AY18" s="352"/>
      <c r="AZ18" s="353">
        <f t="shared" si="6"/>
        <v>0</v>
      </c>
      <c r="BA18" s="354"/>
      <c r="BB18" s="352"/>
      <c r="BC18" s="352"/>
      <c r="BD18" s="353">
        <f t="shared" si="7"/>
        <v>0</v>
      </c>
      <c r="BE18" s="353">
        <f t="shared" si="8"/>
        <v>0</v>
      </c>
      <c r="BF18" s="355"/>
      <c r="BG18" s="361"/>
      <c r="BH18" s="362"/>
    </row>
    <row r="19" spans="1:60" ht="27" customHeight="1">
      <c r="A19" s="336">
        <v>11</v>
      </c>
      <c r="B19" s="337"/>
      <c r="C19" s="338"/>
      <c r="D19" s="339"/>
      <c r="E19" s="340"/>
      <c r="F19" s="340"/>
      <c r="G19" s="341"/>
      <c r="H19" s="359"/>
      <c r="I19" s="360"/>
      <c r="J19" s="344"/>
      <c r="K19" s="345"/>
      <c r="L19" s="339"/>
      <c r="M19" s="346"/>
      <c r="N19" s="344"/>
      <c r="O19" s="345"/>
      <c r="P19" s="339"/>
      <c r="Q19" s="346"/>
      <c r="R19" s="344"/>
      <c r="S19" s="345"/>
      <c r="T19" s="339"/>
      <c r="U19" s="347"/>
      <c r="V19" s="348"/>
      <c r="W19" s="349"/>
      <c r="X19" s="350"/>
      <c r="Y19" s="351"/>
      <c r="Z19" s="352"/>
      <c r="AA19" s="352"/>
      <c r="AB19" s="353">
        <f t="shared" si="0"/>
        <v>0</v>
      </c>
      <c r="AC19" s="354"/>
      <c r="AD19" s="352"/>
      <c r="AE19" s="352"/>
      <c r="AF19" s="353">
        <f t="shared" si="1"/>
        <v>0</v>
      </c>
      <c r="AG19" s="354"/>
      <c r="AH19" s="352"/>
      <c r="AI19" s="352"/>
      <c r="AJ19" s="353">
        <f t="shared" si="2"/>
        <v>0</v>
      </c>
      <c r="AK19" s="354"/>
      <c r="AL19" s="352"/>
      <c r="AM19" s="352"/>
      <c r="AN19" s="353">
        <f t="shared" si="3"/>
        <v>0</v>
      </c>
      <c r="AO19" s="354"/>
      <c r="AP19" s="352"/>
      <c r="AQ19" s="352"/>
      <c r="AR19" s="353">
        <f t="shared" si="4"/>
        <v>0</v>
      </c>
      <c r="AS19" s="354"/>
      <c r="AT19" s="352"/>
      <c r="AU19" s="352"/>
      <c r="AV19" s="353">
        <f t="shared" si="5"/>
        <v>0</v>
      </c>
      <c r="AW19" s="354"/>
      <c r="AX19" s="352"/>
      <c r="AY19" s="352"/>
      <c r="AZ19" s="353">
        <f t="shared" si="6"/>
        <v>0</v>
      </c>
      <c r="BA19" s="354"/>
      <c r="BB19" s="352"/>
      <c r="BC19" s="352"/>
      <c r="BD19" s="353">
        <f t="shared" si="7"/>
        <v>0</v>
      </c>
      <c r="BE19" s="353">
        <f t="shared" si="8"/>
        <v>0</v>
      </c>
      <c r="BF19" s="355"/>
      <c r="BG19" s="361"/>
      <c r="BH19" s="362"/>
    </row>
    <row r="20" spans="1:60" ht="27" customHeight="1">
      <c r="A20" s="336">
        <v>12</v>
      </c>
      <c r="B20" s="337"/>
      <c r="C20" s="338"/>
      <c r="D20" s="339"/>
      <c r="E20" s="340"/>
      <c r="F20" s="340"/>
      <c r="G20" s="341"/>
      <c r="H20" s="359"/>
      <c r="I20" s="360"/>
      <c r="J20" s="344"/>
      <c r="K20" s="345"/>
      <c r="L20" s="339"/>
      <c r="M20" s="346"/>
      <c r="N20" s="344"/>
      <c r="O20" s="345"/>
      <c r="P20" s="339"/>
      <c r="Q20" s="346"/>
      <c r="R20" s="344"/>
      <c r="S20" s="345"/>
      <c r="T20" s="339"/>
      <c r="U20" s="347"/>
      <c r="V20" s="348"/>
      <c r="W20" s="349"/>
      <c r="X20" s="350"/>
      <c r="Y20" s="351"/>
      <c r="Z20" s="352"/>
      <c r="AA20" s="352"/>
      <c r="AB20" s="353">
        <f t="shared" si="0"/>
        <v>0</v>
      </c>
      <c r="AC20" s="354"/>
      <c r="AD20" s="352"/>
      <c r="AE20" s="352"/>
      <c r="AF20" s="353">
        <f t="shared" si="1"/>
        <v>0</v>
      </c>
      <c r="AG20" s="354"/>
      <c r="AH20" s="352"/>
      <c r="AI20" s="352"/>
      <c r="AJ20" s="353">
        <f t="shared" si="2"/>
        <v>0</v>
      </c>
      <c r="AK20" s="354"/>
      <c r="AL20" s="352"/>
      <c r="AM20" s="352"/>
      <c r="AN20" s="353">
        <f t="shared" si="3"/>
        <v>0</v>
      </c>
      <c r="AO20" s="354"/>
      <c r="AP20" s="352"/>
      <c r="AQ20" s="352"/>
      <c r="AR20" s="353">
        <f t="shared" si="4"/>
        <v>0</v>
      </c>
      <c r="AS20" s="354"/>
      <c r="AT20" s="352"/>
      <c r="AU20" s="352"/>
      <c r="AV20" s="353">
        <f t="shared" si="5"/>
        <v>0</v>
      </c>
      <c r="AW20" s="354"/>
      <c r="AX20" s="352"/>
      <c r="AY20" s="352"/>
      <c r="AZ20" s="353">
        <f t="shared" si="6"/>
        <v>0</v>
      </c>
      <c r="BA20" s="354"/>
      <c r="BB20" s="352"/>
      <c r="BC20" s="352"/>
      <c r="BD20" s="353">
        <f t="shared" si="7"/>
        <v>0</v>
      </c>
      <c r="BE20" s="353">
        <f t="shared" si="8"/>
        <v>0</v>
      </c>
      <c r="BF20" s="355"/>
      <c r="BG20" s="361"/>
      <c r="BH20" s="362"/>
    </row>
    <row r="21" spans="1:60" ht="27" customHeight="1">
      <c r="A21" s="336">
        <v>13</v>
      </c>
      <c r="B21" s="337"/>
      <c r="C21" s="338"/>
      <c r="D21" s="339"/>
      <c r="E21" s="340"/>
      <c r="F21" s="340"/>
      <c r="G21" s="341"/>
      <c r="H21" s="359"/>
      <c r="I21" s="360"/>
      <c r="J21" s="344"/>
      <c r="K21" s="345"/>
      <c r="L21" s="339"/>
      <c r="M21" s="346"/>
      <c r="N21" s="344"/>
      <c r="O21" s="345"/>
      <c r="P21" s="339"/>
      <c r="Q21" s="346"/>
      <c r="R21" s="344"/>
      <c r="S21" s="345"/>
      <c r="T21" s="339"/>
      <c r="U21" s="347"/>
      <c r="V21" s="348"/>
      <c r="W21" s="349"/>
      <c r="X21" s="350"/>
      <c r="Y21" s="351"/>
      <c r="Z21" s="352"/>
      <c r="AA21" s="352"/>
      <c r="AB21" s="353">
        <f t="shared" si="0"/>
        <v>0</v>
      </c>
      <c r="AC21" s="354"/>
      <c r="AD21" s="352"/>
      <c r="AE21" s="352"/>
      <c r="AF21" s="353">
        <f t="shared" si="1"/>
        <v>0</v>
      </c>
      <c r="AG21" s="354"/>
      <c r="AH21" s="352"/>
      <c r="AI21" s="352"/>
      <c r="AJ21" s="353">
        <f t="shared" si="2"/>
        <v>0</v>
      </c>
      <c r="AK21" s="354"/>
      <c r="AL21" s="352"/>
      <c r="AM21" s="352"/>
      <c r="AN21" s="353">
        <f t="shared" si="3"/>
        <v>0</v>
      </c>
      <c r="AO21" s="354"/>
      <c r="AP21" s="352"/>
      <c r="AQ21" s="352"/>
      <c r="AR21" s="353">
        <f t="shared" si="4"/>
        <v>0</v>
      </c>
      <c r="AS21" s="354"/>
      <c r="AT21" s="352"/>
      <c r="AU21" s="352"/>
      <c r="AV21" s="353">
        <f t="shared" si="5"/>
        <v>0</v>
      </c>
      <c r="AW21" s="354"/>
      <c r="AX21" s="352"/>
      <c r="AY21" s="352"/>
      <c r="AZ21" s="353">
        <f t="shared" si="6"/>
        <v>0</v>
      </c>
      <c r="BA21" s="354"/>
      <c r="BB21" s="352"/>
      <c r="BC21" s="352"/>
      <c r="BD21" s="353">
        <f t="shared" si="7"/>
        <v>0</v>
      </c>
      <c r="BE21" s="353">
        <f t="shared" si="8"/>
        <v>0</v>
      </c>
      <c r="BF21" s="355"/>
      <c r="BG21" s="361"/>
      <c r="BH21" s="362"/>
    </row>
    <row r="22" spans="1:60" ht="27" customHeight="1">
      <c r="A22" s="336">
        <v>14</v>
      </c>
      <c r="B22" s="337"/>
      <c r="C22" s="338"/>
      <c r="D22" s="339"/>
      <c r="E22" s="340"/>
      <c r="F22" s="340"/>
      <c r="G22" s="341"/>
      <c r="H22" s="359"/>
      <c r="I22" s="360"/>
      <c r="J22" s="344"/>
      <c r="K22" s="345"/>
      <c r="L22" s="339"/>
      <c r="M22" s="346"/>
      <c r="N22" s="344"/>
      <c r="O22" s="345"/>
      <c r="P22" s="339"/>
      <c r="Q22" s="346"/>
      <c r="R22" s="344"/>
      <c r="S22" s="345"/>
      <c r="T22" s="339"/>
      <c r="U22" s="347"/>
      <c r="V22" s="348"/>
      <c r="W22" s="349"/>
      <c r="X22" s="350"/>
      <c r="Y22" s="351"/>
      <c r="Z22" s="352"/>
      <c r="AA22" s="352"/>
      <c r="AB22" s="353">
        <f t="shared" si="0"/>
        <v>0</v>
      </c>
      <c r="AC22" s="354"/>
      <c r="AD22" s="352"/>
      <c r="AE22" s="352"/>
      <c r="AF22" s="353">
        <f t="shared" si="1"/>
        <v>0</v>
      </c>
      <c r="AG22" s="354"/>
      <c r="AH22" s="352"/>
      <c r="AI22" s="352"/>
      <c r="AJ22" s="353">
        <f t="shared" si="2"/>
        <v>0</v>
      </c>
      <c r="AK22" s="354"/>
      <c r="AL22" s="352"/>
      <c r="AM22" s="352"/>
      <c r="AN22" s="353">
        <f t="shared" si="3"/>
        <v>0</v>
      </c>
      <c r="AO22" s="354"/>
      <c r="AP22" s="352"/>
      <c r="AQ22" s="352"/>
      <c r="AR22" s="353">
        <f t="shared" si="4"/>
        <v>0</v>
      </c>
      <c r="AS22" s="354"/>
      <c r="AT22" s="352"/>
      <c r="AU22" s="352"/>
      <c r="AV22" s="353">
        <f t="shared" si="5"/>
        <v>0</v>
      </c>
      <c r="AW22" s="354"/>
      <c r="AX22" s="352"/>
      <c r="AY22" s="352"/>
      <c r="AZ22" s="353">
        <f t="shared" si="6"/>
        <v>0</v>
      </c>
      <c r="BA22" s="354"/>
      <c r="BB22" s="352"/>
      <c r="BC22" s="352"/>
      <c r="BD22" s="353">
        <f t="shared" si="7"/>
        <v>0</v>
      </c>
      <c r="BE22" s="353">
        <f t="shared" si="8"/>
        <v>0</v>
      </c>
      <c r="BF22" s="355"/>
      <c r="BG22" s="361"/>
      <c r="BH22" s="362"/>
    </row>
    <row r="23" spans="1:60" ht="27" customHeight="1">
      <c r="A23" s="336">
        <v>15</v>
      </c>
      <c r="B23" s="337"/>
      <c r="C23" s="338"/>
      <c r="D23" s="339"/>
      <c r="E23" s="340"/>
      <c r="F23" s="340"/>
      <c r="G23" s="341"/>
      <c r="H23" s="359"/>
      <c r="I23" s="360"/>
      <c r="J23" s="344"/>
      <c r="K23" s="345"/>
      <c r="L23" s="339"/>
      <c r="M23" s="346"/>
      <c r="N23" s="344"/>
      <c r="O23" s="345"/>
      <c r="P23" s="339"/>
      <c r="Q23" s="346"/>
      <c r="R23" s="344"/>
      <c r="S23" s="345"/>
      <c r="T23" s="339"/>
      <c r="U23" s="347"/>
      <c r="V23" s="348"/>
      <c r="W23" s="349"/>
      <c r="X23" s="350"/>
      <c r="Y23" s="351"/>
      <c r="Z23" s="352"/>
      <c r="AA23" s="352"/>
      <c r="AB23" s="353">
        <f t="shared" si="0"/>
        <v>0</v>
      </c>
      <c r="AC23" s="354"/>
      <c r="AD23" s="352"/>
      <c r="AE23" s="352"/>
      <c r="AF23" s="353">
        <f t="shared" si="1"/>
        <v>0</v>
      </c>
      <c r="AG23" s="354"/>
      <c r="AH23" s="352"/>
      <c r="AI23" s="352"/>
      <c r="AJ23" s="353">
        <f t="shared" si="2"/>
        <v>0</v>
      </c>
      <c r="AK23" s="354"/>
      <c r="AL23" s="352"/>
      <c r="AM23" s="352"/>
      <c r="AN23" s="353">
        <f t="shared" si="3"/>
        <v>0</v>
      </c>
      <c r="AO23" s="354"/>
      <c r="AP23" s="352"/>
      <c r="AQ23" s="352"/>
      <c r="AR23" s="353">
        <f t="shared" si="4"/>
        <v>0</v>
      </c>
      <c r="AS23" s="354"/>
      <c r="AT23" s="352"/>
      <c r="AU23" s="352"/>
      <c r="AV23" s="353">
        <f t="shared" si="5"/>
        <v>0</v>
      </c>
      <c r="AW23" s="354"/>
      <c r="AX23" s="352"/>
      <c r="AY23" s="352"/>
      <c r="AZ23" s="353">
        <f t="shared" si="6"/>
        <v>0</v>
      </c>
      <c r="BA23" s="354"/>
      <c r="BB23" s="352"/>
      <c r="BC23" s="352"/>
      <c r="BD23" s="353">
        <f t="shared" si="7"/>
        <v>0</v>
      </c>
      <c r="BE23" s="353">
        <f t="shared" si="8"/>
        <v>0</v>
      </c>
      <c r="BF23" s="355"/>
      <c r="BG23" s="361"/>
      <c r="BH23" s="362"/>
    </row>
    <row r="24" spans="1:60" ht="27" customHeight="1">
      <c r="A24" s="336">
        <v>16</v>
      </c>
      <c r="B24" s="337"/>
      <c r="C24" s="338"/>
      <c r="D24" s="339"/>
      <c r="E24" s="340"/>
      <c r="F24" s="340"/>
      <c r="G24" s="341"/>
      <c r="H24" s="359"/>
      <c r="I24" s="360"/>
      <c r="J24" s="344"/>
      <c r="K24" s="345"/>
      <c r="L24" s="339"/>
      <c r="M24" s="346"/>
      <c r="N24" s="344"/>
      <c r="O24" s="345"/>
      <c r="P24" s="339"/>
      <c r="Q24" s="346"/>
      <c r="R24" s="344"/>
      <c r="S24" s="345"/>
      <c r="T24" s="339"/>
      <c r="U24" s="347"/>
      <c r="V24" s="348"/>
      <c r="W24" s="349"/>
      <c r="X24" s="350"/>
      <c r="Y24" s="351"/>
      <c r="Z24" s="352"/>
      <c r="AA24" s="352"/>
      <c r="AB24" s="353">
        <f t="shared" si="0"/>
        <v>0</v>
      </c>
      <c r="AC24" s="354"/>
      <c r="AD24" s="352"/>
      <c r="AE24" s="352"/>
      <c r="AF24" s="353">
        <f t="shared" si="1"/>
        <v>0</v>
      </c>
      <c r="AG24" s="354"/>
      <c r="AH24" s="352"/>
      <c r="AI24" s="352"/>
      <c r="AJ24" s="353">
        <f t="shared" si="2"/>
        <v>0</v>
      </c>
      <c r="AK24" s="354"/>
      <c r="AL24" s="352"/>
      <c r="AM24" s="352"/>
      <c r="AN24" s="353">
        <f t="shared" si="3"/>
        <v>0</v>
      </c>
      <c r="AO24" s="354"/>
      <c r="AP24" s="352"/>
      <c r="AQ24" s="352"/>
      <c r="AR24" s="353">
        <f t="shared" si="4"/>
        <v>0</v>
      </c>
      <c r="AS24" s="354"/>
      <c r="AT24" s="352"/>
      <c r="AU24" s="352"/>
      <c r="AV24" s="353">
        <f t="shared" si="5"/>
        <v>0</v>
      </c>
      <c r="AW24" s="354"/>
      <c r="AX24" s="352"/>
      <c r="AY24" s="352"/>
      <c r="AZ24" s="353">
        <f t="shared" si="6"/>
        <v>0</v>
      </c>
      <c r="BA24" s="354"/>
      <c r="BB24" s="352"/>
      <c r="BC24" s="352"/>
      <c r="BD24" s="353">
        <f t="shared" si="7"/>
        <v>0</v>
      </c>
      <c r="BE24" s="353">
        <f t="shared" si="8"/>
        <v>0</v>
      </c>
      <c r="BF24" s="355"/>
      <c r="BG24" s="361"/>
      <c r="BH24" s="362"/>
    </row>
    <row r="25" spans="1:60" ht="27" customHeight="1">
      <c r="A25" s="336">
        <v>17</v>
      </c>
      <c r="B25" s="337"/>
      <c r="C25" s="338"/>
      <c r="D25" s="339"/>
      <c r="E25" s="340"/>
      <c r="F25" s="340"/>
      <c r="G25" s="341"/>
      <c r="H25" s="359"/>
      <c r="I25" s="360"/>
      <c r="J25" s="344"/>
      <c r="K25" s="345"/>
      <c r="L25" s="339"/>
      <c r="M25" s="346"/>
      <c r="N25" s="344"/>
      <c r="O25" s="345"/>
      <c r="P25" s="339"/>
      <c r="Q25" s="346"/>
      <c r="R25" s="344"/>
      <c r="S25" s="345"/>
      <c r="T25" s="339"/>
      <c r="U25" s="347"/>
      <c r="V25" s="348"/>
      <c r="W25" s="349"/>
      <c r="X25" s="350"/>
      <c r="Y25" s="351"/>
      <c r="Z25" s="352"/>
      <c r="AA25" s="352"/>
      <c r="AB25" s="353">
        <f t="shared" si="0"/>
        <v>0</v>
      </c>
      <c r="AC25" s="354"/>
      <c r="AD25" s="352"/>
      <c r="AE25" s="352"/>
      <c r="AF25" s="353">
        <f t="shared" si="1"/>
        <v>0</v>
      </c>
      <c r="AG25" s="354"/>
      <c r="AH25" s="352"/>
      <c r="AI25" s="352"/>
      <c r="AJ25" s="353">
        <f t="shared" si="2"/>
        <v>0</v>
      </c>
      <c r="AK25" s="354"/>
      <c r="AL25" s="352"/>
      <c r="AM25" s="352"/>
      <c r="AN25" s="353">
        <f t="shared" si="3"/>
        <v>0</v>
      </c>
      <c r="AO25" s="354"/>
      <c r="AP25" s="352"/>
      <c r="AQ25" s="352"/>
      <c r="AR25" s="353">
        <f t="shared" si="4"/>
        <v>0</v>
      </c>
      <c r="AS25" s="354"/>
      <c r="AT25" s="352"/>
      <c r="AU25" s="352"/>
      <c r="AV25" s="353">
        <f t="shared" si="5"/>
        <v>0</v>
      </c>
      <c r="AW25" s="354"/>
      <c r="AX25" s="352"/>
      <c r="AY25" s="352"/>
      <c r="AZ25" s="353">
        <f t="shared" si="6"/>
        <v>0</v>
      </c>
      <c r="BA25" s="354"/>
      <c r="BB25" s="352"/>
      <c r="BC25" s="352"/>
      <c r="BD25" s="353">
        <f t="shared" si="7"/>
        <v>0</v>
      </c>
      <c r="BE25" s="353">
        <f t="shared" si="8"/>
        <v>0</v>
      </c>
      <c r="BF25" s="355"/>
      <c r="BG25" s="361"/>
      <c r="BH25" s="362"/>
    </row>
    <row r="26" spans="1:60" ht="27" customHeight="1">
      <c r="A26" s="336">
        <v>18</v>
      </c>
      <c r="B26" s="337"/>
      <c r="C26" s="338"/>
      <c r="D26" s="339"/>
      <c r="E26" s="340"/>
      <c r="F26" s="340"/>
      <c r="G26" s="341"/>
      <c r="H26" s="359"/>
      <c r="I26" s="360"/>
      <c r="J26" s="344"/>
      <c r="K26" s="345"/>
      <c r="L26" s="339"/>
      <c r="M26" s="346"/>
      <c r="N26" s="344"/>
      <c r="O26" s="345"/>
      <c r="P26" s="339"/>
      <c r="Q26" s="346"/>
      <c r="R26" s="344"/>
      <c r="S26" s="345"/>
      <c r="T26" s="339"/>
      <c r="U26" s="347"/>
      <c r="V26" s="348"/>
      <c r="W26" s="349"/>
      <c r="X26" s="350"/>
      <c r="Y26" s="351"/>
      <c r="Z26" s="352"/>
      <c r="AA26" s="352"/>
      <c r="AB26" s="353">
        <f t="shared" si="0"/>
        <v>0</v>
      </c>
      <c r="AC26" s="354"/>
      <c r="AD26" s="352"/>
      <c r="AE26" s="352"/>
      <c r="AF26" s="353">
        <f t="shared" si="1"/>
        <v>0</v>
      </c>
      <c r="AG26" s="354"/>
      <c r="AH26" s="352"/>
      <c r="AI26" s="352"/>
      <c r="AJ26" s="353">
        <f t="shared" si="2"/>
        <v>0</v>
      </c>
      <c r="AK26" s="354"/>
      <c r="AL26" s="352"/>
      <c r="AM26" s="352"/>
      <c r="AN26" s="353">
        <f t="shared" si="3"/>
        <v>0</v>
      </c>
      <c r="AO26" s="354"/>
      <c r="AP26" s="352"/>
      <c r="AQ26" s="352"/>
      <c r="AR26" s="353">
        <f t="shared" si="4"/>
        <v>0</v>
      </c>
      <c r="AS26" s="354"/>
      <c r="AT26" s="352"/>
      <c r="AU26" s="352"/>
      <c r="AV26" s="353">
        <f t="shared" si="5"/>
        <v>0</v>
      </c>
      <c r="AW26" s="354"/>
      <c r="AX26" s="352"/>
      <c r="AY26" s="352"/>
      <c r="AZ26" s="353">
        <f t="shared" si="6"/>
        <v>0</v>
      </c>
      <c r="BA26" s="354"/>
      <c r="BB26" s="352"/>
      <c r="BC26" s="352"/>
      <c r="BD26" s="353">
        <f t="shared" si="7"/>
        <v>0</v>
      </c>
      <c r="BE26" s="353">
        <f t="shared" si="8"/>
        <v>0</v>
      </c>
      <c r="BF26" s="355"/>
      <c r="BG26" s="361"/>
      <c r="BH26" s="362"/>
    </row>
    <row r="27" spans="1:60" ht="27" customHeight="1">
      <c r="A27" s="336">
        <v>19</v>
      </c>
      <c r="B27" s="337"/>
      <c r="C27" s="338"/>
      <c r="D27" s="339"/>
      <c r="E27" s="340"/>
      <c r="F27" s="340"/>
      <c r="G27" s="341"/>
      <c r="H27" s="359"/>
      <c r="I27" s="360"/>
      <c r="J27" s="344"/>
      <c r="K27" s="345"/>
      <c r="L27" s="339"/>
      <c r="M27" s="346"/>
      <c r="N27" s="344"/>
      <c r="O27" s="345"/>
      <c r="P27" s="339"/>
      <c r="Q27" s="346"/>
      <c r="R27" s="344"/>
      <c r="S27" s="345"/>
      <c r="T27" s="339"/>
      <c r="U27" s="347"/>
      <c r="V27" s="348"/>
      <c r="W27" s="349"/>
      <c r="X27" s="350"/>
      <c r="Y27" s="351"/>
      <c r="Z27" s="352"/>
      <c r="AA27" s="352"/>
      <c r="AB27" s="353">
        <f t="shared" si="0"/>
        <v>0</v>
      </c>
      <c r="AC27" s="354"/>
      <c r="AD27" s="352"/>
      <c r="AE27" s="352"/>
      <c r="AF27" s="353">
        <f t="shared" si="1"/>
        <v>0</v>
      </c>
      <c r="AG27" s="354"/>
      <c r="AH27" s="352"/>
      <c r="AI27" s="352"/>
      <c r="AJ27" s="353">
        <f t="shared" si="2"/>
        <v>0</v>
      </c>
      <c r="AK27" s="354"/>
      <c r="AL27" s="352"/>
      <c r="AM27" s="352"/>
      <c r="AN27" s="353">
        <f t="shared" si="3"/>
        <v>0</v>
      </c>
      <c r="AO27" s="354"/>
      <c r="AP27" s="352"/>
      <c r="AQ27" s="352"/>
      <c r="AR27" s="353">
        <f t="shared" si="4"/>
        <v>0</v>
      </c>
      <c r="AS27" s="354"/>
      <c r="AT27" s="352"/>
      <c r="AU27" s="352"/>
      <c r="AV27" s="353">
        <f t="shared" si="5"/>
        <v>0</v>
      </c>
      <c r="AW27" s="354"/>
      <c r="AX27" s="352"/>
      <c r="AY27" s="352"/>
      <c r="AZ27" s="353">
        <f t="shared" si="6"/>
        <v>0</v>
      </c>
      <c r="BA27" s="354"/>
      <c r="BB27" s="352"/>
      <c r="BC27" s="352"/>
      <c r="BD27" s="353">
        <f t="shared" si="7"/>
        <v>0</v>
      </c>
      <c r="BE27" s="353">
        <f t="shared" si="8"/>
        <v>0</v>
      </c>
      <c r="BF27" s="355"/>
      <c r="BG27" s="361"/>
      <c r="BH27" s="362"/>
    </row>
    <row r="28" spans="1:60" ht="27" customHeight="1">
      <c r="A28" s="336">
        <v>20</v>
      </c>
      <c r="B28" s="337"/>
      <c r="C28" s="338"/>
      <c r="D28" s="339"/>
      <c r="E28" s="340"/>
      <c r="F28" s="340"/>
      <c r="G28" s="341"/>
      <c r="H28" s="359"/>
      <c r="I28" s="360"/>
      <c r="J28" s="344"/>
      <c r="K28" s="345"/>
      <c r="L28" s="339"/>
      <c r="M28" s="346"/>
      <c r="N28" s="344"/>
      <c r="O28" s="345"/>
      <c r="P28" s="339"/>
      <c r="Q28" s="346"/>
      <c r="R28" s="344"/>
      <c r="S28" s="345"/>
      <c r="T28" s="339"/>
      <c r="U28" s="347"/>
      <c r="V28" s="348"/>
      <c r="W28" s="349"/>
      <c r="X28" s="350"/>
      <c r="Y28" s="351"/>
      <c r="Z28" s="352"/>
      <c r="AA28" s="352"/>
      <c r="AB28" s="353">
        <f t="shared" si="0"/>
        <v>0</v>
      </c>
      <c r="AC28" s="354"/>
      <c r="AD28" s="352"/>
      <c r="AE28" s="352"/>
      <c r="AF28" s="353">
        <f t="shared" si="1"/>
        <v>0</v>
      </c>
      <c r="AG28" s="354"/>
      <c r="AH28" s="352"/>
      <c r="AI28" s="352"/>
      <c r="AJ28" s="353">
        <f t="shared" si="2"/>
        <v>0</v>
      </c>
      <c r="AK28" s="354"/>
      <c r="AL28" s="352"/>
      <c r="AM28" s="352"/>
      <c r="AN28" s="353">
        <f t="shared" si="3"/>
        <v>0</v>
      </c>
      <c r="AO28" s="354"/>
      <c r="AP28" s="352"/>
      <c r="AQ28" s="352"/>
      <c r="AR28" s="353">
        <f t="shared" si="4"/>
        <v>0</v>
      </c>
      <c r="AS28" s="354"/>
      <c r="AT28" s="352"/>
      <c r="AU28" s="352"/>
      <c r="AV28" s="353">
        <f t="shared" si="5"/>
        <v>0</v>
      </c>
      <c r="AW28" s="354"/>
      <c r="AX28" s="352"/>
      <c r="AY28" s="352"/>
      <c r="AZ28" s="353">
        <f t="shared" si="6"/>
        <v>0</v>
      </c>
      <c r="BA28" s="354"/>
      <c r="BB28" s="352"/>
      <c r="BC28" s="352"/>
      <c r="BD28" s="353">
        <f t="shared" si="7"/>
        <v>0</v>
      </c>
      <c r="BE28" s="353">
        <f t="shared" si="8"/>
        <v>0</v>
      </c>
      <c r="BF28" s="355"/>
      <c r="BG28" s="361"/>
      <c r="BH28" s="362"/>
    </row>
    <row r="29" spans="1:60" ht="27" customHeight="1">
      <c r="A29" s="336">
        <v>21</v>
      </c>
      <c r="B29" s="337"/>
      <c r="C29" s="338"/>
      <c r="D29" s="339"/>
      <c r="E29" s="340"/>
      <c r="F29" s="340"/>
      <c r="G29" s="341"/>
      <c r="H29" s="359"/>
      <c r="I29" s="360"/>
      <c r="J29" s="344"/>
      <c r="K29" s="345"/>
      <c r="L29" s="339"/>
      <c r="M29" s="346"/>
      <c r="N29" s="344"/>
      <c r="O29" s="345"/>
      <c r="P29" s="339"/>
      <c r="Q29" s="346"/>
      <c r="R29" s="344"/>
      <c r="S29" s="345"/>
      <c r="T29" s="339"/>
      <c r="U29" s="347"/>
      <c r="V29" s="348"/>
      <c r="W29" s="349"/>
      <c r="X29" s="350"/>
      <c r="Y29" s="351"/>
      <c r="Z29" s="352"/>
      <c r="AA29" s="352"/>
      <c r="AB29" s="353">
        <f t="shared" si="0"/>
        <v>0</v>
      </c>
      <c r="AC29" s="354"/>
      <c r="AD29" s="352"/>
      <c r="AE29" s="352"/>
      <c r="AF29" s="353">
        <f t="shared" si="1"/>
        <v>0</v>
      </c>
      <c r="AG29" s="354"/>
      <c r="AH29" s="352"/>
      <c r="AI29" s="352"/>
      <c r="AJ29" s="353">
        <f t="shared" si="2"/>
        <v>0</v>
      </c>
      <c r="AK29" s="354"/>
      <c r="AL29" s="352"/>
      <c r="AM29" s="352"/>
      <c r="AN29" s="353">
        <f t="shared" si="3"/>
        <v>0</v>
      </c>
      <c r="AO29" s="354"/>
      <c r="AP29" s="352"/>
      <c r="AQ29" s="352"/>
      <c r="AR29" s="353">
        <f t="shared" si="4"/>
        <v>0</v>
      </c>
      <c r="AS29" s="354"/>
      <c r="AT29" s="352"/>
      <c r="AU29" s="352"/>
      <c r="AV29" s="353">
        <f t="shared" si="5"/>
        <v>0</v>
      </c>
      <c r="AW29" s="354"/>
      <c r="AX29" s="352"/>
      <c r="AY29" s="352"/>
      <c r="AZ29" s="353">
        <f t="shared" si="6"/>
        <v>0</v>
      </c>
      <c r="BA29" s="354"/>
      <c r="BB29" s="352"/>
      <c r="BC29" s="352"/>
      <c r="BD29" s="353">
        <f t="shared" si="7"/>
        <v>0</v>
      </c>
      <c r="BE29" s="353">
        <f t="shared" si="8"/>
        <v>0</v>
      </c>
      <c r="BF29" s="355"/>
      <c r="BG29" s="361"/>
      <c r="BH29" s="362"/>
    </row>
    <row r="30" spans="1:60" ht="27" customHeight="1">
      <c r="A30" s="336">
        <v>22</v>
      </c>
      <c r="B30" s="337"/>
      <c r="C30" s="338"/>
      <c r="D30" s="339"/>
      <c r="E30" s="340"/>
      <c r="F30" s="340"/>
      <c r="G30" s="341"/>
      <c r="H30" s="359"/>
      <c r="I30" s="360"/>
      <c r="J30" s="344"/>
      <c r="K30" s="345"/>
      <c r="L30" s="339"/>
      <c r="M30" s="346"/>
      <c r="N30" s="344"/>
      <c r="O30" s="345"/>
      <c r="P30" s="339"/>
      <c r="Q30" s="346"/>
      <c r="R30" s="344"/>
      <c r="S30" s="345"/>
      <c r="T30" s="339"/>
      <c r="U30" s="347"/>
      <c r="V30" s="348"/>
      <c r="W30" s="349"/>
      <c r="X30" s="350"/>
      <c r="Y30" s="351"/>
      <c r="Z30" s="352"/>
      <c r="AA30" s="352"/>
      <c r="AB30" s="353">
        <f t="shared" si="0"/>
        <v>0</v>
      </c>
      <c r="AC30" s="354"/>
      <c r="AD30" s="352"/>
      <c r="AE30" s="352"/>
      <c r="AF30" s="353">
        <f t="shared" si="1"/>
        <v>0</v>
      </c>
      <c r="AG30" s="354"/>
      <c r="AH30" s="352"/>
      <c r="AI30" s="352"/>
      <c r="AJ30" s="353">
        <f t="shared" si="2"/>
        <v>0</v>
      </c>
      <c r="AK30" s="354"/>
      <c r="AL30" s="352"/>
      <c r="AM30" s="352"/>
      <c r="AN30" s="353">
        <f t="shared" si="3"/>
        <v>0</v>
      </c>
      <c r="AO30" s="354"/>
      <c r="AP30" s="352"/>
      <c r="AQ30" s="352"/>
      <c r="AR30" s="353">
        <f t="shared" si="4"/>
        <v>0</v>
      </c>
      <c r="AS30" s="354"/>
      <c r="AT30" s="352"/>
      <c r="AU30" s="352"/>
      <c r="AV30" s="353">
        <f t="shared" si="5"/>
        <v>0</v>
      </c>
      <c r="AW30" s="354"/>
      <c r="AX30" s="352"/>
      <c r="AY30" s="352"/>
      <c r="AZ30" s="353">
        <f t="shared" si="6"/>
        <v>0</v>
      </c>
      <c r="BA30" s="354"/>
      <c r="BB30" s="352"/>
      <c r="BC30" s="352"/>
      <c r="BD30" s="353">
        <f t="shared" si="7"/>
        <v>0</v>
      </c>
      <c r="BE30" s="353">
        <f t="shared" si="8"/>
        <v>0</v>
      </c>
      <c r="BF30" s="355"/>
      <c r="BG30" s="361"/>
      <c r="BH30" s="362"/>
    </row>
    <row r="31" spans="1:60" ht="27" customHeight="1">
      <c r="A31" s="336">
        <v>23</v>
      </c>
      <c r="B31" s="337"/>
      <c r="C31" s="338"/>
      <c r="D31" s="339"/>
      <c r="E31" s="340"/>
      <c r="F31" s="340"/>
      <c r="G31" s="341"/>
      <c r="H31" s="359"/>
      <c r="I31" s="360"/>
      <c r="J31" s="344"/>
      <c r="K31" s="345"/>
      <c r="L31" s="339"/>
      <c r="M31" s="346"/>
      <c r="N31" s="344"/>
      <c r="O31" s="345"/>
      <c r="P31" s="339"/>
      <c r="Q31" s="346"/>
      <c r="R31" s="344"/>
      <c r="S31" s="345"/>
      <c r="T31" s="339"/>
      <c r="U31" s="347"/>
      <c r="V31" s="348"/>
      <c r="W31" s="349"/>
      <c r="X31" s="350"/>
      <c r="Y31" s="351"/>
      <c r="Z31" s="352"/>
      <c r="AA31" s="352"/>
      <c r="AB31" s="353">
        <f t="shared" si="0"/>
        <v>0</v>
      </c>
      <c r="AC31" s="354"/>
      <c r="AD31" s="352"/>
      <c r="AE31" s="352"/>
      <c r="AF31" s="353">
        <f t="shared" si="1"/>
        <v>0</v>
      </c>
      <c r="AG31" s="354"/>
      <c r="AH31" s="352"/>
      <c r="AI31" s="352"/>
      <c r="AJ31" s="353">
        <f t="shared" si="2"/>
        <v>0</v>
      </c>
      <c r="AK31" s="354"/>
      <c r="AL31" s="352"/>
      <c r="AM31" s="352"/>
      <c r="AN31" s="353">
        <f t="shared" si="3"/>
        <v>0</v>
      </c>
      <c r="AO31" s="354"/>
      <c r="AP31" s="352"/>
      <c r="AQ31" s="352"/>
      <c r="AR31" s="353">
        <f t="shared" si="4"/>
        <v>0</v>
      </c>
      <c r="AS31" s="354"/>
      <c r="AT31" s="352"/>
      <c r="AU31" s="352"/>
      <c r="AV31" s="353">
        <f t="shared" si="5"/>
        <v>0</v>
      </c>
      <c r="AW31" s="354"/>
      <c r="AX31" s="352"/>
      <c r="AY31" s="352"/>
      <c r="AZ31" s="353">
        <f t="shared" si="6"/>
        <v>0</v>
      </c>
      <c r="BA31" s="354"/>
      <c r="BB31" s="352"/>
      <c r="BC31" s="352"/>
      <c r="BD31" s="353">
        <f t="shared" si="7"/>
        <v>0</v>
      </c>
      <c r="BE31" s="353">
        <f t="shared" si="8"/>
        <v>0</v>
      </c>
      <c r="BF31" s="355"/>
      <c r="BG31" s="361"/>
      <c r="BH31" s="362"/>
    </row>
    <row r="32" spans="1:60" ht="27" customHeight="1">
      <c r="A32" s="336">
        <v>24</v>
      </c>
      <c r="B32" s="337"/>
      <c r="C32" s="338"/>
      <c r="D32" s="339"/>
      <c r="E32" s="340"/>
      <c r="F32" s="340"/>
      <c r="G32" s="341"/>
      <c r="H32" s="359"/>
      <c r="I32" s="360"/>
      <c r="J32" s="344"/>
      <c r="K32" s="345"/>
      <c r="L32" s="339"/>
      <c r="M32" s="346"/>
      <c r="N32" s="344"/>
      <c r="O32" s="345"/>
      <c r="P32" s="339"/>
      <c r="Q32" s="346"/>
      <c r="R32" s="344"/>
      <c r="S32" s="345"/>
      <c r="T32" s="339"/>
      <c r="U32" s="347"/>
      <c r="V32" s="348"/>
      <c r="W32" s="349"/>
      <c r="X32" s="350"/>
      <c r="Y32" s="351"/>
      <c r="Z32" s="352"/>
      <c r="AA32" s="352"/>
      <c r="AB32" s="353">
        <f t="shared" si="0"/>
        <v>0</v>
      </c>
      <c r="AC32" s="354"/>
      <c r="AD32" s="352"/>
      <c r="AE32" s="352"/>
      <c r="AF32" s="353">
        <f t="shared" si="1"/>
        <v>0</v>
      </c>
      <c r="AG32" s="354"/>
      <c r="AH32" s="352"/>
      <c r="AI32" s="352"/>
      <c r="AJ32" s="353">
        <f t="shared" si="2"/>
        <v>0</v>
      </c>
      <c r="AK32" s="354"/>
      <c r="AL32" s="352"/>
      <c r="AM32" s="352"/>
      <c r="AN32" s="353">
        <f t="shared" si="3"/>
        <v>0</v>
      </c>
      <c r="AO32" s="354"/>
      <c r="AP32" s="352"/>
      <c r="AQ32" s="352"/>
      <c r="AR32" s="353">
        <f t="shared" si="4"/>
        <v>0</v>
      </c>
      <c r="AS32" s="354"/>
      <c r="AT32" s="352"/>
      <c r="AU32" s="352"/>
      <c r="AV32" s="353">
        <f t="shared" si="5"/>
        <v>0</v>
      </c>
      <c r="AW32" s="354"/>
      <c r="AX32" s="352"/>
      <c r="AY32" s="352"/>
      <c r="AZ32" s="353">
        <f t="shared" si="6"/>
        <v>0</v>
      </c>
      <c r="BA32" s="354"/>
      <c r="BB32" s="352"/>
      <c r="BC32" s="352"/>
      <c r="BD32" s="353">
        <f t="shared" si="7"/>
        <v>0</v>
      </c>
      <c r="BE32" s="353">
        <f t="shared" si="8"/>
        <v>0</v>
      </c>
      <c r="BF32" s="355"/>
      <c r="BG32" s="361"/>
      <c r="BH32" s="362"/>
    </row>
    <row r="33" spans="1:60" ht="27" customHeight="1">
      <c r="A33" s="336">
        <v>25</v>
      </c>
      <c r="B33" s="337"/>
      <c r="C33" s="338"/>
      <c r="D33" s="339"/>
      <c r="E33" s="340"/>
      <c r="F33" s="340"/>
      <c r="G33" s="341"/>
      <c r="H33" s="359"/>
      <c r="I33" s="360"/>
      <c r="J33" s="344"/>
      <c r="K33" s="345"/>
      <c r="L33" s="339"/>
      <c r="M33" s="346"/>
      <c r="N33" s="344"/>
      <c r="O33" s="345"/>
      <c r="P33" s="339"/>
      <c r="Q33" s="346"/>
      <c r="R33" s="344"/>
      <c r="S33" s="345"/>
      <c r="T33" s="339"/>
      <c r="U33" s="347"/>
      <c r="V33" s="348"/>
      <c r="W33" s="349"/>
      <c r="X33" s="350"/>
      <c r="Y33" s="351"/>
      <c r="Z33" s="352"/>
      <c r="AA33" s="352"/>
      <c r="AB33" s="353">
        <f t="shared" si="0"/>
        <v>0</v>
      </c>
      <c r="AC33" s="354"/>
      <c r="AD33" s="352"/>
      <c r="AE33" s="352"/>
      <c r="AF33" s="353">
        <f t="shared" si="1"/>
        <v>0</v>
      </c>
      <c r="AG33" s="354"/>
      <c r="AH33" s="352"/>
      <c r="AI33" s="352"/>
      <c r="AJ33" s="353">
        <f t="shared" si="2"/>
        <v>0</v>
      </c>
      <c r="AK33" s="354"/>
      <c r="AL33" s="352"/>
      <c r="AM33" s="352"/>
      <c r="AN33" s="353">
        <f t="shared" si="3"/>
        <v>0</v>
      </c>
      <c r="AO33" s="354"/>
      <c r="AP33" s="352"/>
      <c r="AQ33" s="352"/>
      <c r="AR33" s="353">
        <f t="shared" si="4"/>
        <v>0</v>
      </c>
      <c r="AS33" s="354"/>
      <c r="AT33" s="352"/>
      <c r="AU33" s="352"/>
      <c r="AV33" s="353">
        <f t="shared" si="5"/>
        <v>0</v>
      </c>
      <c r="AW33" s="354"/>
      <c r="AX33" s="352"/>
      <c r="AY33" s="352"/>
      <c r="AZ33" s="353">
        <f t="shared" si="6"/>
        <v>0</v>
      </c>
      <c r="BA33" s="354"/>
      <c r="BB33" s="352"/>
      <c r="BC33" s="352"/>
      <c r="BD33" s="353">
        <f t="shared" si="7"/>
        <v>0</v>
      </c>
      <c r="BE33" s="353">
        <f t="shared" si="8"/>
        <v>0</v>
      </c>
      <c r="BF33" s="355"/>
      <c r="BG33" s="361"/>
      <c r="BH33" s="362"/>
    </row>
    <row r="34" spans="1:60" ht="27" customHeight="1">
      <c r="A34" s="336">
        <v>26</v>
      </c>
      <c r="B34" s="337"/>
      <c r="C34" s="338"/>
      <c r="D34" s="339"/>
      <c r="E34" s="340"/>
      <c r="F34" s="340"/>
      <c r="G34" s="341"/>
      <c r="H34" s="359"/>
      <c r="I34" s="360"/>
      <c r="J34" s="344"/>
      <c r="K34" s="345"/>
      <c r="L34" s="339"/>
      <c r="M34" s="346"/>
      <c r="N34" s="344"/>
      <c r="O34" s="345"/>
      <c r="P34" s="339"/>
      <c r="Q34" s="346"/>
      <c r="R34" s="344"/>
      <c r="S34" s="345"/>
      <c r="T34" s="339"/>
      <c r="U34" s="347"/>
      <c r="V34" s="348"/>
      <c r="W34" s="349"/>
      <c r="X34" s="350"/>
      <c r="Y34" s="351"/>
      <c r="Z34" s="352"/>
      <c r="AA34" s="352"/>
      <c r="AB34" s="353">
        <f t="shared" si="0"/>
        <v>0</v>
      </c>
      <c r="AC34" s="354"/>
      <c r="AD34" s="352"/>
      <c r="AE34" s="352"/>
      <c r="AF34" s="353">
        <f t="shared" si="1"/>
        <v>0</v>
      </c>
      <c r="AG34" s="354"/>
      <c r="AH34" s="352"/>
      <c r="AI34" s="352"/>
      <c r="AJ34" s="353">
        <f t="shared" si="2"/>
        <v>0</v>
      </c>
      <c r="AK34" s="354"/>
      <c r="AL34" s="352"/>
      <c r="AM34" s="352"/>
      <c r="AN34" s="353">
        <f t="shared" si="3"/>
        <v>0</v>
      </c>
      <c r="AO34" s="354"/>
      <c r="AP34" s="352"/>
      <c r="AQ34" s="352"/>
      <c r="AR34" s="353">
        <f t="shared" si="4"/>
        <v>0</v>
      </c>
      <c r="AS34" s="354"/>
      <c r="AT34" s="352"/>
      <c r="AU34" s="352"/>
      <c r="AV34" s="353">
        <f t="shared" si="5"/>
        <v>0</v>
      </c>
      <c r="AW34" s="354"/>
      <c r="AX34" s="352"/>
      <c r="AY34" s="352"/>
      <c r="AZ34" s="353">
        <f t="shared" si="6"/>
        <v>0</v>
      </c>
      <c r="BA34" s="354"/>
      <c r="BB34" s="352"/>
      <c r="BC34" s="352"/>
      <c r="BD34" s="353">
        <f t="shared" si="7"/>
        <v>0</v>
      </c>
      <c r="BE34" s="353">
        <f t="shared" si="8"/>
        <v>0</v>
      </c>
      <c r="BF34" s="355"/>
      <c r="BG34" s="361"/>
      <c r="BH34" s="362"/>
    </row>
    <row r="35" spans="1:60" ht="27" customHeight="1">
      <c r="A35" s="336">
        <v>27</v>
      </c>
      <c r="B35" s="337"/>
      <c r="C35" s="338"/>
      <c r="D35" s="339"/>
      <c r="E35" s="340"/>
      <c r="F35" s="340"/>
      <c r="G35" s="341"/>
      <c r="H35" s="359"/>
      <c r="I35" s="360"/>
      <c r="J35" s="344"/>
      <c r="K35" s="345"/>
      <c r="L35" s="339"/>
      <c r="M35" s="346"/>
      <c r="N35" s="344"/>
      <c r="O35" s="345"/>
      <c r="P35" s="339"/>
      <c r="Q35" s="346"/>
      <c r="R35" s="344"/>
      <c r="S35" s="345"/>
      <c r="T35" s="339"/>
      <c r="U35" s="347"/>
      <c r="V35" s="348"/>
      <c r="W35" s="349"/>
      <c r="X35" s="350"/>
      <c r="Y35" s="351"/>
      <c r="Z35" s="352"/>
      <c r="AA35" s="352"/>
      <c r="AB35" s="353">
        <f t="shared" si="0"/>
        <v>0</v>
      </c>
      <c r="AC35" s="354"/>
      <c r="AD35" s="352"/>
      <c r="AE35" s="352"/>
      <c r="AF35" s="353">
        <f t="shared" si="1"/>
        <v>0</v>
      </c>
      <c r="AG35" s="354"/>
      <c r="AH35" s="352"/>
      <c r="AI35" s="352"/>
      <c r="AJ35" s="353">
        <f t="shared" si="2"/>
        <v>0</v>
      </c>
      <c r="AK35" s="354"/>
      <c r="AL35" s="352"/>
      <c r="AM35" s="352"/>
      <c r="AN35" s="353">
        <f t="shared" si="3"/>
        <v>0</v>
      </c>
      <c r="AO35" s="354"/>
      <c r="AP35" s="352"/>
      <c r="AQ35" s="352"/>
      <c r="AR35" s="353">
        <f t="shared" si="4"/>
        <v>0</v>
      </c>
      <c r="AS35" s="354"/>
      <c r="AT35" s="352"/>
      <c r="AU35" s="352"/>
      <c r="AV35" s="353">
        <f t="shared" si="5"/>
        <v>0</v>
      </c>
      <c r="AW35" s="354"/>
      <c r="AX35" s="352"/>
      <c r="AY35" s="352"/>
      <c r="AZ35" s="353">
        <f t="shared" si="6"/>
        <v>0</v>
      </c>
      <c r="BA35" s="354"/>
      <c r="BB35" s="352"/>
      <c r="BC35" s="352"/>
      <c r="BD35" s="353">
        <f t="shared" si="7"/>
        <v>0</v>
      </c>
      <c r="BE35" s="353">
        <f t="shared" si="8"/>
        <v>0</v>
      </c>
      <c r="BF35" s="355"/>
      <c r="BG35" s="361"/>
      <c r="BH35" s="362"/>
    </row>
    <row r="36" spans="1:60" ht="27" customHeight="1">
      <c r="A36" s="336">
        <v>28</v>
      </c>
      <c r="B36" s="337"/>
      <c r="C36" s="338"/>
      <c r="D36" s="339"/>
      <c r="E36" s="340"/>
      <c r="F36" s="340"/>
      <c r="G36" s="341"/>
      <c r="H36" s="359"/>
      <c r="I36" s="360"/>
      <c r="J36" s="344"/>
      <c r="K36" s="345"/>
      <c r="L36" s="339"/>
      <c r="M36" s="346"/>
      <c r="N36" s="344"/>
      <c r="O36" s="345"/>
      <c r="P36" s="339"/>
      <c r="Q36" s="346"/>
      <c r="R36" s="344"/>
      <c r="S36" s="345"/>
      <c r="T36" s="339"/>
      <c r="U36" s="363"/>
      <c r="V36" s="348"/>
      <c r="W36" s="349"/>
      <c r="X36" s="350"/>
      <c r="Y36" s="351"/>
      <c r="Z36" s="352"/>
      <c r="AA36" s="352"/>
      <c r="AB36" s="353">
        <f t="shared" si="0"/>
        <v>0</v>
      </c>
      <c r="AC36" s="354"/>
      <c r="AD36" s="352"/>
      <c r="AE36" s="352"/>
      <c r="AF36" s="353">
        <f t="shared" si="1"/>
        <v>0</v>
      </c>
      <c r="AG36" s="354"/>
      <c r="AH36" s="352"/>
      <c r="AI36" s="352"/>
      <c r="AJ36" s="353">
        <f t="shared" si="2"/>
        <v>0</v>
      </c>
      <c r="AK36" s="354"/>
      <c r="AL36" s="352"/>
      <c r="AM36" s="352"/>
      <c r="AN36" s="353">
        <f t="shared" si="3"/>
        <v>0</v>
      </c>
      <c r="AO36" s="354"/>
      <c r="AP36" s="352"/>
      <c r="AQ36" s="352"/>
      <c r="AR36" s="353">
        <f t="shared" si="4"/>
        <v>0</v>
      </c>
      <c r="AS36" s="354"/>
      <c r="AT36" s="352"/>
      <c r="AU36" s="352"/>
      <c r="AV36" s="353">
        <f t="shared" si="5"/>
        <v>0</v>
      </c>
      <c r="AW36" s="354"/>
      <c r="AX36" s="352"/>
      <c r="AY36" s="352"/>
      <c r="AZ36" s="353">
        <f t="shared" si="6"/>
        <v>0</v>
      </c>
      <c r="BA36" s="354"/>
      <c r="BB36" s="352"/>
      <c r="BC36" s="352"/>
      <c r="BD36" s="353">
        <f t="shared" si="7"/>
        <v>0</v>
      </c>
      <c r="BE36" s="353">
        <f t="shared" si="8"/>
        <v>0</v>
      </c>
      <c r="BF36" s="355"/>
      <c r="BG36" s="361"/>
      <c r="BH36" s="362"/>
    </row>
    <row r="37" spans="1:60" ht="27" customHeight="1">
      <c r="A37" s="336">
        <v>29</v>
      </c>
      <c r="B37" s="337"/>
      <c r="C37" s="338"/>
      <c r="D37" s="339"/>
      <c r="E37" s="340"/>
      <c r="F37" s="340"/>
      <c r="G37" s="341"/>
      <c r="H37" s="359"/>
      <c r="I37" s="360"/>
      <c r="J37" s="344"/>
      <c r="K37" s="345"/>
      <c r="L37" s="339"/>
      <c r="M37" s="346"/>
      <c r="N37" s="344"/>
      <c r="O37" s="345"/>
      <c r="P37" s="339"/>
      <c r="Q37" s="346"/>
      <c r="R37" s="344"/>
      <c r="S37" s="345"/>
      <c r="T37" s="339"/>
      <c r="U37" s="347"/>
      <c r="V37" s="348"/>
      <c r="W37" s="349"/>
      <c r="X37" s="350"/>
      <c r="Y37" s="351"/>
      <c r="Z37" s="352"/>
      <c r="AA37" s="352"/>
      <c r="AB37" s="353">
        <f t="shared" si="0"/>
        <v>0</v>
      </c>
      <c r="AC37" s="354"/>
      <c r="AD37" s="352"/>
      <c r="AE37" s="352"/>
      <c r="AF37" s="353">
        <f t="shared" si="1"/>
        <v>0</v>
      </c>
      <c r="AG37" s="354"/>
      <c r="AH37" s="352"/>
      <c r="AI37" s="352"/>
      <c r="AJ37" s="353">
        <f t="shared" si="2"/>
        <v>0</v>
      </c>
      <c r="AK37" s="354"/>
      <c r="AL37" s="352"/>
      <c r="AM37" s="352"/>
      <c r="AN37" s="353">
        <f t="shared" si="3"/>
        <v>0</v>
      </c>
      <c r="AO37" s="354"/>
      <c r="AP37" s="352"/>
      <c r="AQ37" s="352"/>
      <c r="AR37" s="353">
        <f t="shared" si="4"/>
        <v>0</v>
      </c>
      <c r="AS37" s="354"/>
      <c r="AT37" s="352"/>
      <c r="AU37" s="352"/>
      <c r="AV37" s="353">
        <f t="shared" si="5"/>
        <v>0</v>
      </c>
      <c r="AW37" s="354"/>
      <c r="AX37" s="352"/>
      <c r="AY37" s="352"/>
      <c r="AZ37" s="353">
        <f t="shared" si="6"/>
        <v>0</v>
      </c>
      <c r="BA37" s="354"/>
      <c r="BB37" s="352"/>
      <c r="BC37" s="352"/>
      <c r="BD37" s="353">
        <f t="shared" si="7"/>
        <v>0</v>
      </c>
      <c r="BE37" s="353">
        <f t="shared" si="8"/>
        <v>0</v>
      </c>
      <c r="BF37" s="355"/>
      <c r="BG37" s="361"/>
      <c r="BH37" s="362"/>
    </row>
    <row r="38" spans="1:60" ht="27" customHeight="1">
      <c r="A38" s="336">
        <v>30</v>
      </c>
      <c r="B38" s="337"/>
      <c r="C38" s="338"/>
      <c r="D38" s="339"/>
      <c r="E38" s="340"/>
      <c r="F38" s="340"/>
      <c r="G38" s="341"/>
      <c r="H38" s="359"/>
      <c r="I38" s="360"/>
      <c r="J38" s="344"/>
      <c r="K38" s="345"/>
      <c r="L38" s="339"/>
      <c r="M38" s="346"/>
      <c r="N38" s="344"/>
      <c r="O38" s="345"/>
      <c r="P38" s="339"/>
      <c r="Q38" s="346"/>
      <c r="R38" s="344"/>
      <c r="S38" s="345"/>
      <c r="T38" s="339"/>
      <c r="U38" s="347"/>
      <c r="V38" s="348"/>
      <c r="W38" s="349"/>
      <c r="X38" s="350"/>
      <c r="Y38" s="351"/>
      <c r="Z38" s="352"/>
      <c r="AA38" s="352"/>
      <c r="AB38" s="353">
        <f t="shared" si="0"/>
        <v>0</v>
      </c>
      <c r="AC38" s="354"/>
      <c r="AD38" s="352"/>
      <c r="AE38" s="352"/>
      <c r="AF38" s="353">
        <f t="shared" si="1"/>
        <v>0</v>
      </c>
      <c r="AG38" s="354"/>
      <c r="AH38" s="352"/>
      <c r="AI38" s="352"/>
      <c r="AJ38" s="353">
        <f t="shared" si="2"/>
        <v>0</v>
      </c>
      <c r="AK38" s="354"/>
      <c r="AL38" s="352"/>
      <c r="AM38" s="352"/>
      <c r="AN38" s="353">
        <f t="shared" si="3"/>
        <v>0</v>
      </c>
      <c r="AO38" s="354"/>
      <c r="AP38" s="352"/>
      <c r="AQ38" s="352"/>
      <c r="AR38" s="353">
        <f t="shared" si="4"/>
        <v>0</v>
      </c>
      <c r="AS38" s="354"/>
      <c r="AT38" s="352"/>
      <c r="AU38" s="352"/>
      <c r="AV38" s="353">
        <f t="shared" si="5"/>
        <v>0</v>
      </c>
      <c r="AW38" s="354"/>
      <c r="AX38" s="352"/>
      <c r="AY38" s="352"/>
      <c r="AZ38" s="353">
        <f t="shared" si="6"/>
        <v>0</v>
      </c>
      <c r="BA38" s="354"/>
      <c r="BB38" s="352"/>
      <c r="BC38" s="352"/>
      <c r="BD38" s="353">
        <f t="shared" si="7"/>
        <v>0</v>
      </c>
      <c r="BE38" s="353">
        <f t="shared" si="8"/>
        <v>0</v>
      </c>
      <c r="BF38" s="355"/>
      <c r="BG38" s="361"/>
      <c r="BH38" s="362"/>
    </row>
    <row r="39" spans="1:60" ht="27" customHeight="1">
      <c r="A39" s="336">
        <v>31</v>
      </c>
      <c r="B39" s="337"/>
      <c r="C39" s="338"/>
      <c r="D39" s="339"/>
      <c r="E39" s="340"/>
      <c r="F39" s="340"/>
      <c r="G39" s="341"/>
      <c r="H39" s="359"/>
      <c r="I39" s="360"/>
      <c r="J39" s="344"/>
      <c r="K39" s="345"/>
      <c r="L39" s="339"/>
      <c r="M39" s="346"/>
      <c r="N39" s="344"/>
      <c r="O39" s="345"/>
      <c r="P39" s="339"/>
      <c r="Q39" s="346"/>
      <c r="R39" s="344"/>
      <c r="S39" s="345"/>
      <c r="T39" s="339"/>
      <c r="U39" s="347"/>
      <c r="V39" s="348"/>
      <c r="W39" s="349"/>
      <c r="X39" s="350"/>
      <c r="Y39" s="351"/>
      <c r="Z39" s="352"/>
      <c r="AA39" s="352"/>
      <c r="AB39" s="353">
        <f t="shared" si="0"/>
        <v>0</v>
      </c>
      <c r="AC39" s="354"/>
      <c r="AD39" s="352"/>
      <c r="AE39" s="352"/>
      <c r="AF39" s="353">
        <f t="shared" si="1"/>
        <v>0</v>
      </c>
      <c r="AG39" s="354"/>
      <c r="AH39" s="352"/>
      <c r="AI39" s="352"/>
      <c r="AJ39" s="353">
        <f t="shared" si="2"/>
        <v>0</v>
      </c>
      <c r="AK39" s="354"/>
      <c r="AL39" s="352"/>
      <c r="AM39" s="352"/>
      <c r="AN39" s="353">
        <f t="shared" si="3"/>
        <v>0</v>
      </c>
      <c r="AO39" s="354"/>
      <c r="AP39" s="352"/>
      <c r="AQ39" s="352"/>
      <c r="AR39" s="353">
        <f t="shared" si="4"/>
        <v>0</v>
      </c>
      <c r="AS39" s="354"/>
      <c r="AT39" s="352"/>
      <c r="AU39" s="352"/>
      <c r="AV39" s="353">
        <f t="shared" si="5"/>
        <v>0</v>
      </c>
      <c r="AW39" s="354"/>
      <c r="AX39" s="352"/>
      <c r="AY39" s="352"/>
      <c r="AZ39" s="353">
        <f t="shared" si="6"/>
        <v>0</v>
      </c>
      <c r="BA39" s="354"/>
      <c r="BB39" s="352"/>
      <c r="BC39" s="352"/>
      <c r="BD39" s="353">
        <f t="shared" si="7"/>
        <v>0</v>
      </c>
      <c r="BE39" s="353">
        <f t="shared" si="8"/>
        <v>0</v>
      </c>
      <c r="BF39" s="355"/>
      <c r="BG39" s="361"/>
      <c r="BH39" s="362"/>
    </row>
    <row r="40" spans="1:60" ht="27" customHeight="1">
      <c r="A40" s="336">
        <v>32</v>
      </c>
      <c r="B40" s="337"/>
      <c r="C40" s="338"/>
      <c r="D40" s="339"/>
      <c r="E40" s="340"/>
      <c r="F40" s="340"/>
      <c r="G40" s="341"/>
      <c r="H40" s="359"/>
      <c r="I40" s="360"/>
      <c r="J40" s="344"/>
      <c r="K40" s="345"/>
      <c r="L40" s="339"/>
      <c r="M40" s="346"/>
      <c r="N40" s="344"/>
      <c r="O40" s="345"/>
      <c r="P40" s="339"/>
      <c r="Q40" s="346"/>
      <c r="R40" s="344"/>
      <c r="S40" s="345"/>
      <c r="T40" s="339"/>
      <c r="U40" s="347"/>
      <c r="V40" s="348"/>
      <c r="W40" s="349"/>
      <c r="X40" s="350"/>
      <c r="Y40" s="351"/>
      <c r="Z40" s="352"/>
      <c r="AA40" s="352"/>
      <c r="AB40" s="353">
        <f t="shared" si="0"/>
        <v>0</v>
      </c>
      <c r="AC40" s="354"/>
      <c r="AD40" s="352"/>
      <c r="AE40" s="352"/>
      <c r="AF40" s="353">
        <f t="shared" si="1"/>
        <v>0</v>
      </c>
      <c r="AG40" s="354"/>
      <c r="AH40" s="352"/>
      <c r="AI40" s="352"/>
      <c r="AJ40" s="353">
        <f t="shared" si="2"/>
        <v>0</v>
      </c>
      <c r="AK40" s="354"/>
      <c r="AL40" s="352"/>
      <c r="AM40" s="352"/>
      <c r="AN40" s="353">
        <f t="shared" si="3"/>
        <v>0</v>
      </c>
      <c r="AO40" s="354"/>
      <c r="AP40" s="352"/>
      <c r="AQ40" s="352"/>
      <c r="AR40" s="353">
        <f t="shared" si="4"/>
        <v>0</v>
      </c>
      <c r="AS40" s="354"/>
      <c r="AT40" s="352"/>
      <c r="AU40" s="352"/>
      <c r="AV40" s="353">
        <f t="shared" si="5"/>
        <v>0</v>
      </c>
      <c r="AW40" s="354"/>
      <c r="AX40" s="352"/>
      <c r="AY40" s="352"/>
      <c r="AZ40" s="353">
        <f t="shared" si="6"/>
        <v>0</v>
      </c>
      <c r="BA40" s="354"/>
      <c r="BB40" s="352"/>
      <c r="BC40" s="352"/>
      <c r="BD40" s="353">
        <f t="shared" si="7"/>
        <v>0</v>
      </c>
      <c r="BE40" s="353">
        <f t="shared" si="8"/>
        <v>0</v>
      </c>
      <c r="BF40" s="355"/>
      <c r="BG40" s="361"/>
      <c r="BH40" s="362"/>
    </row>
    <row r="41" spans="1:60" ht="27" customHeight="1">
      <c r="A41" s="336">
        <v>33</v>
      </c>
      <c r="B41" s="337"/>
      <c r="C41" s="338"/>
      <c r="D41" s="339"/>
      <c r="E41" s="340"/>
      <c r="F41" s="340"/>
      <c r="G41" s="341"/>
      <c r="H41" s="359"/>
      <c r="I41" s="360"/>
      <c r="J41" s="344"/>
      <c r="K41" s="345"/>
      <c r="L41" s="339"/>
      <c r="M41" s="346"/>
      <c r="N41" s="344"/>
      <c r="O41" s="345"/>
      <c r="P41" s="339"/>
      <c r="Q41" s="346"/>
      <c r="R41" s="344"/>
      <c r="S41" s="345"/>
      <c r="T41" s="339"/>
      <c r="U41" s="347"/>
      <c r="V41" s="348"/>
      <c r="W41" s="349"/>
      <c r="X41" s="350"/>
      <c r="Y41" s="351"/>
      <c r="Z41" s="352"/>
      <c r="AA41" s="352"/>
      <c r="AB41" s="353">
        <f t="shared" si="0"/>
        <v>0</v>
      </c>
      <c r="AC41" s="354"/>
      <c r="AD41" s="352"/>
      <c r="AE41" s="352"/>
      <c r="AF41" s="353">
        <f t="shared" si="1"/>
        <v>0</v>
      </c>
      <c r="AG41" s="354"/>
      <c r="AH41" s="352"/>
      <c r="AI41" s="352"/>
      <c r="AJ41" s="353">
        <f t="shared" si="2"/>
        <v>0</v>
      </c>
      <c r="AK41" s="354"/>
      <c r="AL41" s="352"/>
      <c r="AM41" s="352"/>
      <c r="AN41" s="353">
        <f t="shared" si="3"/>
        <v>0</v>
      </c>
      <c r="AO41" s="354"/>
      <c r="AP41" s="352"/>
      <c r="AQ41" s="352"/>
      <c r="AR41" s="353">
        <f t="shared" si="4"/>
        <v>0</v>
      </c>
      <c r="AS41" s="354"/>
      <c r="AT41" s="352"/>
      <c r="AU41" s="352"/>
      <c r="AV41" s="353">
        <f t="shared" si="5"/>
        <v>0</v>
      </c>
      <c r="AW41" s="354"/>
      <c r="AX41" s="352"/>
      <c r="AY41" s="352"/>
      <c r="AZ41" s="353">
        <f t="shared" si="6"/>
        <v>0</v>
      </c>
      <c r="BA41" s="354"/>
      <c r="BB41" s="352"/>
      <c r="BC41" s="352"/>
      <c r="BD41" s="353">
        <f t="shared" si="7"/>
        <v>0</v>
      </c>
      <c r="BE41" s="353">
        <f t="shared" si="8"/>
        <v>0</v>
      </c>
      <c r="BF41" s="355"/>
      <c r="BG41" s="361"/>
      <c r="BH41" s="362"/>
    </row>
    <row r="42" spans="1:60" ht="27" customHeight="1">
      <c r="A42" s="336">
        <v>34</v>
      </c>
      <c r="B42" s="337"/>
      <c r="C42" s="338"/>
      <c r="D42" s="339"/>
      <c r="E42" s="340"/>
      <c r="F42" s="340"/>
      <c r="G42" s="341"/>
      <c r="H42" s="359"/>
      <c r="I42" s="360"/>
      <c r="J42" s="344"/>
      <c r="K42" s="345"/>
      <c r="L42" s="339"/>
      <c r="M42" s="346"/>
      <c r="N42" s="344"/>
      <c r="O42" s="345"/>
      <c r="P42" s="339"/>
      <c r="Q42" s="346"/>
      <c r="R42" s="344"/>
      <c r="S42" s="345"/>
      <c r="T42" s="339"/>
      <c r="U42" s="347"/>
      <c r="V42" s="348"/>
      <c r="W42" s="349"/>
      <c r="X42" s="350"/>
      <c r="Y42" s="351"/>
      <c r="Z42" s="352"/>
      <c r="AA42" s="352"/>
      <c r="AB42" s="353">
        <f t="shared" si="0"/>
        <v>0</v>
      </c>
      <c r="AC42" s="354"/>
      <c r="AD42" s="352"/>
      <c r="AE42" s="352"/>
      <c r="AF42" s="353">
        <f t="shared" si="1"/>
        <v>0</v>
      </c>
      <c r="AG42" s="354"/>
      <c r="AH42" s="352"/>
      <c r="AI42" s="352"/>
      <c r="AJ42" s="353">
        <f t="shared" si="2"/>
        <v>0</v>
      </c>
      <c r="AK42" s="354"/>
      <c r="AL42" s="352"/>
      <c r="AM42" s="352"/>
      <c r="AN42" s="353">
        <f t="shared" si="3"/>
        <v>0</v>
      </c>
      <c r="AO42" s="354"/>
      <c r="AP42" s="352"/>
      <c r="AQ42" s="352"/>
      <c r="AR42" s="353">
        <f t="shared" si="4"/>
        <v>0</v>
      </c>
      <c r="AS42" s="354"/>
      <c r="AT42" s="352"/>
      <c r="AU42" s="352"/>
      <c r="AV42" s="353">
        <f t="shared" si="5"/>
        <v>0</v>
      </c>
      <c r="AW42" s="354"/>
      <c r="AX42" s="352"/>
      <c r="AY42" s="352"/>
      <c r="AZ42" s="353">
        <f t="shared" si="6"/>
        <v>0</v>
      </c>
      <c r="BA42" s="354"/>
      <c r="BB42" s="352"/>
      <c r="BC42" s="352"/>
      <c r="BD42" s="353">
        <f t="shared" si="7"/>
        <v>0</v>
      </c>
      <c r="BE42" s="353">
        <f t="shared" si="8"/>
        <v>0</v>
      </c>
      <c r="BF42" s="355"/>
      <c r="BG42" s="361"/>
      <c r="BH42" s="362"/>
    </row>
    <row r="43" spans="1:60" ht="27" customHeight="1">
      <c r="A43" s="336">
        <v>35</v>
      </c>
      <c r="B43" s="337"/>
      <c r="C43" s="338"/>
      <c r="D43" s="339"/>
      <c r="E43" s="340"/>
      <c r="F43" s="340"/>
      <c r="G43" s="341"/>
      <c r="H43" s="359"/>
      <c r="I43" s="360"/>
      <c r="J43" s="344"/>
      <c r="K43" s="345"/>
      <c r="L43" s="339"/>
      <c r="M43" s="346"/>
      <c r="N43" s="344"/>
      <c r="O43" s="345"/>
      <c r="P43" s="339"/>
      <c r="Q43" s="346"/>
      <c r="R43" s="344"/>
      <c r="S43" s="345"/>
      <c r="T43" s="339"/>
      <c r="U43" s="347"/>
      <c r="V43" s="348"/>
      <c r="W43" s="349"/>
      <c r="X43" s="350"/>
      <c r="Y43" s="351"/>
      <c r="Z43" s="352"/>
      <c r="AA43" s="352"/>
      <c r="AB43" s="353">
        <f t="shared" si="0"/>
        <v>0</v>
      </c>
      <c r="AC43" s="354"/>
      <c r="AD43" s="352"/>
      <c r="AE43" s="352"/>
      <c r="AF43" s="353">
        <f t="shared" si="1"/>
        <v>0</v>
      </c>
      <c r="AG43" s="354"/>
      <c r="AH43" s="352"/>
      <c r="AI43" s="352"/>
      <c r="AJ43" s="353">
        <f t="shared" si="2"/>
        <v>0</v>
      </c>
      <c r="AK43" s="354"/>
      <c r="AL43" s="352"/>
      <c r="AM43" s="352"/>
      <c r="AN43" s="353">
        <f t="shared" si="3"/>
        <v>0</v>
      </c>
      <c r="AO43" s="354"/>
      <c r="AP43" s="352"/>
      <c r="AQ43" s="352"/>
      <c r="AR43" s="353">
        <f t="shared" si="4"/>
        <v>0</v>
      </c>
      <c r="AS43" s="354"/>
      <c r="AT43" s="352"/>
      <c r="AU43" s="352"/>
      <c r="AV43" s="353">
        <f t="shared" si="5"/>
        <v>0</v>
      </c>
      <c r="AW43" s="354"/>
      <c r="AX43" s="352"/>
      <c r="AY43" s="352"/>
      <c r="AZ43" s="353">
        <f t="shared" si="6"/>
        <v>0</v>
      </c>
      <c r="BA43" s="354"/>
      <c r="BB43" s="352"/>
      <c r="BC43" s="352"/>
      <c r="BD43" s="353">
        <f t="shared" si="7"/>
        <v>0</v>
      </c>
      <c r="BE43" s="353">
        <f t="shared" si="8"/>
        <v>0</v>
      </c>
      <c r="BF43" s="355"/>
      <c r="BG43" s="361"/>
      <c r="BH43" s="362"/>
    </row>
    <row r="44" spans="1:60" ht="27" customHeight="1">
      <c r="A44" s="336">
        <v>36</v>
      </c>
      <c r="B44" s="337"/>
      <c r="C44" s="338"/>
      <c r="D44" s="339"/>
      <c r="E44" s="340"/>
      <c r="F44" s="340"/>
      <c r="G44" s="341"/>
      <c r="H44" s="359"/>
      <c r="I44" s="360"/>
      <c r="J44" s="344"/>
      <c r="K44" s="345"/>
      <c r="L44" s="339"/>
      <c r="M44" s="346"/>
      <c r="N44" s="344"/>
      <c r="O44" s="345"/>
      <c r="P44" s="339"/>
      <c r="Q44" s="346"/>
      <c r="R44" s="344"/>
      <c r="S44" s="345"/>
      <c r="T44" s="339"/>
      <c r="U44" s="347"/>
      <c r="V44" s="348"/>
      <c r="W44" s="349"/>
      <c r="X44" s="350"/>
      <c r="Y44" s="351"/>
      <c r="Z44" s="352"/>
      <c r="AA44" s="352"/>
      <c r="AB44" s="353">
        <f t="shared" si="0"/>
        <v>0</v>
      </c>
      <c r="AC44" s="354"/>
      <c r="AD44" s="352"/>
      <c r="AE44" s="352"/>
      <c r="AF44" s="353">
        <f t="shared" si="1"/>
        <v>0</v>
      </c>
      <c r="AG44" s="354"/>
      <c r="AH44" s="352"/>
      <c r="AI44" s="352"/>
      <c r="AJ44" s="353">
        <f t="shared" si="2"/>
        <v>0</v>
      </c>
      <c r="AK44" s="354"/>
      <c r="AL44" s="352"/>
      <c r="AM44" s="352"/>
      <c r="AN44" s="353">
        <f t="shared" si="3"/>
        <v>0</v>
      </c>
      <c r="AO44" s="354"/>
      <c r="AP44" s="352"/>
      <c r="AQ44" s="352"/>
      <c r="AR44" s="353">
        <f t="shared" si="4"/>
        <v>0</v>
      </c>
      <c r="AS44" s="354"/>
      <c r="AT44" s="352"/>
      <c r="AU44" s="352"/>
      <c r="AV44" s="353">
        <f t="shared" si="5"/>
        <v>0</v>
      </c>
      <c r="AW44" s="354"/>
      <c r="AX44" s="352"/>
      <c r="AY44" s="352"/>
      <c r="AZ44" s="353">
        <f t="shared" si="6"/>
        <v>0</v>
      </c>
      <c r="BA44" s="354"/>
      <c r="BB44" s="352"/>
      <c r="BC44" s="352"/>
      <c r="BD44" s="353">
        <f t="shared" si="7"/>
        <v>0</v>
      </c>
      <c r="BE44" s="353">
        <f t="shared" si="8"/>
        <v>0</v>
      </c>
      <c r="BF44" s="355"/>
      <c r="BG44" s="361"/>
      <c r="BH44" s="362"/>
    </row>
    <row r="45" spans="1:60" ht="27" customHeight="1">
      <c r="A45" s="336">
        <v>37</v>
      </c>
      <c r="B45" s="337"/>
      <c r="C45" s="338"/>
      <c r="D45" s="339"/>
      <c r="E45" s="340"/>
      <c r="F45" s="340"/>
      <c r="G45" s="341"/>
      <c r="H45" s="359"/>
      <c r="I45" s="360"/>
      <c r="J45" s="344"/>
      <c r="K45" s="345"/>
      <c r="L45" s="339"/>
      <c r="M45" s="346"/>
      <c r="N45" s="344"/>
      <c r="O45" s="345"/>
      <c r="P45" s="339"/>
      <c r="Q45" s="346"/>
      <c r="R45" s="344"/>
      <c r="S45" s="345"/>
      <c r="T45" s="339"/>
      <c r="U45" s="347"/>
      <c r="V45" s="348"/>
      <c r="W45" s="349"/>
      <c r="X45" s="350"/>
      <c r="Y45" s="351"/>
      <c r="Z45" s="352"/>
      <c r="AA45" s="352"/>
      <c r="AB45" s="353">
        <f t="shared" si="0"/>
        <v>0</v>
      </c>
      <c r="AC45" s="354"/>
      <c r="AD45" s="352"/>
      <c r="AE45" s="352"/>
      <c r="AF45" s="353">
        <f t="shared" si="1"/>
        <v>0</v>
      </c>
      <c r="AG45" s="354"/>
      <c r="AH45" s="352"/>
      <c r="AI45" s="352"/>
      <c r="AJ45" s="353">
        <f t="shared" si="2"/>
        <v>0</v>
      </c>
      <c r="AK45" s="354"/>
      <c r="AL45" s="352"/>
      <c r="AM45" s="352"/>
      <c r="AN45" s="353">
        <f t="shared" si="3"/>
        <v>0</v>
      </c>
      <c r="AO45" s="354"/>
      <c r="AP45" s="352"/>
      <c r="AQ45" s="352"/>
      <c r="AR45" s="353">
        <f t="shared" si="4"/>
        <v>0</v>
      </c>
      <c r="AS45" s="354"/>
      <c r="AT45" s="352"/>
      <c r="AU45" s="352"/>
      <c r="AV45" s="353">
        <f t="shared" si="5"/>
        <v>0</v>
      </c>
      <c r="AW45" s="354"/>
      <c r="AX45" s="352"/>
      <c r="AY45" s="352"/>
      <c r="AZ45" s="353">
        <f t="shared" si="6"/>
        <v>0</v>
      </c>
      <c r="BA45" s="354"/>
      <c r="BB45" s="352"/>
      <c r="BC45" s="352"/>
      <c r="BD45" s="353">
        <f t="shared" si="7"/>
        <v>0</v>
      </c>
      <c r="BE45" s="353">
        <f t="shared" si="8"/>
        <v>0</v>
      </c>
      <c r="BF45" s="355"/>
      <c r="BG45" s="361"/>
      <c r="BH45" s="362"/>
    </row>
    <row r="46" spans="1:60" ht="27" customHeight="1">
      <c r="A46" s="336">
        <v>38</v>
      </c>
      <c r="B46" s="337"/>
      <c r="C46" s="338"/>
      <c r="D46" s="339"/>
      <c r="E46" s="340"/>
      <c r="F46" s="340"/>
      <c r="G46" s="341"/>
      <c r="H46" s="359"/>
      <c r="I46" s="360"/>
      <c r="J46" s="344"/>
      <c r="K46" s="345"/>
      <c r="L46" s="339"/>
      <c r="M46" s="346"/>
      <c r="N46" s="344"/>
      <c r="O46" s="345"/>
      <c r="P46" s="339"/>
      <c r="Q46" s="346"/>
      <c r="R46" s="344"/>
      <c r="S46" s="345"/>
      <c r="T46" s="339"/>
      <c r="U46" s="347"/>
      <c r="V46" s="348"/>
      <c r="W46" s="349"/>
      <c r="X46" s="350"/>
      <c r="Y46" s="351"/>
      <c r="Z46" s="352"/>
      <c r="AA46" s="352"/>
      <c r="AB46" s="353">
        <f t="shared" si="0"/>
        <v>0</v>
      </c>
      <c r="AC46" s="354"/>
      <c r="AD46" s="352"/>
      <c r="AE46" s="352"/>
      <c r="AF46" s="353">
        <f t="shared" si="1"/>
        <v>0</v>
      </c>
      <c r="AG46" s="354"/>
      <c r="AH46" s="352"/>
      <c r="AI46" s="352"/>
      <c r="AJ46" s="353">
        <f t="shared" si="2"/>
        <v>0</v>
      </c>
      <c r="AK46" s="354"/>
      <c r="AL46" s="352"/>
      <c r="AM46" s="352"/>
      <c r="AN46" s="353">
        <f t="shared" si="3"/>
        <v>0</v>
      </c>
      <c r="AO46" s="354"/>
      <c r="AP46" s="352"/>
      <c r="AQ46" s="352"/>
      <c r="AR46" s="353">
        <f t="shared" si="4"/>
        <v>0</v>
      </c>
      <c r="AS46" s="354"/>
      <c r="AT46" s="352"/>
      <c r="AU46" s="352"/>
      <c r="AV46" s="353">
        <f t="shared" si="5"/>
        <v>0</v>
      </c>
      <c r="AW46" s="354"/>
      <c r="AX46" s="352"/>
      <c r="AY46" s="352"/>
      <c r="AZ46" s="353">
        <f t="shared" si="6"/>
        <v>0</v>
      </c>
      <c r="BA46" s="354"/>
      <c r="BB46" s="352"/>
      <c r="BC46" s="352"/>
      <c r="BD46" s="353">
        <f t="shared" si="7"/>
        <v>0</v>
      </c>
      <c r="BE46" s="353">
        <f t="shared" si="8"/>
        <v>0</v>
      </c>
      <c r="BF46" s="355"/>
      <c r="BG46" s="361"/>
      <c r="BH46" s="362"/>
    </row>
    <row r="47" spans="1:60" ht="27" customHeight="1">
      <c r="A47" s="336">
        <v>39</v>
      </c>
      <c r="B47" s="337"/>
      <c r="C47" s="338"/>
      <c r="D47" s="339"/>
      <c r="E47" s="340"/>
      <c r="F47" s="340"/>
      <c r="G47" s="341"/>
      <c r="H47" s="359"/>
      <c r="I47" s="360"/>
      <c r="J47" s="344"/>
      <c r="K47" s="345"/>
      <c r="L47" s="339"/>
      <c r="M47" s="346"/>
      <c r="N47" s="344"/>
      <c r="O47" s="345"/>
      <c r="P47" s="339"/>
      <c r="Q47" s="346"/>
      <c r="R47" s="344"/>
      <c r="S47" s="345"/>
      <c r="T47" s="339"/>
      <c r="U47" s="347"/>
      <c r="V47" s="348"/>
      <c r="W47" s="349"/>
      <c r="X47" s="350"/>
      <c r="Y47" s="351"/>
      <c r="Z47" s="352"/>
      <c r="AA47" s="352"/>
      <c r="AB47" s="353">
        <f t="shared" si="0"/>
        <v>0</v>
      </c>
      <c r="AC47" s="354"/>
      <c r="AD47" s="352"/>
      <c r="AE47" s="352"/>
      <c r="AF47" s="353">
        <f t="shared" si="1"/>
        <v>0</v>
      </c>
      <c r="AG47" s="354"/>
      <c r="AH47" s="352"/>
      <c r="AI47" s="352"/>
      <c r="AJ47" s="353">
        <f t="shared" si="2"/>
        <v>0</v>
      </c>
      <c r="AK47" s="354"/>
      <c r="AL47" s="352"/>
      <c r="AM47" s="352"/>
      <c r="AN47" s="353">
        <f t="shared" si="3"/>
        <v>0</v>
      </c>
      <c r="AO47" s="354"/>
      <c r="AP47" s="352"/>
      <c r="AQ47" s="352"/>
      <c r="AR47" s="353">
        <f t="shared" si="4"/>
        <v>0</v>
      </c>
      <c r="AS47" s="354"/>
      <c r="AT47" s="352"/>
      <c r="AU47" s="352"/>
      <c r="AV47" s="353">
        <f t="shared" si="5"/>
        <v>0</v>
      </c>
      <c r="AW47" s="354"/>
      <c r="AX47" s="352"/>
      <c r="AY47" s="352"/>
      <c r="AZ47" s="353">
        <f t="shared" si="6"/>
        <v>0</v>
      </c>
      <c r="BA47" s="354"/>
      <c r="BB47" s="352"/>
      <c r="BC47" s="352"/>
      <c r="BD47" s="353">
        <f t="shared" si="7"/>
        <v>0</v>
      </c>
      <c r="BE47" s="353">
        <f t="shared" si="8"/>
        <v>0</v>
      </c>
      <c r="BF47" s="355"/>
      <c r="BG47" s="361"/>
      <c r="BH47" s="362"/>
    </row>
    <row r="48" spans="1:60" ht="27" customHeight="1">
      <c r="A48" s="336">
        <v>40</v>
      </c>
      <c r="B48" s="337"/>
      <c r="C48" s="338"/>
      <c r="D48" s="339"/>
      <c r="E48" s="340"/>
      <c r="F48" s="340"/>
      <c r="G48" s="341"/>
      <c r="H48" s="359"/>
      <c r="I48" s="360"/>
      <c r="J48" s="344"/>
      <c r="K48" s="345"/>
      <c r="L48" s="339"/>
      <c r="M48" s="346"/>
      <c r="N48" s="344"/>
      <c r="O48" s="345"/>
      <c r="P48" s="339"/>
      <c r="Q48" s="346"/>
      <c r="R48" s="344"/>
      <c r="S48" s="345"/>
      <c r="T48" s="339"/>
      <c r="U48" s="347"/>
      <c r="V48" s="348"/>
      <c r="W48" s="349"/>
      <c r="X48" s="350"/>
      <c r="Y48" s="351"/>
      <c r="Z48" s="352"/>
      <c r="AA48" s="352"/>
      <c r="AB48" s="353">
        <f t="shared" si="0"/>
        <v>0</v>
      </c>
      <c r="AC48" s="354"/>
      <c r="AD48" s="352"/>
      <c r="AE48" s="352"/>
      <c r="AF48" s="353">
        <f t="shared" si="1"/>
        <v>0</v>
      </c>
      <c r="AG48" s="354"/>
      <c r="AH48" s="352"/>
      <c r="AI48" s="352"/>
      <c r="AJ48" s="353">
        <f t="shared" si="2"/>
        <v>0</v>
      </c>
      <c r="AK48" s="354"/>
      <c r="AL48" s="352"/>
      <c r="AM48" s="352"/>
      <c r="AN48" s="353">
        <f t="shared" si="3"/>
        <v>0</v>
      </c>
      <c r="AO48" s="354"/>
      <c r="AP48" s="352"/>
      <c r="AQ48" s="352"/>
      <c r="AR48" s="353">
        <f t="shared" si="4"/>
        <v>0</v>
      </c>
      <c r="AS48" s="354"/>
      <c r="AT48" s="352"/>
      <c r="AU48" s="352"/>
      <c r="AV48" s="353">
        <f t="shared" si="5"/>
        <v>0</v>
      </c>
      <c r="AW48" s="354"/>
      <c r="AX48" s="352"/>
      <c r="AY48" s="352"/>
      <c r="AZ48" s="353">
        <f t="shared" si="6"/>
        <v>0</v>
      </c>
      <c r="BA48" s="354"/>
      <c r="BB48" s="352"/>
      <c r="BC48" s="352"/>
      <c r="BD48" s="353">
        <f t="shared" si="7"/>
        <v>0</v>
      </c>
      <c r="BE48" s="353">
        <f t="shared" si="8"/>
        <v>0</v>
      </c>
      <c r="BF48" s="355"/>
      <c r="BG48" s="361"/>
      <c r="BH48" s="362"/>
    </row>
    <row r="49" spans="1:60" ht="27" customHeight="1">
      <c r="A49" s="336">
        <v>41</v>
      </c>
      <c r="B49" s="337"/>
      <c r="C49" s="338"/>
      <c r="D49" s="339"/>
      <c r="E49" s="340"/>
      <c r="F49" s="340"/>
      <c r="G49" s="341"/>
      <c r="H49" s="359"/>
      <c r="I49" s="360"/>
      <c r="J49" s="344"/>
      <c r="K49" s="345"/>
      <c r="L49" s="339"/>
      <c r="M49" s="346"/>
      <c r="N49" s="344"/>
      <c r="O49" s="345"/>
      <c r="P49" s="339"/>
      <c r="Q49" s="346"/>
      <c r="R49" s="344"/>
      <c r="S49" s="345"/>
      <c r="T49" s="339"/>
      <c r="U49" s="347"/>
      <c r="V49" s="348"/>
      <c r="W49" s="349"/>
      <c r="X49" s="350"/>
      <c r="Y49" s="351"/>
      <c r="Z49" s="352"/>
      <c r="AA49" s="352"/>
      <c r="AB49" s="353">
        <f t="shared" si="0"/>
        <v>0</v>
      </c>
      <c r="AC49" s="354"/>
      <c r="AD49" s="352"/>
      <c r="AE49" s="352"/>
      <c r="AF49" s="353">
        <f t="shared" si="1"/>
        <v>0</v>
      </c>
      <c r="AG49" s="354"/>
      <c r="AH49" s="352"/>
      <c r="AI49" s="352"/>
      <c r="AJ49" s="353">
        <f t="shared" si="2"/>
        <v>0</v>
      </c>
      <c r="AK49" s="354"/>
      <c r="AL49" s="352"/>
      <c r="AM49" s="352"/>
      <c r="AN49" s="353">
        <f t="shared" si="3"/>
        <v>0</v>
      </c>
      <c r="AO49" s="354"/>
      <c r="AP49" s="352"/>
      <c r="AQ49" s="352"/>
      <c r="AR49" s="353">
        <f t="shared" si="4"/>
        <v>0</v>
      </c>
      <c r="AS49" s="354"/>
      <c r="AT49" s="352"/>
      <c r="AU49" s="352"/>
      <c r="AV49" s="353">
        <f t="shared" si="5"/>
        <v>0</v>
      </c>
      <c r="AW49" s="354"/>
      <c r="AX49" s="352"/>
      <c r="AY49" s="352"/>
      <c r="AZ49" s="353">
        <f t="shared" si="6"/>
        <v>0</v>
      </c>
      <c r="BA49" s="354"/>
      <c r="BB49" s="352"/>
      <c r="BC49" s="352"/>
      <c r="BD49" s="353">
        <f t="shared" si="7"/>
        <v>0</v>
      </c>
      <c r="BE49" s="353">
        <f t="shared" si="8"/>
        <v>0</v>
      </c>
      <c r="BF49" s="355"/>
      <c r="BG49" s="361"/>
      <c r="BH49" s="362"/>
    </row>
    <row r="50" spans="1:60" ht="27" customHeight="1">
      <c r="A50" s="336">
        <v>42</v>
      </c>
      <c r="B50" s="337"/>
      <c r="C50" s="338"/>
      <c r="D50" s="339"/>
      <c r="E50" s="340"/>
      <c r="F50" s="340"/>
      <c r="G50" s="341"/>
      <c r="H50" s="359"/>
      <c r="I50" s="360"/>
      <c r="J50" s="344"/>
      <c r="K50" s="345"/>
      <c r="L50" s="339"/>
      <c r="M50" s="346"/>
      <c r="N50" s="344"/>
      <c r="O50" s="345"/>
      <c r="P50" s="339"/>
      <c r="Q50" s="346"/>
      <c r="R50" s="344"/>
      <c r="S50" s="345"/>
      <c r="T50" s="339"/>
      <c r="U50" s="347"/>
      <c r="V50" s="348"/>
      <c r="W50" s="349"/>
      <c r="X50" s="350"/>
      <c r="Y50" s="351"/>
      <c r="Z50" s="352"/>
      <c r="AA50" s="352"/>
      <c r="AB50" s="353">
        <f t="shared" si="0"/>
        <v>0</v>
      </c>
      <c r="AC50" s="354"/>
      <c r="AD50" s="352"/>
      <c r="AE50" s="352"/>
      <c r="AF50" s="353">
        <f t="shared" si="1"/>
        <v>0</v>
      </c>
      <c r="AG50" s="354"/>
      <c r="AH50" s="352"/>
      <c r="AI50" s="352"/>
      <c r="AJ50" s="353">
        <f t="shared" si="2"/>
        <v>0</v>
      </c>
      <c r="AK50" s="354"/>
      <c r="AL50" s="352"/>
      <c r="AM50" s="352"/>
      <c r="AN50" s="353">
        <f t="shared" si="3"/>
        <v>0</v>
      </c>
      <c r="AO50" s="354"/>
      <c r="AP50" s="352"/>
      <c r="AQ50" s="352"/>
      <c r="AR50" s="353">
        <f t="shared" si="4"/>
        <v>0</v>
      </c>
      <c r="AS50" s="354"/>
      <c r="AT50" s="352"/>
      <c r="AU50" s="352"/>
      <c r="AV50" s="353">
        <f t="shared" si="5"/>
        <v>0</v>
      </c>
      <c r="AW50" s="354"/>
      <c r="AX50" s="352"/>
      <c r="AY50" s="352"/>
      <c r="AZ50" s="353">
        <f t="shared" si="6"/>
        <v>0</v>
      </c>
      <c r="BA50" s="354"/>
      <c r="BB50" s="352"/>
      <c r="BC50" s="352"/>
      <c r="BD50" s="353">
        <f t="shared" si="7"/>
        <v>0</v>
      </c>
      <c r="BE50" s="353">
        <f t="shared" si="8"/>
        <v>0</v>
      </c>
      <c r="BF50" s="355"/>
      <c r="BG50" s="361"/>
      <c r="BH50" s="362"/>
    </row>
    <row r="51" spans="1:60" ht="27" customHeight="1">
      <c r="A51" s="336">
        <v>43</v>
      </c>
      <c r="B51" s="337"/>
      <c r="C51" s="338"/>
      <c r="D51" s="339"/>
      <c r="E51" s="340"/>
      <c r="F51" s="340"/>
      <c r="G51" s="341"/>
      <c r="H51" s="359"/>
      <c r="I51" s="360"/>
      <c r="J51" s="344"/>
      <c r="K51" s="345"/>
      <c r="L51" s="339"/>
      <c r="M51" s="346"/>
      <c r="N51" s="344"/>
      <c r="O51" s="345"/>
      <c r="P51" s="339"/>
      <c r="Q51" s="346"/>
      <c r="R51" s="344"/>
      <c r="S51" s="345"/>
      <c r="T51" s="339"/>
      <c r="U51" s="347"/>
      <c r="V51" s="348"/>
      <c r="W51" s="349"/>
      <c r="X51" s="350"/>
      <c r="Y51" s="351"/>
      <c r="Z51" s="352"/>
      <c r="AA51" s="352"/>
      <c r="AB51" s="353">
        <f t="shared" si="0"/>
        <v>0</v>
      </c>
      <c r="AC51" s="354"/>
      <c r="AD51" s="352"/>
      <c r="AE51" s="352"/>
      <c r="AF51" s="353">
        <f t="shared" si="1"/>
        <v>0</v>
      </c>
      <c r="AG51" s="354"/>
      <c r="AH51" s="352"/>
      <c r="AI51" s="352"/>
      <c r="AJ51" s="353">
        <f t="shared" si="2"/>
        <v>0</v>
      </c>
      <c r="AK51" s="354"/>
      <c r="AL51" s="352"/>
      <c r="AM51" s="352"/>
      <c r="AN51" s="353">
        <f t="shared" si="3"/>
        <v>0</v>
      </c>
      <c r="AO51" s="354"/>
      <c r="AP51" s="352"/>
      <c r="AQ51" s="352"/>
      <c r="AR51" s="353">
        <f t="shared" si="4"/>
        <v>0</v>
      </c>
      <c r="AS51" s="354"/>
      <c r="AT51" s="352"/>
      <c r="AU51" s="352"/>
      <c r="AV51" s="353">
        <f t="shared" si="5"/>
        <v>0</v>
      </c>
      <c r="AW51" s="354"/>
      <c r="AX51" s="352"/>
      <c r="AY51" s="352"/>
      <c r="AZ51" s="353">
        <f t="shared" si="6"/>
        <v>0</v>
      </c>
      <c r="BA51" s="354"/>
      <c r="BB51" s="352"/>
      <c r="BC51" s="352"/>
      <c r="BD51" s="353">
        <f t="shared" si="7"/>
        <v>0</v>
      </c>
      <c r="BE51" s="353">
        <f t="shared" si="8"/>
        <v>0</v>
      </c>
      <c r="BF51" s="355"/>
      <c r="BG51" s="361"/>
      <c r="BH51" s="362"/>
    </row>
    <row r="52" spans="1:60" ht="27" customHeight="1">
      <c r="A52" s="336">
        <v>44</v>
      </c>
      <c r="B52" s="337"/>
      <c r="C52" s="338"/>
      <c r="D52" s="339"/>
      <c r="E52" s="340"/>
      <c r="F52" s="340"/>
      <c r="G52" s="341"/>
      <c r="H52" s="359"/>
      <c r="I52" s="360"/>
      <c r="J52" s="344"/>
      <c r="K52" s="345"/>
      <c r="L52" s="339"/>
      <c r="M52" s="346"/>
      <c r="N52" s="344"/>
      <c r="O52" s="345"/>
      <c r="P52" s="339"/>
      <c r="Q52" s="346"/>
      <c r="R52" s="344"/>
      <c r="S52" s="345"/>
      <c r="T52" s="339"/>
      <c r="U52" s="347"/>
      <c r="V52" s="348"/>
      <c r="W52" s="349"/>
      <c r="X52" s="350"/>
      <c r="Y52" s="351"/>
      <c r="Z52" s="352"/>
      <c r="AA52" s="352"/>
      <c r="AB52" s="353">
        <f t="shared" si="0"/>
        <v>0</v>
      </c>
      <c r="AC52" s="354"/>
      <c r="AD52" s="352"/>
      <c r="AE52" s="352"/>
      <c r="AF52" s="353">
        <f t="shared" si="1"/>
        <v>0</v>
      </c>
      <c r="AG52" s="354"/>
      <c r="AH52" s="352"/>
      <c r="AI52" s="352"/>
      <c r="AJ52" s="353">
        <f t="shared" si="2"/>
        <v>0</v>
      </c>
      <c r="AK52" s="354"/>
      <c r="AL52" s="352"/>
      <c r="AM52" s="352"/>
      <c r="AN52" s="353">
        <f t="shared" si="3"/>
        <v>0</v>
      </c>
      <c r="AO52" s="354"/>
      <c r="AP52" s="352"/>
      <c r="AQ52" s="352"/>
      <c r="AR52" s="353">
        <f t="shared" si="4"/>
        <v>0</v>
      </c>
      <c r="AS52" s="354"/>
      <c r="AT52" s="352"/>
      <c r="AU52" s="352"/>
      <c r="AV52" s="353">
        <f t="shared" si="5"/>
        <v>0</v>
      </c>
      <c r="AW52" s="354"/>
      <c r="AX52" s="352"/>
      <c r="AY52" s="352"/>
      <c r="AZ52" s="353">
        <f t="shared" si="6"/>
        <v>0</v>
      </c>
      <c r="BA52" s="354"/>
      <c r="BB52" s="352"/>
      <c r="BC52" s="352"/>
      <c r="BD52" s="353">
        <f t="shared" si="7"/>
        <v>0</v>
      </c>
      <c r="BE52" s="353">
        <f t="shared" si="8"/>
        <v>0</v>
      </c>
      <c r="BF52" s="355"/>
      <c r="BG52" s="361"/>
      <c r="BH52" s="362"/>
    </row>
    <row r="53" spans="1:60" ht="27" customHeight="1">
      <c r="A53" s="336">
        <v>45</v>
      </c>
      <c r="B53" s="337"/>
      <c r="C53" s="338"/>
      <c r="D53" s="339"/>
      <c r="E53" s="340"/>
      <c r="F53" s="340"/>
      <c r="G53" s="341"/>
      <c r="H53" s="359"/>
      <c r="I53" s="360"/>
      <c r="J53" s="344"/>
      <c r="K53" s="345"/>
      <c r="L53" s="339"/>
      <c r="M53" s="346"/>
      <c r="N53" s="344"/>
      <c r="O53" s="345"/>
      <c r="P53" s="339"/>
      <c r="Q53" s="346"/>
      <c r="R53" s="344"/>
      <c r="S53" s="345"/>
      <c r="T53" s="339"/>
      <c r="U53" s="347"/>
      <c r="V53" s="348"/>
      <c r="W53" s="349"/>
      <c r="X53" s="350"/>
      <c r="Y53" s="351"/>
      <c r="Z53" s="352"/>
      <c r="AA53" s="352"/>
      <c r="AB53" s="353">
        <f t="shared" si="0"/>
        <v>0</v>
      </c>
      <c r="AC53" s="354"/>
      <c r="AD53" s="352"/>
      <c r="AE53" s="352"/>
      <c r="AF53" s="353">
        <f t="shared" si="1"/>
        <v>0</v>
      </c>
      <c r="AG53" s="354"/>
      <c r="AH53" s="352"/>
      <c r="AI53" s="352"/>
      <c r="AJ53" s="353">
        <f t="shared" si="2"/>
        <v>0</v>
      </c>
      <c r="AK53" s="354"/>
      <c r="AL53" s="352"/>
      <c r="AM53" s="352"/>
      <c r="AN53" s="353">
        <f t="shared" si="3"/>
        <v>0</v>
      </c>
      <c r="AO53" s="354"/>
      <c r="AP53" s="352"/>
      <c r="AQ53" s="352"/>
      <c r="AR53" s="353">
        <f t="shared" si="4"/>
        <v>0</v>
      </c>
      <c r="AS53" s="354"/>
      <c r="AT53" s="352"/>
      <c r="AU53" s="352"/>
      <c r="AV53" s="353">
        <f t="shared" si="5"/>
        <v>0</v>
      </c>
      <c r="AW53" s="354"/>
      <c r="AX53" s="352"/>
      <c r="AY53" s="352"/>
      <c r="AZ53" s="353">
        <f t="shared" si="6"/>
        <v>0</v>
      </c>
      <c r="BA53" s="354"/>
      <c r="BB53" s="352"/>
      <c r="BC53" s="352"/>
      <c r="BD53" s="353">
        <f t="shared" si="7"/>
        <v>0</v>
      </c>
      <c r="BE53" s="353">
        <f t="shared" si="8"/>
        <v>0</v>
      </c>
      <c r="BF53" s="355"/>
      <c r="BG53" s="361"/>
      <c r="BH53" s="362"/>
    </row>
    <row r="54" spans="1:60" ht="27" customHeight="1">
      <c r="A54" s="336">
        <v>46</v>
      </c>
      <c r="B54" s="337"/>
      <c r="C54" s="338"/>
      <c r="D54" s="339"/>
      <c r="E54" s="340"/>
      <c r="F54" s="340"/>
      <c r="G54" s="341"/>
      <c r="H54" s="359"/>
      <c r="I54" s="360"/>
      <c r="J54" s="344"/>
      <c r="K54" s="345"/>
      <c r="L54" s="339"/>
      <c r="M54" s="346"/>
      <c r="N54" s="344"/>
      <c r="O54" s="345"/>
      <c r="P54" s="339"/>
      <c r="Q54" s="346"/>
      <c r="R54" s="344"/>
      <c r="S54" s="345"/>
      <c r="T54" s="339"/>
      <c r="U54" s="347"/>
      <c r="V54" s="348"/>
      <c r="W54" s="349"/>
      <c r="X54" s="350"/>
      <c r="Y54" s="351"/>
      <c r="Z54" s="352"/>
      <c r="AA54" s="352"/>
      <c r="AB54" s="353">
        <f t="shared" si="0"/>
        <v>0</v>
      </c>
      <c r="AC54" s="354"/>
      <c r="AD54" s="352"/>
      <c r="AE54" s="352"/>
      <c r="AF54" s="353">
        <f t="shared" si="1"/>
        <v>0</v>
      </c>
      <c r="AG54" s="354"/>
      <c r="AH54" s="352"/>
      <c r="AI54" s="352"/>
      <c r="AJ54" s="353">
        <f t="shared" si="2"/>
        <v>0</v>
      </c>
      <c r="AK54" s="354"/>
      <c r="AL54" s="352"/>
      <c r="AM54" s="352"/>
      <c r="AN54" s="353">
        <f t="shared" si="3"/>
        <v>0</v>
      </c>
      <c r="AO54" s="354"/>
      <c r="AP54" s="352"/>
      <c r="AQ54" s="352"/>
      <c r="AR54" s="353">
        <f t="shared" si="4"/>
        <v>0</v>
      </c>
      <c r="AS54" s="354"/>
      <c r="AT54" s="352"/>
      <c r="AU54" s="352"/>
      <c r="AV54" s="353">
        <f t="shared" si="5"/>
        <v>0</v>
      </c>
      <c r="AW54" s="354"/>
      <c r="AX54" s="352"/>
      <c r="AY54" s="352"/>
      <c r="AZ54" s="353">
        <f t="shared" si="6"/>
        <v>0</v>
      </c>
      <c r="BA54" s="354"/>
      <c r="BB54" s="352"/>
      <c r="BC54" s="352"/>
      <c r="BD54" s="353">
        <f t="shared" si="7"/>
        <v>0</v>
      </c>
      <c r="BE54" s="353">
        <f t="shared" si="8"/>
        <v>0</v>
      </c>
      <c r="BF54" s="355"/>
      <c r="BG54" s="361"/>
      <c r="BH54" s="362"/>
    </row>
    <row r="55" spans="1:60" ht="27" customHeight="1">
      <c r="A55" s="336">
        <v>47</v>
      </c>
      <c r="B55" s="337"/>
      <c r="C55" s="338"/>
      <c r="D55" s="339"/>
      <c r="E55" s="340"/>
      <c r="F55" s="340"/>
      <c r="G55" s="341"/>
      <c r="H55" s="359"/>
      <c r="I55" s="360"/>
      <c r="J55" s="344"/>
      <c r="K55" s="345"/>
      <c r="L55" s="339"/>
      <c r="M55" s="346"/>
      <c r="N55" s="344"/>
      <c r="O55" s="345"/>
      <c r="P55" s="339"/>
      <c r="Q55" s="346"/>
      <c r="R55" s="344"/>
      <c r="S55" s="345"/>
      <c r="T55" s="339"/>
      <c r="U55" s="347"/>
      <c r="V55" s="348"/>
      <c r="W55" s="349"/>
      <c r="X55" s="350"/>
      <c r="Y55" s="351"/>
      <c r="Z55" s="352"/>
      <c r="AA55" s="352"/>
      <c r="AB55" s="353">
        <f t="shared" si="0"/>
        <v>0</v>
      </c>
      <c r="AC55" s="354"/>
      <c r="AD55" s="352"/>
      <c r="AE55" s="352"/>
      <c r="AF55" s="353">
        <f t="shared" si="1"/>
        <v>0</v>
      </c>
      <c r="AG55" s="354"/>
      <c r="AH55" s="352"/>
      <c r="AI55" s="352"/>
      <c r="AJ55" s="353">
        <f t="shared" si="2"/>
        <v>0</v>
      </c>
      <c r="AK55" s="354"/>
      <c r="AL55" s="352"/>
      <c r="AM55" s="352"/>
      <c r="AN55" s="353">
        <f t="shared" si="3"/>
        <v>0</v>
      </c>
      <c r="AO55" s="354"/>
      <c r="AP55" s="352"/>
      <c r="AQ55" s="352"/>
      <c r="AR55" s="353">
        <f t="shared" si="4"/>
        <v>0</v>
      </c>
      <c r="AS55" s="354"/>
      <c r="AT55" s="352"/>
      <c r="AU55" s="352"/>
      <c r="AV55" s="353">
        <f t="shared" si="5"/>
        <v>0</v>
      </c>
      <c r="AW55" s="354"/>
      <c r="AX55" s="352"/>
      <c r="AY55" s="352"/>
      <c r="AZ55" s="353">
        <f t="shared" si="6"/>
        <v>0</v>
      </c>
      <c r="BA55" s="354"/>
      <c r="BB55" s="352"/>
      <c r="BC55" s="352"/>
      <c r="BD55" s="353">
        <f t="shared" si="7"/>
        <v>0</v>
      </c>
      <c r="BE55" s="353">
        <f t="shared" si="8"/>
        <v>0</v>
      </c>
      <c r="BF55" s="355"/>
      <c r="BG55" s="361"/>
      <c r="BH55" s="362"/>
    </row>
    <row r="56" spans="1:60" ht="27" customHeight="1">
      <c r="A56" s="336">
        <v>48</v>
      </c>
      <c r="B56" s="337"/>
      <c r="C56" s="338"/>
      <c r="D56" s="339"/>
      <c r="E56" s="340"/>
      <c r="F56" s="340"/>
      <c r="G56" s="341"/>
      <c r="H56" s="359"/>
      <c r="I56" s="360"/>
      <c r="J56" s="344"/>
      <c r="K56" s="345"/>
      <c r="L56" s="339"/>
      <c r="M56" s="346"/>
      <c r="N56" s="344"/>
      <c r="O56" s="345"/>
      <c r="P56" s="339"/>
      <c r="Q56" s="346"/>
      <c r="R56" s="344"/>
      <c r="S56" s="345"/>
      <c r="T56" s="339"/>
      <c r="U56" s="347"/>
      <c r="V56" s="348"/>
      <c r="W56" s="349"/>
      <c r="X56" s="350"/>
      <c r="Y56" s="351"/>
      <c r="Z56" s="352"/>
      <c r="AA56" s="352"/>
      <c r="AB56" s="353">
        <f t="shared" si="0"/>
        <v>0</v>
      </c>
      <c r="AC56" s="354"/>
      <c r="AD56" s="352"/>
      <c r="AE56" s="352"/>
      <c r="AF56" s="353">
        <f t="shared" si="1"/>
        <v>0</v>
      </c>
      <c r="AG56" s="354"/>
      <c r="AH56" s="352"/>
      <c r="AI56" s="352"/>
      <c r="AJ56" s="353">
        <f t="shared" si="2"/>
        <v>0</v>
      </c>
      <c r="AK56" s="354"/>
      <c r="AL56" s="352"/>
      <c r="AM56" s="352"/>
      <c r="AN56" s="353">
        <f t="shared" si="3"/>
        <v>0</v>
      </c>
      <c r="AO56" s="354"/>
      <c r="AP56" s="352"/>
      <c r="AQ56" s="352"/>
      <c r="AR56" s="353">
        <f t="shared" si="4"/>
        <v>0</v>
      </c>
      <c r="AS56" s="354"/>
      <c r="AT56" s="352"/>
      <c r="AU56" s="352"/>
      <c r="AV56" s="353">
        <f t="shared" si="5"/>
        <v>0</v>
      </c>
      <c r="AW56" s="354"/>
      <c r="AX56" s="352"/>
      <c r="AY56" s="352"/>
      <c r="AZ56" s="353">
        <f t="shared" si="6"/>
        <v>0</v>
      </c>
      <c r="BA56" s="354"/>
      <c r="BB56" s="352"/>
      <c r="BC56" s="352"/>
      <c r="BD56" s="353">
        <f t="shared" si="7"/>
        <v>0</v>
      </c>
      <c r="BE56" s="353">
        <f t="shared" si="8"/>
        <v>0</v>
      </c>
      <c r="BF56" s="355"/>
      <c r="BG56" s="361"/>
      <c r="BH56" s="362"/>
    </row>
    <row r="57" spans="1:60" ht="27" customHeight="1">
      <c r="A57" s="336">
        <v>49</v>
      </c>
      <c r="B57" s="337"/>
      <c r="C57" s="338"/>
      <c r="D57" s="339"/>
      <c r="E57" s="340"/>
      <c r="F57" s="340"/>
      <c r="G57" s="341"/>
      <c r="H57" s="359"/>
      <c r="I57" s="360"/>
      <c r="J57" s="344"/>
      <c r="K57" s="345"/>
      <c r="L57" s="339"/>
      <c r="M57" s="346"/>
      <c r="N57" s="344"/>
      <c r="O57" s="345"/>
      <c r="P57" s="339"/>
      <c r="Q57" s="346"/>
      <c r="R57" s="344"/>
      <c r="S57" s="345"/>
      <c r="T57" s="339"/>
      <c r="U57" s="347"/>
      <c r="V57" s="348"/>
      <c r="W57" s="349"/>
      <c r="X57" s="350"/>
      <c r="Y57" s="351"/>
      <c r="Z57" s="352"/>
      <c r="AA57" s="352"/>
      <c r="AB57" s="353">
        <f t="shared" si="0"/>
        <v>0</v>
      </c>
      <c r="AC57" s="354"/>
      <c r="AD57" s="352"/>
      <c r="AE57" s="352"/>
      <c r="AF57" s="353">
        <f t="shared" si="1"/>
        <v>0</v>
      </c>
      <c r="AG57" s="354"/>
      <c r="AH57" s="352"/>
      <c r="AI57" s="352"/>
      <c r="AJ57" s="353">
        <f t="shared" si="2"/>
        <v>0</v>
      </c>
      <c r="AK57" s="354"/>
      <c r="AL57" s="352"/>
      <c r="AM57" s="352"/>
      <c r="AN57" s="353">
        <f t="shared" si="3"/>
        <v>0</v>
      </c>
      <c r="AO57" s="354"/>
      <c r="AP57" s="352"/>
      <c r="AQ57" s="352"/>
      <c r="AR57" s="353">
        <f t="shared" si="4"/>
        <v>0</v>
      </c>
      <c r="AS57" s="354"/>
      <c r="AT57" s="352"/>
      <c r="AU57" s="352"/>
      <c r="AV57" s="353">
        <f t="shared" si="5"/>
        <v>0</v>
      </c>
      <c r="AW57" s="354"/>
      <c r="AX57" s="352"/>
      <c r="AY57" s="352"/>
      <c r="AZ57" s="353">
        <f t="shared" si="6"/>
        <v>0</v>
      </c>
      <c r="BA57" s="354"/>
      <c r="BB57" s="352"/>
      <c r="BC57" s="352"/>
      <c r="BD57" s="353">
        <f t="shared" si="7"/>
        <v>0</v>
      </c>
      <c r="BE57" s="353">
        <f t="shared" si="8"/>
        <v>0</v>
      </c>
      <c r="BF57" s="355"/>
      <c r="BG57" s="361"/>
      <c r="BH57" s="362"/>
    </row>
    <row r="58" spans="1:60" ht="27" customHeight="1">
      <c r="A58" s="336">
        <v>50</v>
      </c>
      <c r="B58" s="337"/>
      <c r="C58" s="338"/>
      <c r="D58" s="339"/>
      <c r="E58" s="340"/>
      <c r="F58" s="340"/>
      <c r="G58" s="341"/>
      <c r="H58" s="359"/>
      <c r="I58" s="360"/>
      <c r="J58" s="344"/>
      <c r="K58" s="345"/>
      <c r="L58" s="339"/>
      <c r="M58" s="346"/>
      <c r="N58" s="344"/>
      <c r="O58" s="345"/>
      <c r="P58" s="339"/>
      <c r="Q58" s="346"/>
      <c r="R58" s="344"/>
      <c r="S58" s="345"/>
      <c r="T58" s="339"/>
      <c r="U58" s="347"/>
      <c r="V58" s="348"/>
      <c r="W58" s="349"/>
      <c r="X58" s="350"/>
      <c r="Y58" s="351"/>
      <c r="Z58" s="352"/>
      <c r="AA58" s="352"/>
      <c r="AB58" s="353">
        <f t="shared" si="0"/>
        <v>0</v>
      </c>
      <c r="AC58" s="354"/>
      <c r="AD58" s="352"/>
      <c r="AE58" s="352"/>
      <c r="AF58" s="353">
        <f t="shared" si="1"/>
        <v>0</v>
      </c>
      <c r="AG58" s="354"/>
      <c r="AH58" s="352"/>
      <c r="AI58" s="352"/>
      <c r="AJ58" s="353">
        <f t="shared" si="2"/>
        <v>0</v>
      </c>
      <c r="AK58" s="354"/>
      <c r="AL58" s="352"/>
      <c r="AM58" s="352"/>
      <c r="AN58" s="353">
        <f t="shared" si="3"/>
        <v>0</v>
      </c>
      <c r="AO58" s="354"/>
      <c r="AP58" s="352"/>
      <c r="AQ58" s="352"/>
      <c r="AR58" s="353">
        <f t="shared" si="4"/>
        <v>0</v>
      </c>
      <c r="AS58" s="354"/>
      <c r="AT58" s="352"/>
      <c r="AU58" s="352"/>
      <c r="AV58" s="353">
        <f t="shared" si="5"/>
        <v>0</v>
      </c>
      <c r="AW58" s="354"/>
      <c r="AX58" s="352"/>
      <c r="AY58" s="352"/>
      <c r="AZ58" s="353">
        <f t="shared" si="6"/>
        <v>0</v>
      </c>
      <c r="BA58" s="354"/>
      <c r="BB58" s="352"/>
      <c r="BC58" s="352"/>
      <c r="BD58" s="353">
        <f t="shared" si="7"/>
        <v>0</v>
      </c>
      <c r="BE58" s="353">
        <f t="shared" si="8"/>
        <v>0</v>
      </c>
      <c r="BF58" s="355"/>
      <c r="BG58" s="361"/>
      <c r="BH58" s="362"/>
    </row>
    <row r="59" spans="1:60" ht="27" customHeight="1">
      <c r="A59" s="336">
        <v>51</v>
      </c>
      <c r="B59" s="337"/>
      <c r="C59" s="338"/>
      <c r="D59" s="339"/>
      <c r="E59" s="340"/>
      <c r="F59" s="340"/>
      <c r="G59" s="341"/>
      <c r="H59" s="359"/>
      <c r="I59" s="360"/>
      <c r="J59" s="344"/>
      <c r="K59" s="345"/>
      <c r="L59" s="339"/>
      <c r="M59" s="346"/>
      <c r="N59" s="344"/>
      <c r="O59" s="345"/>
      <c r="P59" s="339"/>
      <c r="Q59" s="346"/>
      <c r="R59" s="344"/>
      <c r="S59" s="345"/>
      <c r="T59" s="339"/>
      <c r="U59" s="347"/>
      <c r="V59" s="348"/>
      <c r="W59" s="349"/>
      <c r="X59" s="350"/>
      <c r="Y59" s="351"/>
      <c r="Z59" s="352"/>
      <c r="AA59" s="352"/>
      <c r="AB59" s="353">
        <f t="shared" si="0"/>
        <v>0</v>
      </c>
      <c r="AC59" s="354"/>
      <c r="AD59" s="352"/>
      <c r="AE59" s="352"/>
      <c r="AF59" s="353">
        <f t="shared" si="1"/>
        <v>0</v>
      </c>
      <c r="AG59" s="354"/>
      <c r="AH59" s="352"/>
      <c r="AI59" s="352"/>
      <c r="AJ59" s="353">
        <f t="shared" si="2"/>
        <v>0</v>
      </c>
      <c r="AK59" s="354"/>
      <c r="AL59" s="352"/>
      <c r="AM59" s="352"/>
      <c r="AN59" s="353">
        <f t="shared" si="3"/>
        <v>0</v>
      </c>
      <c r="AO59" s="354"/>
      <c r="AP59" s="352"/>
      <c r="AQ59" s="352"/>
      <c r="AR59" s="353">
        <f t="shared" si="4"/>
        <v>0</v>
      </c>
      <c r="AS59" s="354"/>
      <c r="AT59" s="352"/>
      <c r="AU59" s="352"/>
      <c r="AV59" s="353">
        <f t="shared" si="5"/>
        <v>0</v>
      </c>
      <c r="AW59" s="354"/>
      <c r="AX59" s="352"/>
      <c r="AY59" s="352"/>
      <c r="AZ59" s="353">
        <f t="shared" si="6"/>
        <v>0</v>
      </c>
      <c r="BA59" s="354"/>
      <c r="BB59" s="352"/>
      <c r="BC59" s="352"/>
      <c r="BD59" s="353">
        <f t="shared" si="7"/>
        <v>0</v>
      </c>
      <c r="BE59" s="353">
        <f t="shared" si="8"/>
        <v>0</v>
      </c>
      <c r="BF59" s="355"/>
      <c r="BG59" s="361"/>
      <c r="BH59" s="362"/>
    </row>
    <row r="60" spans="1:60" ht="27" customHeight="1">
      <c r="A60" s="336">
        <v>52</v>
      </c>
      <c r="B60" s="337"/>
      <c r="C60" s="338"/>
      <c r="D60" s="339"/>
      <c r="E60" s="340"/>
      <c r="F60" s="340"/>
      <c r="G60" s="341"/>
      <c r="H60" s="359"/>
      <c r="I60" s="360"/>
      <c r="J60" s="344"/>
      <c r="K60" s="345"/>
      <c r="L60" s="339"/>
      <c r="M60" s="346"/>
      <c r="N60" s="344"/>
      <c r="O60" s="345"/>
      <c r="P60" s="339"/>
      <c r="Q60" s="346"/>
      <c r="R60" s="344"/>
      <c r="S60" s="345"/>
      <c r="T60" s="339"/>
      <c r="U60" s="347"/>
      <c r="V60" s="348"/>
      <c r="W60" s="349"/>
      <c r="X60" s="350"/>
      <c r="Y60" s="351"/>
      <c r="Z60" s="352"/>
      <c r="AA60" s="352"/>
      <c r="AB60" s="353">
        <f t="shared" si="0"/>
        <v>0</v>
      </c>
      <c r="AC60" s="354"/>
      <c r="AD60" s="352"/>
      <c r="AE60" s="352"/>
      <c r="AF60" s="353">
        <f t="shared" si="1"/>
        <v>0</v>
      </c>
      <c r="AG60" s="354"/>
      <c r="AH60" s="352"/>
      <c r="AI60" s="352"/>
      <c r="AJ60" s="353">
        <f t="shared" si="2"/>
        <v>0</v>
      </c>
      <c r="AK60" s="354"/>
      <c r="AL60" s="352"/>
      <c r="AM60" s="352"/>
      <c r="AN60" s="353">
        <f t="shared" si="3"/>
        <v>0</v>
      </c>
      <c r="AO60" s="354"/>
      <c r="AP60" s="352"/>
      <c r="AQ60" s="352"/>
      <c r="AR60" s="353">
        <f t="shared" si="4"/>
        <v>0</v>
      </c>
      <c r="AS60" s="354"/>
      <c r="AT60" s="352"/>
      <c r="AU60" s="352"/>
      <c r="AV60" s="353">
        <f t="shared" si="5"/>
        <v>0</v>
      </c>
      <c r="AW60" s="354"/>
      <c r="AX60" s="352"/>
      <c r="AY60" s="352"/>
      <c r="AZ60" s="353">
        <f t="shared" si="6"/>
        <v>0</v>
      </c>
      <c r="BA60" s="354"/>
      <c r="BB60" s="352"/>
      <c r="BC60" s="352"/>
      <c r="BD60" s="353">
        <f t="shared" si="7"/>
        <v>0</v>
      </c>
      <c r="BE60" s="353">
        <f t="shared" si="8"/>
        <v>0</v>
      </c>
      <c r="BF60" s="355"/>
      <c r="BG60" s="361"/>
      <c r="BH60" s="362"/>
    </row>
    <row r="61" spans="1:60" ht="27" customHeight="1">
      <c r="A61" s="336">
        <v>53</v>
      </c>
      <c r="B61" s="337"/>
      <c r="C61" s="338"/>
      <c r="D61" s="339"/>
      <c r="E61" s="340"/>
      <c r="F61" s="340"/>
      <c r="G61" s="341"/>
      <c r="H61" s="359"/>
      <c r="I61" s="360"/>
      <c r="J61" s="344"/>
      <c r="K61" s="345"/>
      <c r="L61" s="339"/>
      <c r="M61" s="346"/>
      <c r="N61" s="344"/>
      <c r="O61" s="345"/>
      <c r="P61" s="339"/>
      <c r="Q61" s="346"/>
      <c r="R61" s="344"/>
      <c r="S61" s="345"/>
      <c r="T61" s="339"/>
      <c r="U61" s="347"/>
      <c r="V61" s="348"/>
      <c r="W61" s="349"/>
      <c r="X61" s="350"/>
      <c r="Y61" s="351"/>
      <c r="Z61" s="352"/>
      <c r="AA61" s="352"/>
      <c r="AB61" s="353">
        <f t="shared" si="0"/>
        <v>0</v>
      </c>
      <c r="AC61" s="354"/>
      <c r="AD61" s="352"/>
      <c r="AE61" s="352"/>
      <c r="AF61" s="353">
        <f t="shared" si="1"/>
        <v>0</v>
      </c>
      <c r="AG61" s="354"/>
      <c r="AH61" s="352"/>
      <c r="AI61" s="352"/>
      <c r="AJ61" s="353">
        <f t="shared" si="2"/>
        <v>0</v>
      </c>
      <c r="AK61" s="354"/>
      <c r="AL61" s="352"/>
      <c r="AM61" s="352"/>
      <c r="AN61" s="353">
        <f t="shared" si="3"/>
        <v>0</v>
      </c>
      <c r="AO61" s="354"/>
      <c r="AP61" s="352"/>
      <c r="AQ61" s="352"/>
      <c r="AR61" s="353">
        <f t="shared" si="4"/>
        <v>0</v>
      </c>
      <c r="AS61" s="354"/>
      <c r="AT61" s="352"/>
      <c r="AU61" s="352"/>
      <c r="AV61" s="353">
        <f t="shared" si="5"/>
        <v>0</v>
      </c>
      <c r="AW61" s="354"/>
      <c r="AX61" s="352"/>
      <c r="AY61" s="352"/>
      <c r="AZ61" s="353">
        <f t="shared" si="6"/>
        <v>0</v>
      </c>
      <c r="BA61" s="354"/>
      <c r="BB61" s="352"/>
      <c r="BC61" s="352"/>
      <c r="BD61" s="353">
        <f t="shared" si="7"/>
        <v>0</v>
      </c>
      <c r="BE61" s="353">
        <f t="shared" si="8"/>
        <v>0</v>
      </c>
      <c r="BF61" s="355"/>
      <c r="BG61" s="361"/>
      <c r="BH61" s="362"/>
    </row>
    <row r="62" spans="1:60" ht="27" customHeight="1">
      <c r="A62" s="336">
        <v>54</v>
      </c>
      <c r="B62" s="337"/>
      <c r="C62" s="338"/>
      <c r="D62" s="339"/>
      <c r="E62" s="340"/>
      <c r="F62" s="340"/>
      <c r="G62" s="341"/>
      <c r="H62" s="359"/>
      <c r="I62" s="360"/>
      <c r="J62" s="344"/>
      <c r="K62" s="345"/>
      <c r="L62" s="339"/>
      <c r="M62" s="346"/>
      <c r="N62" s="344"/>
      <c r="O62" s="345"/>
      <c r="P62" s="339"/>
      <c r="Q62" s="346"/>
      <c r="R62" s="344"/>
      <c r="S62" s="345"/>
      <c r="T62" s="339"/>
      <c r="U62" s="347"/>
      <c r="V62" s="348"/>
      <c r="W62" s="349"/>
      <c r="X62" s="350"/>
      <c r="Y62" s="351"/>
      <c r="Z62" s="352"/>
      <c r="AA62" s="352"/>
      <c r="AB62" s="353">
        <f t="shared" si="0"/>
        <v>0</v>
      </c>
      <c r="AC62" s="354"/>
      <c r="AD62" s="352"/>
      <c r="AE62" s="352"/>
      <c r="AF62" s="353">
        <f t="shared" si="1"/>
        <v>0</v>
      </c>
      <c r="AG62" s="354"/>
      <c r="AH62" s="352"/>
      <c r="AI62" s="352"/>
      <c r="AJ62" s="353">
        <f t="shared" si="2"/>
        <v>0</v>
      </c>
      <c r="AK62" s="354"/>
      <c r="AL62" s="352"/>
      <c r="AM62" s="352"/>
      <c r="AN62" s="353">
        <f t="shared" si="3"/>
        <v>0</v>
      </c>
      <c r="AO62" s="354"/>
      <c r="AP62" s="352"/>
      <c r="AQ62" s="352"/>
      <c r="AR62" s="353">
        <f t="shared" si="4"/>
        <v>0</v>
      </c>
      <c r="AS62" s="354"/>
      <c r="AT62" s="352"/>
      <c r="AU62" s="352"/>
      <c r="AV62" s="353">
        <f t="shared" si="5"/>
        <v>0</v>
      </c>
      <c r="AW62" s="354"/>
      <c r="AX62" s="352"/>
      <c r="AY62" s="352"/>
      <c r="AZ62" s="353">
        <f t="shared" si="6"/>
        <v>0</v>
      </c>
      <c r="BA62" s="354"/>
      <c r="BB62" s="352"/>
      <c r="BC62" s="352"/>
      <c r="BD62" s="353">
        <f t="shared" si="7"/>
        <v>0</v>
      </c>
      <c r="BE62" s="353">
        <f t="shared" si="8"/>
        <v>0</v>
      </c>
      <c r="BF62" s="355"/>
      <c r="BG62" s="361"/>
      <c r="BH62" s="362"/>
    </row>
    <row r="63" spans="1:60" ht="27" customHeight="1">
      <c r="A63" s="336">
        <v>55</v>
      </c>
      <c r="B63" s="337"/>
      <c r="C63" s="338"/>
      <c r="D63" s="339"/>
      <c r="E63" s="340"/>
      <c r="F63" s="340"/>
      <c r="G63" s="341"/>
      <c r="H63" s="359"/>
      <c r="I63" s="360"/>
      <c r="J63" s="344"/>
      <c r="K63" s="345"/>
      <c r="L63" s="339"/>
      <c r="M63" s="346"/>
      <c r="N63" s="344"/>
      <c r="O63" s="345"/>
      <c r="P63" s="339"/>
      <c r="Q63" s="346"/>
      <c r="R63" s="344"/>
      <c r="S63" s="345"/>
      <c r="T63" s="339"/>
      <c r="U63" s="347"/>
      <c r="V63" s="348"/>
      <c r="W63" s="349"/>
      <c r="X63" s="350"/>
      <c r="Y63" s="351"/>
      <c r="Z63" s="352"/>
      <c r="AA63" s="352"/>
      <c r="AB63" s="353">
        <f t="shared" si="0"/>
        <v>0</v>
      </c>
      <c r="AC63" s="354"/>
      <c r="AD63" s="352"/>
      <c r="AE63" s="352"/>
      <c r="AF63" s="353">
        <f t="shared" si="1"/>
        <v>0</v>
      </c>
      <c r="AG63" s="354"/>
      <c r="AH63" s="352"/>
      <c r="AI63" s="352"/>
      <c r="AJ63" s="353">
        <f t="shared" si="2"/>
        <v>0</v>
      </c>
      <c r="AK63" s="354"/>
      <c r="AL63" s="352"/>
      <c r="AM63" s="352"/>
      <c r="AN63" s="353">
        <f t="shared" si="3"/>
        <v>0</v>
      </c>
      <c r="AO63" s="354"/>
      <c r="AP63" s="352"/>
      <c r="AQ63" s="352"/>
      <c r="AR63" s="353">
        <f t="shared" si="4"/>
        <v>0</v>
      </c>
      <c r="AS63" s="354"/>
      <c r="AT63" s="352"/>
      <c r="AU63" s="352"/>
      <c r="AV63" s="353">
        <f t="shared" si="5"/>
        <v>0</v>
      </c>
      <c r="AW63" s="354"/>
      <c r="AX63" s="352"/>
      <c r="AY63" s="352"/>
      <c r="AZ63" s="353">
        <f t="shared" si="6"/>
        <v>0</v>
      </c>
      <c r="BA63" s="354"/>
      <c r="BB63" s="352"/>
      <c r="BC63" s="352"/>
      <c r="BD63" s="353">
        <f t="shared" si="7"/>
        <v>0</v>
      </c>
      <c r="BE63" s="353">
        <f t="shared" si="8"/>
        <v>0</v>
      </c>
      <c r="BF63" s="355"/>
      <c r="BG63" s="361"/>
      <c r="BH63" s="362"/>
    </row>
    <row r="64" spans="1:60" ht="27" customHeight="1">
      <c r="A64" s="336">
        <v>56</v>
      </c>
      <c r="B64" s="337"/>
      <c r="C64" s="338"/>
      <c r="D64" s="339"/>
      <c r="E64" s="340"/>
      <c r="F64" s="340"/>
      <c r="G64" s="341"/>
      <c r="H64" s="359"/>
      <c r="I64" s="360"/>
      <c r="J64" s="344"/>
      <c r="K64" s="345"/>
      <c r="L64" s="339"/>
      <c r="M64" s="346"/>
      <c r="N64" s="344"/>
      <c r="O64" s="345"/>
      <c r="P64" s="339"/>
      <c r="Q64" s="346"/>
      <c r="R64" s="344"/>
      <c r="S64" s="345"/>
      <c r="T64" s="339"/>
      <c r="U64" s="347"/>
      <c r="V64" s="348"/>
      <c r="W64" s="349"/>
      <c r="X64" s="350"/>
      <c r="Y64" s="351"/>
      <c r="Z64" s="352"/>
      <c r="AA64" s="352"/>
      <c r="AB64" s="353">
        <f t="shared" si="0"/>
        <v>0</v>
      </c>
      <c r="AC64" s="354"/>
      <c r="AD64" s="352"/>
      <c r="AE64" s="352"/>
      <c r="AF64" s="353">
        <f t="shared" si="1"/>
        <v>0</v>
      </c>
      <c r="AG64" s="354"/>
      <c r="AH64" s="352"/>
      <c r="AI64" s="352"/>
      <c r="AJ64" s="353">
        <f t="shared" si="2"/>
        <v>0</v>
      </c>
      <c r="AK64" s="354"/>
      <c r="AL64" s="352"/>
      <c r="AM64" s="352"/>
      <c r="AN64" s="353">
        <f t="shared" si="3"/>
        <v>0</v>
      </c>
      <c r="AO64" s="354"/>
      <c r="AP64" s="352"/>
      <c r="AQ64" s="352"/>
      <c r="AR64" s="353">
        <f t="shared" si="4"/>
        <v>0</v>
      </c>
      <c r="AS64" s="354"/>
      <c r="AT64" s="352"/>
      <c r="AU64" s="352"/>
      <c r="AV64" s="353">
        <f t="shared" si="5"/>
        <v>0</v>
      </c>
      <c r="AW64" s="354"/>
      <c r="AX64" s="352"/>
      <c r="AY64" s="352"/>
      <c r="AZ64" s="353">
        <f t="shared" si="6"/>
        <v>0</v>
      </c>
      <c r="BA64" s="354"/>
      <c r="BB64" s="352"/>
      <c r="BC64" s="352"/>
      <c r="BD64" s="353">
        <f t="shared" si="7"/>
        <v>0</v>
      </c>
      <c r="BE64" s="353">
        <f t="shared" si="8"/>
        <v>0</v>
      </c>
      <c r="BF64" s="355"/>
      <c r="BG64" s="361"/>
      <c r="BH64" s="362"/>
    </row>
    <row r="65" spans="1:60" ht="27" customHeight="1">
      <c r="A65" s="336">
        <v>57</v>
      </c>
      <c r="B65" s="337"/>
      <c r="C65" s="338"/>
      <c r="D65" s="339"/>
      <c r="E65" s="340"/>
      <c r="F65" s="340"/>
      <c r="G65" s="341"/>
      <c r="H65" s="359"/>
      <c r="I65" s="360"/>
      <c r="J65" s="344"/>
      <c r="K65" s="345"/>
      <c r="L65" s="339"/>
      <c r="M65" s="346"/>
      <c r="N65" s="344"/>
      <c r="O65" s="345"/>
      <c r="P65" s="339"/>
      <c r="Q65" s="346"/>
      <c r="R65" s="344"/>
      <c r="S65" s="345"/>
      <c r="T65" s="339"/>
      <c r="U65" s="347"/>
      <c r="V65" s="348"/>
      <c r="W65" s="349"/>
      <c r="X65" s="350"/>
      <c r="Y65" s="351"/>
      <c r="Z65" s="352"/>
      <c r="AA65" s="352"/>
      <c r="AB65" s="353">
        <f t="shared" si="0"/>
        <v>0</v>
      </c>
      <c r="AC65" s="354"/>
      <c r="AD65" s="352"/>
      <c r="AE65" s="352"/>
      <c r="AF65" s="353">
        <f t="shared" si="1"/>
        <v>0</v>
      </c>
      <c r="AG65" s="354"/>
      <c r="AH65" s="352"/>
      <c r="AI65" s="352"/>
      <c r="AJ65" s="353">
        <f t="shared" si="2"/>
        <v>0</v>
      </c>
      <c r="AK65" s="354"/>
      <c r="AL65" s="352"/>
      <c r="AM65" s="352"/>
      <c r="AN65" s="353">
        <f t="shared" si="3"/>
        <v>0</v>
      </c>
      <c r="AO65" s="354"/>
      <c r="AP65" s="352"/>
      <c r="AQ65" s="352"/>
      <c r="AR65" s="353">
        <f t="shared" si="4"/>
        <v>0</v>
      </c>
      <c r="AS65" s="354"/>
      <c r="AT65" s="352"/>
      <c r="AU65" s="352"/>
      <c r="AV65" s="353">
        <f t="shared" si="5"/>
        <v>0</v>
      </c>
      <c r="AW65" s="354"/>
      <c r="AX65" s="352"/>
      <c r="AY65" s="352"/>
      <c r="AZ65" s="353">
        <f t="shared" si="6"/>
        <v>0</v>
      </c>
      <c r="BA65" s="354"/>
      <c r="BB65" s="352"/>
      <c r="BC65" s="352"/>
      <c r="BD65" s="353">
        <f t="shared" si="7"/>
        <v>0</v>
      </c>
      <c r="BE65" s="353">
        <f t="shared" si="8"/>
        <v>0</v>
      </c>
      <c r="BF65" s="355"/>
      <c r="BG65" s="361"/>
      <c r="BH65" s="362"/>
    </row>
    <row r="66" spans="1:60" ht="27" customHeight="1">
      <c r="A66" s="336">
        <v>58</v>
      </c>
      <c r="B66" s="337"/>
      <c r="C66" s="338"/>
      <c r="D66" s="339"/>
      <c r="E66" s="340"/>
      <c r="F66" s="340"/>
      <c r="G66" s="341"/>
      <c r="H66" s="359"/>
      <c r="I66" s="360"/>
      <c r="J66" s="344"/>
      <c r="K66" s="345"/>
      <c r="L66" s="339"/>
      <c r="M66" s="346"/>
      <c r="N66" s="344"/>
      <c r="O66" s="345"/>
      <c r="P66" s="339"/>
      <c r="Q66" s="346"/>
      <c r="R66" s="344"/>
      <c r="S66" s="345"/>
      <c r="T66" s="339"/>
      <c r="U66" s="347"/>
      <c r="V66" s="348"/>
      <c r="W66" s="349"/>
      <c r="X66" s="350"/>
      <c r="Y66" s="351"/>
      <c r="Z66" s="352"/>
      <c r="AA66" s="352"/>
      <c r="AB66" s="353">
        <f t="shared" si="0"/>
        <v>0</v>
      </c>
      <c r="AC66" s="354"/>
      <c r="AD66" s="352"/>
      <c r="AE66" s="352"/>
      <c r="AF66" s="353">
        <f t="shared" si="1"/>
        <v>0</v>
      </c>
      <c r="AG66" s="354"/>
      <c r="AH66" s="352"/>
      <c r="AI66" s="352"/>
      <c r="AJ66" s="353">
        <f t="shared" si="2"/>
        <v>0</v>
      </c>
      <c r="AK66" s="354"/>
      <c r="AL66" s="352"/>
      <c r="AM66" s="352"/>
      <c r="AN66" s="353">
        <f t="shared" si="3"/>
        <v>0</v>
      </c>
      <c r="AO66" s="354"/>
      <c r="AP66" s="352"/>
      <c r="AQ66" s="352"/>
      <c r="AR66" s="353">
        <f t="shared" si="4"/>
        <v>0</v>
      </c>
      <c r="AS66" s="354"/>
      <c r="AT66" s="352"/>
      <c r="AU66" s="352"/>
      <c r="AV66" s="353">
        <f t="shared" si="5"/>
        <v>0</v>
      </c>
      <c r="AW66" s="354"/>
      <c r="AX66" s="352"/>
      <c r="AY66" s="352"/>
      <c r="AZ66" s="353">
        <f t="shared" si="6"/>
        <v>0</v>
      </c>
      <c r="BA66" s="354"/>
      <c r="BB66" s="352"/>
      <c r="BC66" s="352"/>
      <c r="BD66" s="353">
        <f t="shared" si="7"/>
        <v>0</v>
      </c>
      <c r="BE66" s="353">
        <f t="shared" si="8"/>
        <v>0</v>
      </c>
      <c r="BF66" s="355"/>
      <c r="BG66" s="361"/>
      <c r="BH66" s="362"/>
    </row>
    <row r="67" spans="1:60" ht="27" customHeight="1">
      <c r="A67" s="336">
        <v>59</v>
      </c>
      <c r="B67" s="337"/>
      <c r="C67" s="338"/>
      <c r="D67" s="339"/>
      <c r="E67" s="340"/>
      <c r="F67" s="340"/>
      <c r="G67" s="341"/>
      <c r="H67" s="359"/>
      <c r="I67" s="360"/>
      <c r="J67" s="344"/>
      <c r="K67" s="345"/>
      <c r="L67" s="339"/>
      <c r="M67" s="346"/>
      <c r="N67" s="344"/>
      <c r="O67" s="345"/>
      <c r="P67" s="339"/>
      <c r="Q67" s="346"/>
      <c r="R67" s="344"/>
      <c r="S67" s="345"/>
      <c r="T67" s="339"/>
      <c r="U67" s="347"/>
      <c r="V67" s="348"/>
      <c r="W67" s="349"/>
      <c r="X67" s="350"/>
      <c r="Y67" s="351"/>
      <c r="Z67" s="352"/>
      <c r="AA67" s="352"/>
      <c r="AB67" s="353">
        <f t="shared" si="0"/>
        <v>0</v>
      </c>
      <c r="AC67" s="354"/>
      <c r="AD67" s="352"/>
      <c r="AE67" s="352"/>
      <c r="AF67" s="353">
        <f t="shared" si="1"/>
        <v>0</v>
      </c>
      <c r="AG67" s="354"/>
      <c r="AH67" s="352"/>
      <c r="AI67" s="352"/>
      <c r="AJ67" s="353">
        <f t="shared" si="2"/>
        <v>0</v>
      </c>
      <c r="AK67" s="354"/>
      <c r="AL67" s="352"/>
      <c r="AM67" s="352"/>
      <c r="AN67" s="353">
        <f t="shared" si="3"/>
        <v>0</v>
      </c>
      <c r="AO67" s="354"/>
      <c r="AP67" s="352"/>
      <c r="AQ67" s="352"/>
      <c r="AR67" s="353">
        <f t="shared" si="4"/>
        <v>0</v>
      </c>
      <c r="AS67" s="354"/>
      <c r="AT67" s="352"/>
      <c r="AU67" s="352"/>
      <c r="AV67" s="353">
        <f t="shared" si="5"/>
        <v>0</v>
      </c>
      <c r="AW67" s="354"/>
      <c r="AX67" s="352"/>
      <c r="AY67" s="352"/>
      <c r="AZ67" s="353">
        <f t="shared" si="6"/>
        <v>0</v>
      </c>
      <c r="BA67" s="354"/>
      <c r="BB67" s="352"/>
      <c r="BC67" s="352"/>
      <c r="BD67" s="353">
        <f t="shared" si="7"/>
        <v>0</v>
      </c>
      <c r="BE67" s="353">
        <f t="shared" si="8"/>
        <v>0</v>
      </c>
      <c r="BF67" s="355"/>
      <c r="BG67" s="361"/>
      <c r="BH67" s="362"/>
    </row>
    <row r="68" spans="1:60" ht="27" customHeight="1">
      <c r="A68" s="336">
        <v>60</v>
      </c>
      <c r="B68" s="337"/>
      <c r="C68" s="338"/>
      <c r="D68" s="339"/>
      <c r="E68" s="340"/>
      <c r="F68" s="340"/>
      <c r="G68" s="341"/>
      <c r="H68" s="359"/>
      <c r="I68" s="360"/>
      <c r="J68" s="344"/>
      <c r="K68" s="345"/>
      <c r="L68" s="339"/>
      <c r="M68" s="346"/>
      <c r="N68" s="344"/>
      <c r="O68" s="345"/>
      <c r="P68" s="339"/>
      <c r="Q68" s="346"/>
      <c r="R68" s="344"/>
      <c r="S68" s="345"/>
      <c r="T68" s="339"/>
      <c r="U68" s="347"/>
      <c r="V68" s="348"/>
      <c r="W68" s="349"/>
      <c r="X68" s="350"/>
      <c r="Y68" s="351"/>
      <c r="Z68" s="352"/>
      <c r="AA68" s="352"/>
      <c r="AB68" s="353">
        <f t="shared" si="0"/>
        <v>0</v>
      </c>
      <c r="AC68" s="354"/>
      <c r="AD68" s="352"/>
      <c r="AE68" s="352"/>
      <c r="AF68" s="353">
        <f t="shared" si="1"/>
        <v>0</v>
      </c>
      <c r="AG68" s="354"/>
      <c r="AH68" s="352"/>
      <c r="AI68" s="352"/>
      <c r="AJ68" s="353">
        <f t="shared" si="2"/>
        <v>0</v>
      </c>
      <c r="AK68" s="354"/>
      <c r="AL68" s="352"/>
      <c r="AM68" s="352"/>
      <c r="AN68" s="353">
        <f t="shared" si="3"/>
        <v>0</v>
      </c>
      <c r="AO68" s="354"/>
      <c r="AP68" s="352"/>
      <c r="AQ68" s="352"/>
      <c r="AR68" s="353">
        <f t="shared" si="4"/>
        <v>0</v>
      </c>
      <c r="AS68" s="354"/>
      <c r="AT68" s="352"/>
      <c r="AU68" s="352"/>
      <c r="AV68" s="353">
        <f t="shared" si="5"/>
        <v>0</v>
      </c>
      <c r="AW68" s="354"/>
      <c r="AX68" s="352"/>
      <c r="AY68" s="352"/>
      <c r="AZ68" s="353">
        <f t="shared" si="6"/>
        <v>0</v>
      </c>
      <c r="BA68" s="354"/>
      <c r="BB68" s="352"/>
      <c r="BC68" s="352"/>
      <c r="BD68" s="353">
        <f t="shared" si="7"/>
        <v>0</v>
      </c>
      <c r="BE68" s="353">
        <f t="shared" si="8"/>
        <v>0</v>
      </c>
      <c r="BF68" s="355"/>
      <c r="BG68" s="361"/>
      <c r="BH68" s="362"/>
    </row>
    <row r="69" spans="1:60" ht="27" customHeight="1">
      <c r="A69" s="336">
        <v>61</v>
      </c>
      <c r="B69" s="337"/>
      <c r="C69" s="338"/>
      <c r="D69" s="339"/>
      <c r="E69" s="340"/>
      <c r="F69" s="340"/>
      <c r="G69" s="341"/>
      <c r="H69" s="359"/>
      <c r="I69" s="360"/>
      <c r="J69" s="344"/>
      <c r="K69" s="345"/>
      <c r="L69" s="339"/>
      <c r="M69" s="346"/>
      <c r="N69" s="344"/>
      <c r="O69" s="345"/>
      <c r="P69" s="339"/>
      <c r="Q69" s="346"/>
      <c r="R69" s="344"/>
      <c r="S69" s="345"/>
      <c r="T69" s="339"/>
      <c r="U69" s="347"/>
      <c r="V69" s="348"/>
      <c r="W69" s="349"/>
      <c r="X69" s="350"/>
      <c r="Y69" s="351"/>
      <c r="Z69" s="352"/>
      <c r="AA69" s="352"/>
      <c r="AB69" s="353">
        <f t="shared" si="0"/>
        <v>0</v>
      </c>
      <c r="AC69" s="354"/>
      <c r="AD69" s="352"/>
      <c r="AE69" s="352"/>
      <c r="AF69" s="353">
        <f t="shared" si="1"/>
        <v>0</v>
      </c>
      <c r="AG69" s="354"/>
      <c r="AH69" s="352"/>
      <c r="AI69" s="352"/>
      <c r="AJ69" s="353">
        <f t="shared" si="2"/>
        <v>0</v>
      </c>
      <c r="AK69" s="354"/>
      <c r="AL69" s="352"/>
      <c r="AM69" s="352"/>
      <c r="AN69" s="353">
        <f t="shared" si="3"/>
        <v>0</v>
      </c>
      <c r="AO69" s="354"/>
      <c r="AP69" s="352"/>
      <c r="AQ69" s="352"/>
      <c r="AR69" s="353">
        <f t="shared" si="4"/>
        <v>0</v>
      </c>
      <c r="AS69" s="354"/>
      <c r="AT69" s="352"/>
      <c r="AU69" s="352"/>
      <c r="AV69" s="353">
        <f t="shared" si="5"/>
        <v>0</v>
      </c>
      <c r="AW69" s="354"/>
      <c r="AX69" s="352"/>
      <c r="AY69" s="352"/>
      <c r="AZ69" s="353">
        <f t="shared" si="6"/>
        <v>0</v>
      </c>
      <c r="BA69" s="354"/>
      <c r="BB69" s="352"/>
      <c r="BC69" s="352"/>
      <c r="BD69" s="353">
        <f t="shared" si="7"/>
        <v>0</v>
      </c>
      <c r="BE69" s="353">
        <f t="shared" si="8"/>
        <v>0</v>
      </c>
      <c r="BF69" s="355"/>
      <c r="BG69" s="361"/>
      <c r="BH69" s="362"/>
    </row>
    <row r="70" spans="1:60" ht="27" customHeight="1">
      <c r="A70" s="336">
        <v>62</v>
      </c>
      <c r="B70" s="337"/>
      <c r="C70" s="338"/>
      <c r="D70" s="339"/>
      <c r="E70" s="340"/>
      <c r="F70" s="340"/>
      <c r="G70" s="341"/>
      <c r="H70" s="359"/>
      <c r="I70" s="360"/>
      <c r="J70" s="344"/>
      <c r="K70" s="345"/>
      <c r="L70" s="339"/>
      <c r="M70" s="346"/>
      <c r="N70" s="344"/>
      <c r="O70" s="345"/>
      <c r="P70" s="339"/>
      <c r="Q70" s="346"/>
      <c r="R70" s="344"/>
      <c r="S70" s="345"/>
      <c r="T70" s="339"/>
      <c r="U70" s="347"/>
      <c r="V70" s="348"/>
      <c r="W70" s="349"/>
      <c r="X70" s="350"/>
      <c r="Y70" s="351"/>
      <c r="Z70" s="352"/>
      <c r="AA70" s="352"/>
      <c r="AB70" s="353">
        <f t="shared" si="0"/>
        <v>0</v>
      </c>
      <c r="AC70" s="354"/>
      <c r="AD70" s="352"/>
      <c r="AE70" s="352"/>
      <c r="AF70" s="353">
        <f t="shared" si="1"/>
        <v>0</v>
      </c>
      <c r="AG70" s="354"/>
      <c r="AH70" s="352"/>
      <c r="AI70" s="352"/>
      <c r="AJ70" s="353">
        <f t="shared" si="2"/>
        <v>0</v>
      </c>
      <c r="AK70" s="354"/>
      <c r="AL70" s="352"/>
      <c r="AM70" s="352"/>
      <c r="AN70" s="353">
        <f t="shared" si="3"/>
        <v>0</v>
      </c>
      <c r="AO70" s="354"/>
      <c r="AP70" s="352"/>
      <c r="AQ70" s="352"/>
      <c r="AR70" s="353">
        <f t="shared" si="4"/>
        <v>0</v>
      </c>
      <c r="AS70" s="354"/>
      <c r="AT70" s="352"/>
      <c r="AU70" s="352"/>
      <c r="AV70" s="353">
        <f t="shared" si="5"/>
        <v>0</v>
      </c>
      <c r="AW70" s="354"/>
      <c r="AX70" s="352"/>
      <c r="AY70" s="352"/>
      <c r="AZ70" s="353">
        <f t="shared" si="6"/>
        <v>0</v>
      </c>
      <c r="BA70" s="354"/>
      <c r="BB70" s="352"/>
      <c r="BC70" s="352"/>
      <c r="BD70" s="353">
        <f t="shared" si="7"/>
        <v>0</v>
      </c>
      <c r="BE70" s="353">
        <f t="shared" si="8"/>
        <v>0</v>
      </c>
      <c r="BF70" s="355"/>
      <c r="BG70" s="361"/>
      <c r="BH70" s="362"/>
    </row>
    <row r="71" spans="1:60" ht="18" customHeight="1">
      <c r="A71" s="336">
        <v>63</v>
      </c>
      <c r="B71" s="337"/>
      <c r="C71" s="338"/>
      <c r="D71" s="339"/>
      <c r="E71" s="340"/>
      <c r="F71" s="340"/>
      <c r="G71" s="341"/>
      <c r="H71" s="359"/>
      <c r="I71" s="360"/>
      <c r="J71" s="344"/>
      <c r="K71" s="345"/>
      <c r="L71" s="339"/>
      <c r="M71" s="346"/>
      <c r="N71" s="344"/>
      <c r="O71" s="345"/>
      <c r="P71" s="339"/>
      <c r="Q71" s="346"/>
      <c r="R71" s="344"/>
      <c r="S71" s="345"/>
      <c r="T71" s="339"/>
      <c r="U71" s="347"/>
      <c r="V71" s="348"/>
      <c r="W71" s="349"/>
      <c r="X71" s="350"/>
      <c r="Y71" s="351"/>
      <c r="Z71" s="352"/>
      <c r="AA71" s="352"/>
      <c r="AB71" s="353">
        <f t="shared" si="0"/>
        <v>0</v>
      </c>
      <c r="AC71" s="354"/>
      <c r="AD71" s="352"/>
      <c r="AE71" s="352"/>
      <c r="AF71" s="353">
        <f t="shared" si="1"/>
        <v>0</v>
      </c>
      <c r="AG71" s="354"/>
      <c r="AH71" s="352"/>
      <c r="AI71" s="352"/>
      <c r="AJ71" s="353">
        <f t="shared" si="2"/>
        <v>0</v>
      </c>
      <c r="AK71" s="354"/>
      <c r="AL71" s="352"/>
      <c r="AM71" s="352"/>
      <c r="AN71" s="353">
        <f t="shared" si="3"/>
        <v>0</v>
      </c>
      <c r="AO71" s="354"/>
      <c r="AP71" s="352"/>
      <c r="AQ71" s="352"/>
      <c r="AR71" s="353">
        <f t="shared" si="4"/>
        <v>0</v>
      </c>
      <c r="AS71" s="354"/>
      <c r="AT71" s="352"/>
      <c r="AU71" s="352"/>
      <c r="AV71" s="353">
        <f t="shared" si="5"/>
        <v>0</v>
      </c>
      <c r="AW71" s="354"/>
      <c r="AX71" s="352"/>
      <c r="AY71" s="352"/>
      <c r="AZ71" s="353">
        <f t="shared" si="6"/>
        <v>0</v>
      </c>
      <c r="BA71" s="354"/>
      <c r="BB71" s="352"/>
      <c r="BC71" s="352"/>
      <c r="BD71" s="353">
        <f t="shared" si="7"/>
        <v>0</v>
      </c>
      <c r="BE71" s="353">
        <f t="shared" si="8"/>
        <v>0</v>
      </c>
      <c r="BF71" s="355"/>
      <c r="BG71" s="361"/>
      <c r="BH71" s="362"/>
    </row>
    <row r="72" spans="1:60" ht="18" customHeight="1">
      <c r="A72" s="336">
        <v>64</v>
      </c>
      <c r="B72" s="337"/>
      <c r="C72" s="338"/>
      <c r="D72" s="339"/>
      <c r="E72" s="340"/>
      <c r="F72" s="340"/>
      <c r="G72" s="341"/>
      <c r="H72" s="359"/>
      <c r="I72" s="360"/>
      <c r="J72" s="344"/>
      <c r="K72" s="345"/>
      <c r="L72" s="339"/>
      <c r="M72" s="346"/>
      <c r="N72" s="344"/>
      <c r="O72" s="345"/>
      <c r="P72" s="339"/>
      <c r="Q72" s="346"/>
      <c r="R72" s="344"/>
      <c r="S72" s="345"/>
      <c r="T72" s="339"/>
      <c r="U72" s="347"/>
      <c r="V72" s="348"/>
      <c r="W72" s="349"/>
      <c r="X72" s="350"/>
      <c r="Y72" s="351"/>
      <c r="Z72" s="352"/>
      <c r="AA72" s="352"/>
      <c r="AB72" s="353">
        <f t="shared" si="0"/>
        <v>0</v>
      </c>
      <c r="AC72" s="354"/>
      <c r="AD72" s="352"/>
      <c r="AE72" s="352"/>
      <c r="AF72" s="353">
        <f t="shared" si="1"/>
        <v>0</v>
      </c>
      <c r="AG72" s="354"/>
      <c r="AH72" s="352"/>
      <c r="AI72" s="352"/>
      <c r="AJ72" s="353">
        <f t="shared" si="2"/>
        <v>0</v>
      </c>
      <c r="AK72" s="354"/>
      <c r="AL72" s="352"/>
      <c r="AM72" s="352"/>
      <c r="AN72" s="353">
        <f t="shared" si="3"/>
        <v>0</v>
      </c>
      <c r="AO72" s="354"/>
      <c r="AP72" s="352"/>
      <c r="AQ72" s="352"/>
      <c r="AR72" s="353">
        <f t="shared" si="4"/>
        <v>0</v>
      </c>
      <c r="AS72" s="354"/>
      <c r="AT72" s="352"/>
      <c r="AU72" s="352"/>
      <c r="AV72" s="353">
        <f t="shared" si="5"/>
        <v>0</v>
      </c>
      <c r="AW72" s="354"/>
      <c r="AX72" s="352"/>
      <c r="AY72" s="352"/>
      <c r="AZ72" s="353">
        <f t="shared" si="6"/>
        <v>0</v>
      </c>
      <c r="BA72" s="354"/>
      <c r="BB72" s="352"/>
      <c r="BC72" s="352"/>
      <c r="BD72" s="353">
        <f t="shared" si="7"/>
        <v>0</v>
      </c>
      <c r="BE72" s="353">
        <f t="shared" si="8"/>
        <v>0</v>
      </c>
      <c r="BF72" s="355"/>
      <c r="BG72" s="361"/>
      <c r="BH72" s="362"/>
    </row>
    <row r="73" spans="1:60" ht="18" customHeight="1">
      <c r="A73" s="336">
        <v>65</v>
      </c>
      <c r="B73" s="337"/>
      <c r="C73" s="338"/>
      <c r="D73" s="339"/>
      <c r="E73" s="340"/>
      <c r="F73" s="340"/>
      <c r="G73" s="341"/>
      <c r="H73" s="359"/>
      <c r="I73" s="360"/>
      <c r="J73" s="344"/>
      <c r="K73" s="345"/>
      <c r="L73" s="339"/>
      <c r="M73" s="346"/>
      <c r="N73" s="344"/>
      <c r="O73" s="345"/>
      <c r="P73" s="339"/>
      <c r="Q73" s="346"/>
      <c r="R73" s="344"/>
      <c r="S73" s="345"/>
      <c r="T73" s="339"/>
      <c r="U73" s="347"/>
      <c r="V73" s="348"/>
      <c r="W73" s="349"/>
      <c r="X73" s="350"/>
      <c r="Y73" s="351"/>
      <c r="Z73" s="352"/>
      <c r="AA73" s="352"/>
      <c r="AB73" s="353">
        <f t="shared" si="0"/>
        <v>0</v>
      </c>
      <c r="AC73" s="354"/>
      <c r="AD73" s="352"/>
      <c r="AE73" s="352"/>
      <c r="AF73" s="353">
        <f t="shared" si="1"/>
        <v>0</v>
      </c>
      <c r="AG73" s="354"/>
      <c r="AH73" s="352"/>
      <c r="AI73" s="352"/>
      <c r="AJ73" s="353">
        <f t="shared" si="2"/>
        <v>0</v>
      </c>
      <c r="AK73" s="354"/>
      <c r="AL73" s="352"/>
      <c r="AM73" s="352"/>
      <c r="AN73" s="353">
        <f t="shared" si="3"/>
        <v>0</v>
      </c>
      <c r="AO73" s="354"/>
      <c r="AP73" s="352"/>
      <c r="AQ73" s="352"/>
      <c r="AR73" s="353">
        <f t="shared" si="4"/>
        <v>0</v>
      </c>
      <c r="AS73" s="354"/>
      <c r="AT73" s="352"/>
      <c r="AU73" s="352"/>
      <c r="AV73" s="353">
        <f t="shared" si="5"/>
        <v>0</v>
      </c>
      <c r="AW73" s="354"/>
      <c r="AX73" s="352"/>
      <c r="AY73" s="352"/>
      <c r="AZ73" s="353">
        <f t="shared" si="6"/>
        <v>0</v>
      </c>
      <c r="BA73" s="354"/>
      <c r="BB73" s="352"/>
      <c r="BC73" s="352"/>
      <c r="BD73" s="353">
        <f t="shared" si="7"/>
        <v>0</v>
      </c>
      <c r="BE73" s="353">
        <f t="shared" si="8"/>
        <v>0</v>
      </c>
      <c r="BF73" s="355"/>
      <c r="BG73" s="361"/>
      <c r="BH73" s="362"/>
    </row>
    <row r="74" spans="1:60" ht="18" customHeight="1">
      <c r="A74" s="336">
        <v>66</v>
      </c>
      <c r="B74" s="337"/>
      <c r="C74" s="338"/>
      <c r="D74" s="339"/>
      <c r="E74" s="340"/>
      <c r="F74" s="340"/>
      <c r="G74" s="341"/>
      <c r="H74" s="359"/>
      <c r="I74" s="360"/>
      <c r="J74" s="344"/>
      <c r="K74" s="345"/>
      <c r="L74" s="339"/>
      <c r="M74" s="346"/>
      <c r="N74" s="344"/>
      <c r="O74" s="345"/>
      <c r="P74" s="339"/>
      <c r="Q74" s="346"/>
      <c r="R74" s="344"/>
      <c r="S74" s="345"/>
      <c r="T74" s="339"/>
      <c r="U74" s="347"/>
      <c r="V74" s="348"/>
      <c r="W74" s="349"/>
      <c r="X74" s="350"/>
      <c r="Y74" s="351"/>
      <c r="Z74" s="352"/>
      <c r="AA74" s="352"/>
      <c r="AB74" s="353">
        <f t="shared" ref="AB74:AB103" si="9">SUM(Y74:AA74)</f>
        <v>0</v>
      </c>
      <c r="AC74" s="354"/>
      <c r="AD74" s="352"/>
      <c r="AE74" s="352"/>
      <c r="AF74" s="353">
        <f t="shared" ref="AF74:AF103" si="10">SUM(AC74:AE74)</f>
        <v>0</v>
      </c>
      <c r="AG74" s="354"/>
      <c r="AH74" s="352"/>
      <c r="AI74" s="352"/>
      <c r="AJ74" s="353">
        <f t="shared" ref="AJ74:AJ103" si="11">SUM(AG74:AI74)</f>
        <v>0</v>
      </c>
      <c r="AK74" s="354"/>
      <c r="AL74" s="352"/>
      <c r="AM74" s="352"/>
      <c r="AN74" s="353">
        <f t="shared" ref="AN74:AN103" si="12">SUM(AK74:AM74)</f>
        <v>0</v>
      </c>
      <c r="AO74" s="354"/>
      <c r="AP74" s="352"/>
      <c r="AQ74" s="352"/>
      <c r="AR74" s="353">
        <f t="shared" ref="AR74:AR103" si="13">SUM(AO74:AQ74)</f>
        <v>0</v>
      </c>
      <c r="AS74" s="354"/>
      <c r="AT74" s="352"/>
      <c r="AU74" s="352"/>
      <c r="AV74" s="353">
        <f t="shared" ref="AV74:AV103" si="14">SUM(AS74:AU74)</f>
        <v>0</v>
      </c>
      <c r="AW74" s="354"/>
      <c r="AX74" s="352"/>
      <c r="AY74" s="352"/>
      <c r="AZ74" s="353">
        <f t="shared" ref="AZ74:AZ103" si="15">SUM(AW74:AY74)</f>
        <v>0</v>
      </c>
      <c r="BA74" s="354"/>
      <c r="BB74" s="352"/>
      <c r="BC74" s="352"/>
      <c r="BD74" s="353">
        <f t="shared" ref="BD74:BD103" si="16">SUM(BA74:BC74)</f>
        <v>0</v>
      </c>
      <c r="BE74" s="353">
        <f t="shared" ref="BE74:BE133" si="17">SUM(BD74,AZ74,AV74,AR74,AN74,AJ74,AF74,AB74)</f>
        <v>0</v>
      </c>
      <c r="BF74" s="355"/>
      <c r="BG74" s="361"/>
      <c r="BH74" s="362"/>
    </row>
    <row r="75" spans="1:60" ht="18" customHeight="1">
      <c r="A75" s="336">
        <v>67</v>
      </c>
      <c r="B75" s="337"/>
      <c r="C75" s="338"/>
      <c r="D75" s="339"/>
      <c r="E75" s="340"/>
      <c r="F75" s="340"/>
      <c r="G75" s="341"/>
      <c r="H75" s="359"/>
      <c r="I75" s="360"/>
      <c r="J75" s="344"/>
      <c r="K75" s="345"/>
      <c r="L75" s="339"/>
      <c r="M75" s="346"/>
      <c r="N75" s="344"/>
      <c r="O75" s="345"/>
      <c r="P75" s="339"/>
      <c r="Q75" s="346"/>
      <c r="R75" s="344"/>
      <c r="S75" s="345"/>
      <c r="T75" s="339"/>
      <c r="U75" s="347"/>
      <c r="V75" s="348"/>
      <c r="W75" s="349"/>
      <c r="X75" s="350"/>
      <c r="Y75" s="351"/>
      <c r="Z75" s="352"/>
      <c r="AA75" s="352"/>
      <c r="AB75" s="353">
        <f t="shared" si="9"/>
        <v>0</v>
      </c>
      <c r="AC75" s="354"/>
      <c r="AD75" s="352"/>
      <c r="AE75" s="352"/>
      <c r="AF75" s="353">
        <f t="shared" si="10"/>
        <v>0</v>
      </c>
      <c r="AG75" s="354"/>
      <c r="AH75" s="352"/>
      <c r="AI75" s="352"/>
      <c r="AJ75" s="353">
        <f t="shared" si="11"/>
        <v>0</v>
      </c>
      <c r="AK75" s="354"/>
      <c r="AL75" s="352"/>
      <c r="AM75" s="352"/>
      <c r="AN75" s="353">
        <f t="shared" si="12"/>
        <v>0</v>
      </c>
      <c r="AO75" s="354"/>
      <c r="AP75" s="352"/>
      <c r="AQ75" s="352"/>
      <c r="AR75" s="353">
        <f t="shared" si="13"/>
        <v>0</v>
      </c>
      <c r="AS75" s="354"/>
      <c r="AT75" s="352"/>
      <c r="AU75" s="352"/>
      <c r="AV75" s="353">
        <f t="shared" si="14"/>
        <v>0</v>
      </c>
      <c r="AW75" s="354"/>
      <c r="AX75" s="352"/>
      <c r="AY75" s="352"/>
      <c r="AZ75" s="353">
        <f t="shared" si="15"/>
        <v>0</v>
      </c>
      <c r="BA75" s="354"/>
      <c r="BB75" s="352"/>
      <c r="BC75" s="352"/>
      <c r="BD75" s="353">
        <f t="shared" si="16"/>
        <v>0</v>
      </c>
      <c r="BE75" s="353">
        <f t="shared" si="17"/>
        <v>0</v>
      </c>
      <c r="BF75" s="355"/>
      <c r="BG75" s="361"/>
      <c r="BH75" s="362"/>
    </row>
    <row r="76" spans="1:60" ht="18" customHeight="1">
      <c r="A76" s="336">
        <v>68</v>
      </c>
      <c r="B76" s="337"/>
      <c r="C76" s="338"/>
      <c r="D76" s="339"/>
      <c r="E76" s="340"/>
      <c r="F76" s="340"/>
      <c r="G76" s="341"/>
      <c r="H76" s="359"/>
      <c r="I76" s="360"/>
      <c r="J76" s="344"/>
      <c r="K76" s="345"/>
      <c r="L76" s="339"/>
      <c r="M76" s="346"/>
      <c r="N76" s="344"/>
      <c r="O76" s="345"/>
      <c r="P76" s="339"/>
      <c r="Q76" s="346"/>
      <c r="R76" s="344"/>
      <c r="S76" s="345"/>
      <c r="T76" s="339"/>
      <c r="U76" s="347"/>
      <c r="V76" s="348"/>
      <c r="W76" s="349"/>
      <c r="X76" s="350"/>
      <c r="Y76" s="351"/>
      <c r="Z76" s="352"/>
      <c r="AA76" s="352"/>
      <c r="AB76" s="353">
        <f t="shared" si="9"/>
        <v>0</v>
      </c>
      <c r="AC76" s="354"/>
      <c r="AD76" s="352"/>
      <c r="AE76" s="352"/>
      <c r="AF76" s="353">
        <f t="shared" si="10"/>
        <v>0</v>
      </c>
      <c r="AG76" s="354"/>
      <c r="AH76" s="352"/>
      <c r="AI76" s="352"/>
      <c r="AJ76" s="353">
        <f t="shared" si="11"/>
        <v>0</v>
      </c>
      <c r="AK76" s="354"/>
      <c r="AL76" s="352"/>
      <c r="AM76" s="352"/>
      <c r="AN76" s="353">
        <f t="shared" si="12"/>
        <v>0</v>
      </c>
      <c r="AO76" s="354"/>
      <c r="AP76" s="352"/>
      <c r="AQ76" s="352"/>
      <c r="AR76" s="353">
        <f t="shared" si="13"/>
        <v>0</v>
      </c>
      <c r="AS76" s="354"/>
      <c r="AT76" s="352"/>
      <c r="AU76" s="352"/>
      <c r="AV76" s="353">
        <f t="shared" si="14"/>
        <v>0</v>
      </c>
      <c r="AW76" s="354"/>
      <c r="AX76" s="352"/>
      <c r="AY76" s="352"/>
      <c r="AZ76" s="353">
        <f t="shared" si="15"/>
        <v>0</v>
      </c>
      <c r="BA76" s="354"/>
      <c r="BB76" s="352"/>
      <c r="BC76" s="352"/>
      <c r="BD76" s="353">
        <f t="shared" si="16"/>
        <v>0</v>
      </c>
      <c r="BE76" s="353">
        <f t="shared" si="17"/>
        <v>0</v>
      </c>
      <c r="BF76" s="355"/>
      <c r="BG76" s="361"/>
      <c r="BH76" s="362"/>
    </row>
    <row r="77" spans="1:60" ht="18" customHeight="1">
      <c r="A77" s="336">
        <v>69</v>
      </c>
      <c r="B77" s="337"/>
      <c r="C77" s="338"/>
      <c r="D77" s="339"/>
      <c r="E77" s="340"/>
      <c r="F77" s="340"/>
      <c r="G77" s="341"/>
      <c r="H77" s="359"/>
      <c r="I77" s="360"/>
      <c r="J77" s="344"/>
      <c r="K77" s="345"/>
      <c r="L77" s="339"/>
      <c r="M77" s="346"/>
      <c r="N77" s="344"/>
      <c r="O77" s="345"/>
      <c r="P77" s="339"/>
      <c r="Q77" s="346"/>
      <c r="R77" s="344"/>
      <c r="S77" s="345"/>
      <c r="T77" s="339"/>
      <c r="U77" s="347"/>
      <c r="V77" s="348"/>
      <c r="W77" s="349"/>
      <c r="X77" s="350"/>
      <c r="Y77" s="351"/>
      <c r="Z77" s="352"/>
      <c r="AA77" s="352"/>
      <c r="AB77" s="353">
        <f t="shared" si="9"/>
        <v>0</v>
      </c>
      <c r="AC77" s="354"/>
      <c r="AD77" s="352"/>
      <c r="AE77" s="352"/>
      <c r="AF77" s="353">
        <f t="shared" si="10"/>
        <v>0</v>
      </c>
      <c r="AG77" s="354"/>
      <c r="AH77" s="352"/>
      <c r="AI77" s="352"/>
      <c r="AJ77" s="353">
        <f t="shared" si="11"/>
        <v>0</v>
      </c>
      <c r="AK77" s="354"/>
      <c r="AL77" s="352"/>
      <c r="AM77" s="352"/>
      <c r="AN77" s="353">
        <f t="shared" si="12"/>
        <v>0</v>
      </c>
      <c r="AO77" s="354"/>
      <c r="AP77" s="352"/>
      <c r="AQ77" s="352"/>
      <c r="AR77" s="353">
        <f t="shared" si="13"/>
        <v>0</v>
      </c>
      <c r="AS77" s="354"/>
      <c r="AT77" s="352"/>
      <c r="AU77" s="352"/>
      <c r="AV77" s="353">
        <f t="shared" si="14"/>
        <v>0</v>
      </c>
      <c r="AW77" s="354"/>
      <c r="AX77" s="352"/>
      <c r="AY77" s="352"/>
      <c r="AZ77" s="353">
        <f t="shared" si="15"/>
        <v>0</v>
      </c>
      <c r="BA77" s="354"/>
      <c r="BB77" s="352"/>
      <c r="BC77" s="352"/>
      <c r="BD77" s="353">
        <f t="shared" si="16"/>
        <v>0</v>
      </c>
      <c r="BE77" s="353">
        <f t="shared" si="17"/>
        <v>0</v>
      </c>
      <c r="BF77" s="355"/>
      <c r="BG77" s="361"/>
      <c r="BH77" s="362"/>
    </row>
    <row r="78" spans="1:60" ht="18" customHeight="1">
      <c r="A78" s="336">
        <v>70</v>
      </c>
      <c r="B78" s="337"/>
      <c r="C78" s="338"/>
      <c r="D78" s="339"/>
      <c r="E78" s="340"/>
      <c r="F78" s="340"/>
      <c r="G78" s="341"/>
      <c r="H78" s="359"/>
      <c r="I78" s="360"/>
      <c r="J78" s="344"/>
      <c r="K78" s="345"/>
      <c r="L78" s="339"/>
      <c r="M78" s="346"/>
      <c r="N78" s="344"/>
      <c r="O78" s="345"/>
      <c r="P78" s="339"/>
      <c r="Q78" s="346"/>
      <c r="R78" s="344"/>
      <c r="S78" s="345"/>
      <c r="T78" s="339"/>
      <c r="U78" s="347"/>
      <c r="V78" s="348"/>
      <c r="W78" s="349"/>
      <c r="X78" s="350"/>
      <c r="Y78" s="351"/>
      <c r="Z78" s="352"/>
      <c r="AA78" s="352"/>
      <c r="AB78" s="353">
        <f t="shared" si="9"/>
        <v>0</v>
      </c>
      <c r="AC78" s="354"/>
      <c r="AD78" s="352"/>
      <c r="AE78" s="352"/>
      <c r="AF78" s="353">
        <f t="shared" si="10"/>
        <v>0</v>
      </c>
      <c r="AG78" s="354"/>
      <c r="AH78" s="352"/>
      <c r="AI78" s="352"/>
      <c r="AJ78" s="353">
        <f t="shared" si="11"/>
        <v>0</v>
      </c>
      <c r="AK78" s="354"/>
      <c r="AL78" s="352"/>
      <c r="AM78" s="352"/>
      <c r="AN78" s="353">
        <f t="shared" si="12"/>
        <v>0</v>
      </c>
      <c r="AO78" s="354"/>
      <c r="AP78" s="352"/>
      <c r="AQ78" s="352"/>
      <c r="AR78" s="353">
        <f t="shared" si="13"/>
        <v>0</v>
      </c>
      <c r="AS78" s="354"/>
      <c r="AT78" s="352"/>
      <c r="AU78" s="352"/>
      <c r="AV78" s="353">
        <f t="shared" si="14"/>
        <v>0</v>
      </c>
      <c r="AW78" s="354"/>
      <c r="AX78" s="352"/>
      <c r="AY78" s="352"/>
      <c r="AZ78" s="353">
        <f t="shared" si="15"/>
        <v>0</v>
      </c>
      <c r="BA78" s="354"/>
      <c r="BB78" s="352"/>
      <c r="BC78" s="352"/>
      <c r="BD78" s="353">
        <f t="shared" si="16"/>
        <v>0</v>
      </c>
      <c r="BE78" s="353">
        <f t="shared" si="17"/>
        <v>0</v>
      </c>
      <c r="BF78" s="355"/>
      <c r="BG78" s="361"/>
      <c r="BH78" s="362"/>
    </row>
    <row r="79" spans="1:60" ht="18" customHeight="1">
      <c r="A79" s="336">
        <v>71</v>
      </c>
      <c r="B79" s="337"/>
      <c r="C79" s="338"/>
      <c r="D79" s="339"/>
      <c r="E79" s="340"/>
      <c r="F79" s="340"/>
      <c r="G79" s="341"/>
      <c r="H79" s="359"/>
      <c r="I79" s="360"/>
      <c r="J79" s="344"/>
      <c r="K79" s="345"/>
      <c r="L79" s="339"/>
      <c r="M79" s="346"/>
      <c r="N79" s="344"/>
      <c r="O79" s="345"/>
      <c r="P79" s="339"/>
      <c r="Q79" s="346"/>
      <c r="R79" s="344"/>
      <c r="S79" s="345"/>
      <c r="T79" s="339"/>
      <c r="U79" s="347"/>
      <c r="V79" s="348"/>
      <c r="W79" s="349"/>
      <c r="X79" s="350"/>
      <c r="Y79" s="351"/>
      <c r="Z79" s="352"/>
      <c r="AA79" s="352"/>
      <c r="AB79" s="353">
        <f t="shared" si="9"/>
        <v>0</v>
      </c>
      <c r="AC79" s="354"/>
      <c r="AD79" s="352"/>
      <c r="AE79" s="352"/>
      <c r="AF79" s="353">
        <f t="shared" si="10"/>
        <v>0</v>
      </c>
      <c r="AG79" s="354"/>
      <c r="AH79" s="352"/>
      <c r="AI79" s="352"/>
      <c r="AJ79" s="353">
        <f t="shared" si="11"/>
        <v>0</v>
      </c>
      <c r="AK79" s="354"/>
      <c r="AL79" s="352"/>
      <c r="AM79" s="352"/>
      <c r="AN79" s="353">
        <f t="shared" si="12"/>
        <v>0</v>
      </c>
      <c r="AO79" s="354"/>
      <c r="AP79" s="352"/>
      <c r="AQ79" s="352"/>
      <c r="AR79" s="353">
        <f t="shared" si="13"/>
        <v>0</v>
      </c>
      <c r="AS79" s="354"/>
      <c r="AT79" s="352"/>
      <c r="AU79" s="352"/>
      <c r="AV79" s="353">
        <f t="shared" si="14"/>
        <v>0</v>
      </c>
      <c r="AW79" s="354"/>
      <c r="AX79" s="352"/>
      <c r="AY79" s="352"/>
      <c r="AZ79" s="353">
        <f t="shared" si="15"/>
        <v>0</v>
      </c>
      <c r="BA79" s="354"/>
      <c r="BB79" s="352"/>
      <c r="BC79" s="352"/>
      <c r="BD79" s="353">
        <f t="shared" si="16"/>
        <v>0</v>
      </c>
      <c r="BE79" s="353">
        <f t="shared" si="17"/>
        <v>0</v>
      </c>
      <c r="BF79" s="355"/>
      <c r="BG79" s="361"/>
      <c r="BH79" s="362"/>
    </row>
    <row r="80" spans="1:60" ht="18" customHeight="1">
      <c r="A80" s="336">
        <v>72</v>
      </c>
      <c r="B80" s="337"/>
      <c r="C80" s="338"/>
      <c r="D80" s="339"/>
      <c r="E80" s="340"/>
      <c r="F80" s="340"/>
      <c r="G80" s="341"/>
      <c r="H80" s="359"/>
      <c r="I80" s="360"/>
      <c r="J80" s="344"/>
      <c r="K80" s="345"/>
      <c r="L80" s="339"/>
      <c r="M80" s="346"/>
      <c r="N80" s="344"/>
      <c r="O80" s="345"/>
      <c r="P80" s="339"/>
      <c r="Q80" s="346"/>
      <c r="R80" s="344"/>
      <c r="S80" s="345"/>
      <c r="T80" s="339"/>
      <c r="U80" s="347"/>
      <c r="V80" s="348"/>
      <c r="W80" s="349"/>
      <c r="X80" s="350"/>
      <c r="Y80" s="351"/>
      <c r="Z80" s="352"/>
      <c r="AA80" s="352"/>
      <c r="AB80" s="353">
        <f t="shared" si="9"/>
        <v>0</v>
      </c>
      <c r="AC80" s="354"/>
      <c r="AD80" s="352"/>
      <c r="AE80" s="352"/>
      <c r="AF80" s="353">
        <f t="shared" si="10"/>
        <v>0</v>
      </c>
      <c r="AG80" s="354"/>
      <c r="AH80" s="352"/>
      <c r="AI80" s="352"/>
      <c r="AJ80" s="353">
        <f t="shared" si="11"/>
        <v>0</v>
      </c>
      <c r="AK80" s="354"/>
      <c r="AL80" s="352"/>
      <c r="AM80" s="352"/>
      <c r="AN80" s="353">
        <f t="shared" si="12"/>
        <v>0</v>
      </c>
      <c r="AO80" s="354"/>
      <c r="AP80" s="352"/>
      <c r="AQ80" s="352"/>
      <c r="AR80" s="353">
        <f t="shared" si="13"/>
        <v>0</v>
      </c>
      <c r="AS80" s="354"/>
      <c r="AT80" s="352"/>
      <c r="AU80" s="352"/>
      <c r="AV80" s="353">
        <f t="shared" si="14"/>
        <v>0</v>
      </c>
      <c r="AW80" s="354"/>
      <c r="AX80" s="352"/>
      <c r="AY80" s="352"/>
      <c r="AZ80" s="353">
        <f t="shared" si="15"/>
        <v>0</v>
      </c>
      <c r="BA80" s="354"/>
      <c r="BB80" s="352"/>
      <c r="BC80" s="352"/>
      <c r="BD80" s="353">
        <f t="shared" si="16"/>
        <v>0</v>
      </c>
      <c r="BE80" s="353">
        <f t="shared" si="17"/>
        <v>0</v>
      </c>
      <c r="BF80" s="355"/>
      <c r="BG80" s="361"/>
      <c r="BH80" s="362"/>
    </row>
    <row r="81" spans="1:60" ht="18" customHeight="1">
      <c r="A81" s="336">
        <v>73</v>
      </c>
      <c r="B81" s="337"/>
      <c r="C81" s="338"/>
      <c r="D81" s="339"/>
      <c r="E81" s="340"/>
      <c r="F81" s="340"/>
      <c r="G81" s="341"/>
      <c r="H81" s="359"/>
      <c r="I81" s="360"/>
      <c r="J81" s="344"/>
      <c r="K81" s="345"/>
      <c r="L81" s="339"/>
      <c r="M81" s="346"/>
      <c r="N81" s="344"/>
      <c r="O81" s="345"/>
      <c r="P81" s="339"/>
      <c r="Q81" s="346"/>
      <c r="R81" s="344"/>
      <c r="S81" s="345"/>
      <c r="T81" s="339"/>
      <c r="U81" s="347"/>
      <c r="V81" s="348"/>
      <c r="W81" s="349"/>
      <c r="X81" s="350"/>
      <c r="Y81" s="351"/>
      <c r="Z81" s="352"/>
      <c r="AA81" s="352"/>
      <c r="AB81" s="353">
        <f t="shared" si="9"/>
        <v>0</v>
      </c>
      <c r="AC81" s="354"/>
      <c r="AD81" s="352"/>
      <c r="AE81" s="352"/>
      <c r="AF81" s="353">
        <f t="shared" si="10"/>
        <v>0</v>
      </c>
      <c r="AG81" s="354"/>
      <c r="AH81" s="352"/>
      <c r="AI81" s="352"/>
      <c r="AJ81" s="353">
        <f t="shared" si="11"/>
        <v>0</v>
      </c>
      <c r="AK81" s="354"/>
      <c r="AL81" s="352"/>
      <c r="AM81" s="352"/>
      <c r="AN81" s="353">
        <f t="shared" si="12"/>
        <v>0</v>
      </c>
      <c r="AO81" s="354"/>
      <c r="AP81" s="352"/>
      <c r="AQ81" s="352"/>
      <c r="AR81" s="353">
        <f t="shared" si="13"/>
        <v>0</v>
      </c>
      <c r="AS81" s="354"/>
      <c r="AT81" s="352"/>
      <c r="AU81" s="352"/>
      <c r="AV81" s="353">
        <f t="shared" si="14"/>
        <v>0</v>
      </c>
      <c r="AW81" s="354"/>
      <c r="AX81" s="352"/>
      <c r="AY81" s="352"/>
      <c r="AZ81" s="353">
        <f t="shared" si="15"/>
        <v>0</v>
      </c>
      <c r="BA81" s="354"/>
      <c r="BB81" s="352"/>
      <c r="BC81" s="352"/>
      <c r="BD81" s="353">
        <f t="shared" si="16"/>
        <v>0</v>
      </c>
      <c r="BE81" s="353">
        <f t="shared" si="17"/>
        <v>0</v>
      </c>
      <c r="BF81" s="355"/>
      <c r="BG81" s="361"/>
      <c r="BH81" s="362"/>
    </row>
    <row r="82" spans="1:60" ht="18" customHeight="1">
      <c r="A82" s="336">
        <v>74</v>
      </c>
      <c r="B82" s="337"/>
      <c r="C82" s="338"/>
      <c r="D82" s="339"/>
      <c r="E82" s="340"/>
      <c r="F82" s="340"/>
      <c r="G82" s="341"/>
      <c r="H82" s="359"/>
      <c r="I82" s="360"/>
      <c r="J82" s="344"/>
      <c r="K82" s="345"/>
      <c r="L82" s="339"/>
      <c r="M82" s="346"/>
      <c r="N82" s="344"/>
      <c r="O82" s="345"/>
      <c r="P82" s="339"/>
      <c r="Q82" s="346"/>
      <c r="R82" s="344"/>
      <c r="S82" s="345"/>
      <c r="T82" s="339"/>
      <c r="U82" s="347"/>
      <c r="V82" s="348"/>
      <c r="W82" s="349"/>
      <c r="X82" s="350"/>
      <c r="Y82" s="351"/>
      <c r="Z82" s="352"/>
      <c r="AA82" s="352"/>
      <c r="AB82" s="353">
        <f t="shared" si="9"/>
        <v>0</v>
      </c>
      <c r="AC82" s="354"/>
      <c r="AD82" s="352"/>
      <c r="AE82" s="352"/>
      <c r="AF82" s="353">
        <f t="shared" si="10"/>
        <v>0</v>
      </c>
      <c r="AG82" s="354"/>
      <c r="AH82" s="352"/>
      <c r="AI82" s="352"/>
      <c r="AJ82" s="353">
        <f t="shared" si="11"/>
        <v>0</v>
      </c>
      <c r="AK82" s="354"/>
      <c r="AL82" s="352"/>
      <c r="AM82" s="352"/>
      <c r="AN82" s="353">
        <f t="shared" si="12"/>
        <v>0</v>
      </c>
      <c r="AO82" s="354"/>
      <c r="AP82" s="352"/>
      <c r="AQ82" s="352"/>
      <c r="AR82" s="353">
        <f t="shared" si="13"/>
        <v>0</v>
      </c>
      <c r="AS82" s="354"/>
      <c r="AT82" s="352"/>
      <c r="AU82" s="352"/>
      <c r="AV82" s="353">
        <f t="shared" si="14"/>
        <v>0</v>
      </c>
      <c r="AW82" s="354"/>
      <c r="AX82" s="352"/>
      <c r="AY82" s="352"/>
      <c r="AZ82" s="353">
        <f t="shared" si="15"/>
        <v>0</v>
      </c>
      <c r="BA82" s="354"/>
      <c r="BB82" s="352"/>
      <c r="BC82" s="352"/>
      <c r="BD82" s="353">
        <f t="shared" si="16"/>
        <v>0</v>
      </c>
      <c r="BE82" s="353">
        <f t="shared" si="17"/>
        <v>0</v>
      </c>
      <c r="BF82" s="355"/>
      <c r="BG82" s="361"/>
      <c r="BH82" s="362"/>
    </row>
    <row r="83" spans="1:60" ht="18" customHeight="1">
      <c r="A83" s="336">
        <v>75</v>
      </c>
      <c r="B83" s="337"/>
      <c r="C83" s="338"/>
      <c r="D83" s="339"/>
      <c r="E83" s="340"/>
      <c r="F83" s="340"/>
      <c r="G83" s="341"/>
      <c r="H83" s="359"/>
      <c r="I83" s="360"/>
      <c r="J83" s="344"/>
      <c r="K83" s="345"/>
      <c r="L83" s="339"/>
      <c r="M83" s="346"/>
      <c r="N83" s="344"/>
      <c r="O83" s="345"/>
      <c r="P83" s="339"/>
      <c r="Q83" s="346"/>
      <c r="R83" s="344"/>
      <c r="S83" s="345"/>
      <c r="T83" s="339"/>
      <c r="U83" s="347"/>
      <c r="V83" s="348"/>
      <c r="W83" s="349"/>
      <c r="X83" s="350"/>
      <c r="Y83" s="351"/>
      <c r="Z83" s="352"/>
      <c r="AA83" s="352"/>
      <c r="AB83" s="353">
        <f t="shared" si="9"/>
        <v>0</v>
      </c>
      <c r="AC83" s="354"/>
      <c r="AD83" s="352"/>
      <c r="AE83" s="352"/>
      <c r="AF83" s="353">
        <f t="shared" si="10"/>
        <v>0</v>
      </c>
      <c r="AG83" s="354"/>
      <c r="AH83" s="352"/>
      <c r="AI83" s="352"/>
      <c r="AJ83" s="353">
        <f t="shared" si="11"/>
        <v>0</v>
      </c>
      <c r="AK83" s="354"/>
      <c r="AL83" s="352"/>
      <c r="AM83" s="352"/>
      <c r="AN83" s="353">
        <f t="shared" si="12"/>
        <v>0</v>
      </c>
      <c r="AO83" s="354"/>
      <c r="AP83" s="352"/>
      <c r="AQ83" s="352"/>
      <c r="AR83" s="353">
        <f t="shared" si="13"/>
        <v>0</v>
      </c>
      <c r="AS83" s="354"/>
      <c r="AT83" s="352"/>
      <c r="AU83" s="352"/>
      <c r="AV83" s="353">
        <f t="shared" si="14"/>
        <v>0</v>
      </c>
      <c r="AW83" s="354"/>
      <c r="AX83" s="352"/>
      <c r="AY83" s="352"/>
      <c r="AZ83" s="353">
        <f t="shared" si="15"/>
        <v>0</v>
      </c>
      <c r="BA83" s="354"/>
      <c r="BB83" s="352"/>
      <c r="BC83" s="352"/>
      <c r="BD83" s="353">
        <f t="shared" si="16"/>
        <v>0</v>
      </c>
      <c r="BE83" s="353">
        <f t="shared" si="17"/>
        <v>0</v>
      </c>
      <c r="BF83" s="355"/>
      <c r="BG83" s="361"/>
      <c r="BH83" s="362"/>
    </row>
    <row r="84" spans="1:60" ht="18" customHeight="1">
      <c r="A84" s="336">
        <v>76</v>
      </c>
      <c r="B84" s="337"/>
      <c r="C84" s="338"/>
      <c r="D84" s="339"/>
      <c r="E84" s="340"/>
      <c r="F84" s="340"/>
      <c r="G84" s="341"/>
      <c r="H84" s="359"/>
      <c r="I84" s="360"/>
      <c r="J84" s="344"/>
      <c r="K84" s="345"/>
      <c r="L84" s="339"/>
      <c r="M84" s="346"/>
      <c r="N84" s="344"/>
      <c r="O84" s="345"/>
      <c r="P84" s="339"/>
      <c r="Q84" s="346"/>
      <c r="R84" s="344"/>
      <c r="S84" s="345"/>
      <c r="T84" s="339"/>
      <c r="U84" s="347"/>
      <c r="V84" s="348"/>
      <c r="W84" s="349"/>
      <c r="X84" s="350"/>
      <c r="Y84" s="351"/>
      <c r="Z84" s="352"/>
      <c r="AA84" s="352"/>
      <c r="AB84" s="353">
        <f t="shared" si="9"/>
        <v>0</v>
      </c>
      <c r="AC84" s="354"/>
      <c r="AD84" s="352"/>
      <c r="AE84" s="352"/>
      <c r="AF84" s="353">
        <f t="shared" si="10"/>
        <v>0</v>
      </c>
      <c r="AG84" s="354"/>
      <c r="AH84" s="352"/>
      <c r="AI84" s="352"/>
      <c r="AJ84" s="353">
        <f t="shared" si="11"/>
        <v>0</v>
      </c>
      <c r="AK84" s="354"/>
      <c r="AL84" s="352"/>
      <c r="AM84" s="352"/>
      <c r="AN84" s="353">
        <f t="shared" si="12"/>
        <v>0</v>
      </c>
      <c r="AO84" s="354"/>
      <c r="AP84" s="352"/>
      <c r="AQ84" s="352"/>
      <c r="AR84" s="353">
        <f t="shared" si="13"/>
        <v>0</v>
      </c>
      <c r="AS84" s="354"/>
      <c r="AT84" s="352"/>
      <c r="AU84" s="352"/>
      <c r="AV84" s="353">
        <f t="shared" si="14"/>
        <v>0</v>
      </c>
      <c r="AW84" s="354"/>
      <c r="AX84" s="352"/>
      <c r="AY84" s="352"/>
      <c r="AZ84" s="353">
        <f t="shared" si="15"/>
        <v>0</v>
      </c>
      <c r="BA84" s="354"/>
      <c r="BB84" s="352"/>
      <c r="BC84" s="352"/>
      <c r="BD84" s="353">
        <f t="shared" si="16"/>
        <v>0</v>
      </c>
      <c r="BE84" s="353">
        <f t="shared" si="17"/>
        <v>0</v>
      </c>
      <c r="BF84" s="355"/>
      <c r="BG84" s="361"/>
      <c r="BH84" s="362"/>
    </row>
    <row r="85" spans="1:60" ht="18" customHeight="1">
      <c r="A85" s="336">
        <v>77</v>
      </c>
      <c r="B85" s="337"/>
      <c r="C85" s="338"/>
      <c r="D85" s="339"/>
      <c r="E85" s="340"/>
      <c r="F85" s="340"/>
      <c r="G85" s="341"/>
      <c r="H85" s="359"/>
      <c r="I85" s="360"/>
      <c r="J85" s="344"/>
      <c r="K85" s="345"/>
      <c r="L85" s="339"/>
      <c r="M85" s="346"/>
      <c r="N85" s="344"/>
      <c r="O85" s="345"/>
      <c r="P85" s="339"/>
      <c r="Q85" s="346"/>
      <c r="R85" s="344"/>
      <c r="S85" s="345"/>
      <c r="T85" s="339"/>
      <c r="U85" s="347"/>
      <c r="V85" s="348"/>
      <c r="W85" s="349"/>
      <c r="X85" s="350"/>
      <c r="Y85" s="351"/>
      <c r="Z85" s="352"/>
      <c r="AA85" s="352"/>
      <c r="AB85" s="353">
        <f t="shared" si="9"/>
        <v>0</v>
      </c>
      <c r="AC85" s="354"/>
      <c r="AD85" s="352"/>
      <c r="AE85" s="352"/>
      <c r="AF85" s="353">
        <f t="shared" si="10"/>
        <v>0</v>
      </c>
      <c r="AG85" s="354"/>
      <c r="AH85" s="352"/>
      <c r="AI85" s="352"/>
      <c r="AJ85" s="353">
        <f t="shared" si="11"/>
        <v>0</v>
      </c>
      <c r="AK85" s="354"/>
      <c r="AL85" s="352"/>
      <c r="AM85" s="352"/>
      <c r="AN85" s="353">
        <f t="shared" si="12"/>
        <v>0</v>
      </c>
      <c r="AO85" s="354"/>
      <c r="AP85" s="352"/>
      <c r="AQ85" s="352"/>
      <c r="AR85" s="353">
        <f t="shared" si="13"/>
        <v>0</v>
      </c>
      <c r="AS85" s="354"/>
      <c r="AT85" s="352"/>
      <c r="AU85" s="352"/>
      <c r="AV85" s="353">
        <f t="shared" si="14"/>
        <v>0</v>
      </c>
      <c r="AW85" s="354"/>
      <c r="AX85" s="352"/>
      <c r="AY85" s="352"/>
      <c r="AZ85" s="353">
        <f t="shared" si="15"/>
        <v>0</v>
      </c>
      <c r="BA85" s="354"/>
      <c r="BB85" s="352"/>
      <c r="BC85" s="352"/>
      <c r="BD85" s="353">
        <f t="shared" si="16"/>
        <v>0</v>
      </c>
      <c r="BE85" s="353">
        <f t="shared" si="17"/>
        <v>0</v>
      </c>
      <c r="BF85" s="355"/>
      <c r="BG85" s="361"/>
      <c r="BH85" s="362"/>
    </row>
    <row r="86" spans="1:60" ht="18" customHeight="1">
      <c r="A86" s="336">
        <v>78</v>
      </c>
      <c r="B86" s="337"/>
      <c r="C86" s="338"/>
      <c r="D86" s="339"/>
      <c r="E86" s="340"/>
      <c r="F86" s="340"/>
      <c r="G86" s="341"/>
      <c r="H86" s="359"/>
      <c r="I86" s="360"/>
      <c r="J86" s="344"/>
      <c r="K86" s="345"/>
      <c r="L86" s="339"/>
      <c r="M86" s="346"/>
      <c r="N86" s="344"/>
      <c r="O86" s="345"/>
      <c r="P86" s="339"/>
      <c r="Q86" s="346"/>
      <c r="R86" s="344"/>
      <c r="S86" s="345"/>
      <c r="T86" s="339"/>
      <c r="U86" s="347"/>
      <c r="V86" s="348"/>
      <c r="W86" s="349"/>
      <c r="X86" s="350"/>
      <c r="Y86" s="351"/>
      <c r="Z86" s="352"/>
      <c r="AA86" s="352"/>
      <c r="AB86" s="353">
        <f t="shared" si="9"/>
        <v>0</v>
      </c>
      <c r="AC86" s="354"/>
      <c r="AD86" s="352"/>
      <c r="AE86" s="352"/>
      <c r="AF86" s="353">
        <f t="shared" si="10"/>
        <v>0</v>
      </c>
      <c r="AG86" s="354"/>
      <c r="AH86" s="352"/>
      <c r="AI86" s="352"/>
      <c r="AJ86" s="353">
        <f t="shared" si="11"/>
        <v>0</v>
      </c>
      <c r="AK86" s="354"/>
      <c r="AL86" s="352"/>
      <c r="AM86" s="352"/>
      <c r="AN86" s="353">
        <f t="shared" si="12"/>
        <v>0</v>
      </c>
      <c r="AO86" s="354"/>
      <c r="AP86" s="352"/>
      <c r="AQ86" s="352"/>
      <c r="AR86" s="353">
        <f t="shared" si="13"/>
        <v>0</v>
      </c>
      <c r="AS86" s="354"/>
      <c r="AT86" s="352"/>
      <c r="AU86" s="352"/>
      <c r="AV86" s="353">
        <f t="shared" si="14"/>
        <v>0</v>
      </c>
      <c r="AW86" s="354"/>
      <c r="AX86" s="352"/>
      <c r="AY86" s="352"/>
      <c r="AZ86" s="353">
        <f t="shared" si="15"/>
        <v>0</v>
      </c>
      <c r="BA86" s="354"/>
      <c r="BB86" s="352"/>
      <c r="BC86" s="352"/>
      <c r="BD86" s="353">
        <f t="shared" si="16"/>
        <v>0</v>
      </c>
      <c r="BE86" s="353">
        <f t="shared" si="17"/>
        <v>0</v>
      </c>
      <c r="BF86" s="355"/>
      <c r="BG86" s="361"/>
      <c r="BH86" s="362"/>
    </row>
    <row r="87" spans="1:60" ht="18" customHeight="1">
      <c r="A87" s="336">
        <v>79</v>
      </c>
      <c r="B87" s="337"/>
      <c r="C87" s="338"/>
      <c r="D87" s="339"/>
      <c r="E87" s="340"/>
      <c r="F87" s="340"/>
      <c r="G87" s="341"/>
      <c r="H87" s="359"/>
      <c r="I87" s="360"/>
      <c r="J87" s="344"/>
      <c r="K87" s="345"/>
      <c r="L87" s="339"/>
      <c r="M87" s="346"/>
      <c r="N87" s="344"/>
      <c r="O87" s="345"/>
      <c r="P87" s="339"/>
      <c r="Q87" s="346"/>
      <c r="R87" s="344"/>
      <c r="S87" s="345"/>
      <c r="T87" s="339"/>
      <c r="U87" s="347"/>
      <c r="V87" s="348"/>
      <c r="W87" s="349"/>
      <c r="X87" s="350"/>
      <c r="Y87" s="351"/>
      <c r="Z87" s="352"/>
      <c r="AA87" s="352"/>
      <c r="AB87" s="353">
        <f t="shared" si="9"/>
        <v>0</v>
      </c>
      <c r="AC87" s="354"/>
      <c r="AD87" s="352"/>
      <c r="AE87" s="352"/>
      <c r="AF87" s="353">
        <f t="shared" si="10"/>
        <v>0</v>
      </c>
      <c r="AG87" s="354"/>
      <c r="AH87" s="352"/>
      <c r="AI87" s="352"/>
      <c r="AJ87" s="353">
        <f t="shared" si="11"/>
        <v>0</v>
      </c>
      <c r="AK87" s="354"/>
      <c r="AL87" s="352"/>
      <c r="AM87" s="352"/>
      <c r="AN87" s="353">
        <f t="shared" si="12"/>
        <v>0</v>
      </c>
      <c r="AO87" s="354"/>
      <c r="AP87" s="352"/>
      <c r="AQ87" s="352"/>
      <c r="AR87" s="353">
        <f t="shared" si="13"/>
        <v>0</v>
      </c>
      <c r="AS87" s="354"/>
      <c r="AT87" s="352"/>
      <c r="AU87" s="352"/>
      <c r="AV87" s="353">
        <f t="shared" si="14"/>
        <v>0</v>
      </c>
      <c r="AW87" s="354"/>
      <c r="AX87" s="352"/>
      <c r="AY87" s="352"/>
      <c r="AZ87" s="353">
        <f t="shared" si="15"/>
        <v>0</v>
      </c>
      <c r="BA87" s="354"/>
      <c r="BB87" s="352"/>
      <c r="BC87" s="352"/>
      <c r="BD87" s="353">
        <f t="shared" si="16"/>
        <v>0</v>
      </c>
      <c r="BE87" s="353">
        <f t="shared" si="17"/>
        <v>0</v>
      </c>
      <c r="BF87" s="355"/>
      <c r="BG87" s="361"/>
      <c r="BH87" s="362"/>
    </row>
    <row r="88" spans="1:60" ht="18" customHeight="1">
      <c r="A88" s="336">
        <v>80</v>
      </c>
      <c r="B88" s="337"/>
      <c r="C88" s="338"/>
      <c r="D88" s="339"/>
      <c r="E88" s="340"/>
      <c r="F88" s="340"/>
      <c r="G88" s="341"/>
      <c r="H88" s="359"/>
      <c r="I88" s="360"/>
      <c r="J88" s="344"/>
      <c r="K88" s="345"/>
      <c r="L88" s="339"/>
      <c r="M88" s="346"/>
      <c r="N88" s="344"/>
      <c r="O88" s="345"/>
      <c r="P88" s="339"/>
      <c r="Q88" s="346"/>
      <c r="R88" s="344"/>
      <c r="S88" s="345"/>
      <c r="T88" s="339"/>
      <c r="U88" s="347"/>
      <c r="V88" s="348"/>
      <c r="W88" s="349"/>
      <c r="X88" s="350"/>
      <c r="Y88" s="351"/>
      <c r="Z88" s="352"/>
      <c r="AA88" s="352"/>
      <c r="AB88" s="353">
        <f t="shared" si="9"/>
        <v>0</v>
      </c>
      <c r="AC88" s="354"/>
      <c r="AD88" s="352"/>
      <c r="AE88" s="352"/>
      <c r="AF88" s="353">
        <f t="shared" si="10"/>
        <v>0</v>
      </c>
      <c r="AG88" s="354"/>
      <c r="AH88" s="352"/>
      <c r="AI88" s="352"/>
      <c r="AJ88" s="353">
        <f t="shared" si="11"/>
        <v>0</v>
      </c>
      <c r="AK88" s="354"/>
      <c r="AL88" s="352"/>
      <c r="AM88" s="352"/>
      <c r="AN88" s="353">
        <f t="shared" si="12"/>
        <v>0</v>
      </c>
      <c r="AO88" s="354"/>
      <c r="AP88" s="352"/>
      <c r="AQ88" s="352"/>
      <c r="AR88" s="353">
        <f t="shared" si="13"/>
        <v>0</v>
      </c>
      <c r="AS88" s="354"/>
      <c r="AT88" s="352"/>
      <c r="AU88" s="352"/>
      <c r="AV88" s="353">
        <f t="shared" si="14"/>
        <v>0</v>
      </c>
      <c r="AW88" s="354"/>
      <c r="AX88" s="352"/>
      <c r="AY88" s="352"/>
      <c r="AZ88" s="353">
        <f t="shared" si="15"/>
        <v>0</v>
      </c>
      <c r="BA88" s="354"/>
      <c r="BB88" s="352"/>
      <c r="BC88" s="352"/>
      <c r="BD88" s="353">
        <f t="shared" si="16"/>
        <v>0</v>
      </c>
      <c r="BE88" s="353">
        <f t="shared" si="17"/>
        <v>0</v>
      </c>
      <c r="BF88" s="355"/>
      <c r="BG88" s="361"/>
      <c r="BH88" s="362"/>
    </row>
    <row r="89" spans="1:60" ht="18" customHeight="1">
      <c r="A89" s="336">
        <v>81</v>
      </c>
      <c r="B89" s="337"/>
      <c r="C89" s="338"/>
      <c r="D89" s="339"/>
      <c r="E89" s="340"/>
      <c r="F89" s="340"/>
      <c r="G89" s="341"/>
      <c r="H89" s="359"/>
      <c r="I89" s="360"/>
      <c r="J89" s="344"/>
      <c r="K89" s="345"/>
      <c r="L89" s="339"/>
      <c r="M89" s="346"/>
      <c r="N89" s="344"/>
      <c r="O89" s="345"/>
      <c r="P89" s="339"/>
      <c r="Q89" s="346"/>
      <c r="R89" s="344"/>
      <c r="S89" s="345"/>
      <c r="T89" s="339"/>
      <c r="U89" s="347"/>
      <c r="V89" s="348"/>
      <c r="W89" s="349"/>
      <c r="X89" s="350"/>
      <c r="Y89" s="351"/>
      <c r="Z89" s="352"/>
      <c r="AA89" s="352"/>
      <c r="AB89" s="353">
        <f t="shared" si="9"/>
        <v>0</v>
      </c>
      <c r="AC89" s="354"/>
      <c r="AD89" s="352"/>
      <c r="AE89" s="352"/>
      <c r="AF89" s="353">
        <f t="shared" si="10"/>
        <v>0</v>
      </c>
      <c r="AG89" s="354"/>
      <c r="AH89" s="352"/>
      <c r="AI89" s="352"/>
      <c r="AJ89" s="353">
        <f t="shared" si="11"/>
        <v>0</v>
      </c>
      <c r="AK89" s="354"/>
      <c r="AL89" s="352"/>
      <c r="AM89" s="352"/>
      <c r="AN89" s="353">
        <f t="shared" si="12"/>
        <v>0</v>
      </c>
      <c r="AO89" s="354"/>
      <c r="AP89" s="352"/>
      <c r="AQ89" s="352"/>
      <c r="AR89" s="353">
        <f t="shared" si="13"/>
        <v>0</v>
      </c>
      <c r="AS89" s="354"/>
      <c r="AT89" s="352"/>
      <c r="AU89" s="352"/>
      <c r="AV89" s="353">
        <f t="shared" si="14"/>
        <v>0</v>
      </c>
      <c r="AW89" s="354"/>
      <c r="AX89" s="352"/>
      <c r="AY89" s="352"/>
      <c r="AZ89" s="353">
        <f t="shared" si="15"/>
        <v>0</v>
      </c>
      <c r="BA89" s="354"/>
      <c r="BB89" s="352"/>
      <c r="BC89" s="352"/>
      <c r="BD89" s="353">
        <f t="shared" si="16"/>
        <v>0</v>
      </c>
      <c r="BE89" s="353">
        <f t="shared" si="17"/>
        <v>0</v>
      </c>
      <c r="BF89" s="355"/>
      <c r="BG89" s="361"/>
      <c r="BH89" s="362"/>
    </row>
    <row r="90" spans="1:60" ht="18" customHeight="1">
      <c r="A90" s="336">
        <v>82</v>
      </c>
      <c r="B90" s="337"/>
      <c r="C90" s="338"/>
      <c r="D90" s="339"/>
      <c r="E90" s="340"/>
      <c r="F90" s="340"/>
      <c r="G90" s="341"/>
      <c r="H90" s="359"/>
      <c r="I90" s="360"/>
      <c r="J90" s="344"/>
      <c r="K90" s="345"/>
      <c r="L90" s="339"/>
      <c r="M90" s="346"/>
      <c r="N90" s="344"/>
      <c r="O90" s="345"/>
      <c r="P90" s="339"/>
      <c r="Q90" s="346"/>
      <c r="R90" s="344"/>
      <c r="S90" s="345"/>
      <c r="T90" s="339"/>
      <c r="U90" s="347"/>
      <c r="V90" s="348"/>
      <c r="W90" s="349"/>
      <c r="X90" s="350"/>
      <c r="Y90" s="351"/>
      <c r="Z90" s="352"/>
      <c r="AA90" s="352"/>
      <c r="AB90" s="353">
        <f t="shared" si="9"/>
        <v>0</v>
      </c>
      <c r="AC90" s="354"/>
      <c r="AD90" s="352"/>
      <c r="AE90" s="352"/>
      <c r="AF90" s="353">
        <f t="shared" si="10"/>
        <v>0</v>
      </c>
      <c r="AG90" s="354"/>
      <c r="AH90" s="352"/>
      <c r="AI90" s="352"/>
      <c r="AJ90" s="353">
        <f t="shared" si="11"/>
        <v>0</v>
      </c>
      <c r="AK90" s="354"/>
      <c r="AL90" s="352"/>
      <c r="AM90" s="352"/>
      <c r="AN90" s="353">
        <f t="shared" si="12"/>
        <v>0</v>
      </c>
      <c r="AO90" s="354"/>
      <c r="AP90" s="352"/>
      <c r="AQ90" s="352"/>
      <c r="AR90" s="353">
        <f t="shared" si="13"/>
        <v>0</v>
      </c>
      <c r="AS90" s="354"/>
      <c r="AT90" s="352"/>
      <c r="AU90" s="352"/>
      <c r="AV90" s="353">
        <f t="shared" si="14"/>
        <v>0</v>
      </c>
      <c r="AW90" s="354"/>
      <c r="AX90" s="352"/>
      <c r="AY90" s="352"/>
      <c r="AZ90" s="353">
        <f t="shared" si="15"/>
        <v>0</v>
      </c>
      <c r="BA90" s="354"/>
      <c r="BB90" s="352"/>
      <c r="BC90" s="352"/>
      <c r="BD90" s="353">
        <f t="shared" si="16"/>
        <v>0</v>
      </c>
      <c r="BE90" s="353">
        <f t="shared" si="17"/>
        <v>0</v>
      </c>
      <c r="BF90" s="355"/>
      <c r="BG90" s="361"/>
      <c r="BH90" s="362"/>
    </row>
    <row r="91" spans="1:60" ht="18" customHeight="1">
      <c r="A91" s="336">
        <v>83</v>
      </c>
      <c r="B91" s="337"/>
      <c r="C91" s="338"/>
      <c r="D91" s="339"/>
      <c r="E91" s="340"/>
      <c r="F91" s="340"/>
      <c r="G91" s="341"/>
      <c r="H91" s="359"/>
      <c r="I91" s="360"/>
      <c r="J91" s="344"/>
      <c r="K91" s="345"/>
      <c r="L91" s="339"/>
      <c r="M91" s="346"/>
      <c r="N91" s="344"/>
      <c r="O91" s="345"/>
      <c r="P91" s="339"/>
      <c r="Q91" s="346"/>
      <c r="R91" s="344"/>
      <c r="S91" s="345"/>
      <c r="T91" s="339"/>
      <c r="U91" s="347"/>
      <c r="V91" s="348"/>
      <c r="W91" s="349"/>
      <c r="X91" s="350"/>
      <c r="Y91" s="351"/>
      <c r="Z91" s="352"/>
      <c r="AA91" s="352"/>
      <c r="AB91" s="353">
        <f t="shared" si="9"/>
        <v>0</v>
      </c>
      <c r="AC91" s="354"/>
      <c r="AD91" s="352"/>
      <c r="AE91" s="352"/>
      <c r="AF91" s="353">
        <f t="shared" si="10"/>
        <v>0</v>
      </c>
      <c r="AG91" s="354"/>
      <c r="AH91" s="352"/>
      <c r="AI91" s="352"/>
      <c r="AJ91" s="353">
        <f t="shared" si="11"/>
        <v>0</v>
      </c>
      <c r="AK91" s="354"/>
      <c r="AL91" s="352"/>
      <c r="AM91" s="352"/>
      <c r="AN91" s="353">
        <f t="shared" si="12"/>
        <v>0</v>
      </c>
      <c r="AO91" s="354"/>
      <c r="AP91" s="352"/>
      <c r="AQ91" s="352"/>
      <c r="AR91" s="353">
        <f t="shared" si="13"/>
        <v>0</v>
      </c>
      <c r="AS91" s="354"/>
      <c r="AT91" s="352"/>
      <c r="AU91" s="352"/>
      <c r="AV91" s="353">
        <f t="shared" si="14"/>
        <v>0</v>
      </c>
      <c r="AW91" s="354"/>
      <c r="AX91" s="352"/>
      <c r="AY91" s="352"/>
      <c r="AZ91" s="353">
        <f t="shared" si="15"/>
        <v>0</v>
      </c>
      <c r="BA91" s="354"/>
      <c r="BB91" s="352"/>
      <c r="BC91" s="352"/>
      <c r="BD91" s="353">
        <f t="shared" si="16"/>
        <v>0</v>
      </c>
      <c r="BE91" s="353">
        <f t="shared" si="17"/>
        <v>0</v>
      </c>
      <c r="BF91" s="355"/>
      <c r="BG91" s="361"/>
      <c r="BH91" s="362"/>
    </row>
    <row r="92" spans="1:60" ht="18" customHeight="1">
      <c r="A92" s="336">
        <v>84</v>
      </c>
      <c r="B92" s="337"/>
      <c r="C92" s="338"/>
      <c r="D92" s="339"/>
      <c r="E92" s="340"/>
      <c r="F92" s="340"/>
      <c r="G92" s="341"/>
      <c r="H92" s="359"/>
      <c r="I92" s="360"/>
      <c r="J92" s="344"/>
      <c r="K92" s="345"/>
      <c r="L92" s="339"/>
      <c r="M92" s="346"/>
      <c r="N92" s="344"/>
      <c r="O92" s="345"/>
      <c r="P92" s="339"/>
      <c r="Q92" s="346"/>
      <c r="R92" s="344"/>
      <c r="S92" s="345"/>
      <c r="T92" s="339"/>
      <c r="U92" s="347"/>
      <c r="V92" s="348"/>
      <c r="W92" s="349"/>
      <c r="X92" s="350"/>
      <c r="Y92" s="351"/>
      <c r="Z92" s="352"/>
      <c r="AA92" s="352"/>
      <c r="AB92" s="353">
        <f t="shared" si="9"/>
        <v>0</v>
      </c>
      <c r="AC92" s="354"/>
      <c r="AD92" s="352"/>
      <c r="AE92" s="352"/>
      <c r="AF92" s="353">
        <f t="shared" si="10"/>
        <v>0</v>
      </c>
      <c r="AG92" s="354"/>
      <c r="AH92" s="352"/>
      <c r="AI92" s="352"/>
      <c r="AJ92" s="353">
        <f t="shared" si="11"/>
        <v>0</v>
      </c>
      <c r="AK92" s="354"/>
      <c r="AL92" s="352"/>
      <c r="AM92" s="352"/>
      <c r="AN92" s="353">
        <f t="shared" si="12"/>
        <v>0</v>
      </c>
      <c r="AO92" s="354"/>
      <c r="AP92" s="352"/>
      <c r="AQ92" s="352"/>
      <c r="AR92" s="353">
        <f t="shared" si="13"/>
        <v>0</v>
      </c>
      <c r="AS92" s="354"/>
      <c r="AT92" s="352"/>
      <c r="AU92" s="352"/>
      <c r="AV92" s="353">
        <f t="shared" si="14"/>
        <v>0</v>
      </c>
      <c r="AW92" s="354"/>
      <c r="AX92" s="352"/>
      <c r="AY92" s="352"/>
      <c r="AZ92" s="353">
        <f t="shared" si="15"/>
        <v>0</v>
      </c>
      <c r="BA92" s="354"/>
      <c r="BB92" s="352"/>
      <c r="BC92" s="352"/>
      <c r="BD92" s="353">
        <f t="shared" si="16"/>
        <v>0</v>
      </c>
      <c r="BE92" s="353">
        <f t="shared" si="17"/>
        <v>0</v>
      </c>
      <c r="BF92" s="355"/>
      <c r="BG92" s="361"/>
      <c r="BH92" s="362"/>
    </row>
    <row r="93" spans="1:60" ht="18" customHeight="1">
      <c r="A93" s="336">
        <v>85</v>
      </c>
      <c r="B93" s="337"/>
      <c r="C93" s="338"/>
      <c r="D93" s="339"/>
      <c r="E93" s="340"/>
      <c r="F93" s="340"/>
      <c r="G93" s="341"/>
      <c r="H93" s="359"/>
      <c r="I93" s="360"/>
      <c r="J93" s="344"/>
      <c r="K93" s="345"/>
      <c r="L93" s="339"/>
      <c r="M93" s="346"/>
      <c r="N93" s="344"/>
      <c r="O93" s="345"/>
      <c r="P93" s="339"/>
      <c r="Q93" s="346"/>
      <c r="R93" s="344"/>
      <c r="S93" s="345"/>
      <c r="T93" s="339"/>
      <c r="U93" s="347"/>
      <c r="V93" s="348"/>
      <c r="W93" s="349"/>
      <c r="X93" s="350"/>
      <c r="Y93" s="351"/>
      <c r="Z93" s="352"/>
      <c r="AA93" s="352"/>
      <c r="AB93" s="353">
        <f t="shared" si="9"/>
        <v>0</v>
      </c>
      <c r="AC93" s="354"/>
      <c r="AD93" s="352"/>
      <c r="AE93" s="352"/>
      <c r="AF93" s="353">
        <f t="shared" si="10"/>
        <v>0</v>
      </c>
      <c r="AG93" s="354"/>
      <c r="AH93" s="352"/>
      <c r="AI93" s="352"/>
      <c r="AJ93" s="353">
        <f t="shared" si="11"/>
        <v>0</v>
      </c>
      <c r="AK93" s="354"/>
      <c r="AL93" s="352"/>
      <c r="AM93" s="352"/>
      <c r="AN93" s="353">
        <f t="shared" si="12"/>
        <v>0</v>
      </c>
      <c r="AO93" s="354"/>
      <c r="AP93" s="352"/>
      <c r="AQ93" s="352"/>
      <c r="AR93" s="353">
        <f t="shared" si="13"/>
        <v>0</v>
      </c>
      <c r="AS93" s="354"/>
      <c r="AT93" s="352"/>
      <c r="AU93" s="352"/>
      <c r="AV93" s="353">
        <f t="shared" si="14"/>
        <v>0</v>
      </c>
      <c r="AW93" s="354"/>
      <c r="AX93" s="352"/>
      <c r="AY93" s="352"/>
      <c r="AZ93" s="353">
        <f t="shared" si="15"/>
        <v>0</v>
      </c>
      <c r="BA93" s="354"/>
      <c r="BB93" s="352"/>
      <c r="BC93" s="352"/>
      <c r="BD93" s="353">
        <f t="shared" si="16"/>
        <v>0</v>
      </c>
      <c r="BE93" s="353">
        <f t="shared" si="17"/>
        <v>0</v>
      </c>
      <c r="BF93" s="355"/>
      <c r="BG93" s="361"/>
      <c r="BH93" s="362"/>
    </row>
    <row r="94" spans="1:60" ht="18" customHeight="1">
      <c r="A94" s="336">
        <v>86</v>
      </c>
      <c r="B94" s="337"/>
      <c r="C94" s="338"/>
      <c r="D94" s="339"/>
      <c r="E94" s="340"/>
      <c r="F94" s="340"/>
      <c r="G94" s="341"/>
      <c r="H94" s="359"/>
      <c r="I94" s="360"/>
      <c r="J94" s="344"/>
      <c r="K94" s="345"/>
      <c r="L94" s="339"/>
      <c r="M94" s="346"/>
      <c r="N94" s="344"/>
      <c r="O94" s="345"/>
      <c r="P94" s="339"/>
      <c r="Q94" s="346"/>
      <c r="R94" s="344"/>
      <c r="S94" s="345"/>
      <c r="T94" s="339"/>
      <c r="U94" s="347"/>
      <c r="V94" s="348"/>
      <c r="W94" s="349"/>
      <c r="X94" s="350"/>
      <c r="Y94" s="351"/>
      <c r="Z94" s="352"/>
      <c r="AA94" s="352"/>
      <c r="AB94" s="353">
        <f t="shared" si="9"/>
        <v>0</v>
      </c>
      <c r="AC94" s="354"/>
      <c r="AD94" s="352"/>
      <c r="AE94" s="352"/>
      <c r="AF94" s="353">
        <f t="shared" si="10"/>
        <v>0</v>
      </c>
      <c r="AG94" s="354"/>
      <c r="AH94" s="352"/>
      <c r="AI94" s="352"/>
      <c r="AJ94" s="353">
        <f t="shared" si="11"/>
        <v>0</v>
      </c>
      <c r="AK94" s="354"/>
      <c r="AL94" s="352"/>
      <c r="AM94" s="352"/>
      <c r="AN94" s="353">
        <f t="shared" si="12"/>
        <v>0</v>
      </c>
      <c r="AO94" s="354"/>
      <c r="AP94" s="352"/>
      <c r="AQ94" s="352"/>
      <c r="AR94" s="353">
        <f t="shared" si="13"/>
        <v>0</v>
      </c>
      <c r="AS94" s="354"/>
      <c r="AT94" s="352"/>
      <c r="AU94" s="352"/>
      <c r="AV94" s="353">
        <f t="shared" si="14"/>
        <v>0</v>
      </c>
      <c r="AW94" s="354"/>
      <c r="AX94" s="352"/>
      <c r="AY94" s="352"/>
      <c r="AZ94" s="353">
        <f t="shared" si="15"/>
        <v>0</v>
      </c>
      <c r="BA94" s="354"/>
      <c r="BB94" s="352"/>
      <c r="BC94" s="352"/>
      <c r="BD94" s="353">
        <f t="shared" si="16"/>
        <v>0</v>
      </c>
      <c r="BE94" s="353">
        <f t="shared" si="17"/>
        <v>0</v>
      </c>
      <c r="BF94" s="355"/>
      <c r="BG94" s="361"/>
      <c r="BH94" s="362"/>
    </row>
    <row r="95" spans="1:60" ht="23.1" customHeight="1">
      <c r="A95" s="336">
        <v>87</v>
      </c>
      <c r="B95" s="337"/>
      <c r="C95" s="338"/>
      <c r="D95" s="339"/>
      <c r="E95" s="340"/>
      <c r="F95" s="340"/>
      <c r="G95" s="341"/>
      <c r="H95" s="359"/>
      <c r="I95" s="360"/>
      <c r="J95" s="344"/>
      <c r="K95" s="345"/>
      <c r="L95" s="339"/>
      <c r="M95" s="346"/>
      <c r="N95" s="344"/>
      <c r="O95" s="345"/>
      <c r="P95" s="339"/>
      <c r="Q95" s="346"/>
      <c r="R95" s="344"/>
      <c r="S95" s="345"/>
      <c r="T95" s="339"/>
      <c r="U95" s="347"/>
      <c r="V95" s="348"/>
      <c r="W95" s="349"/>
      <c r="X95" s="350"/>
      <c r="Y95" s="351"/>
      <c r="Z95" s="352"/>
      <c r="AA95" s="352"/>
      <c r="AB95" s="353">
        <f t="shared" si="9"/>
        <v>0</v>
      </c>
      <c r="AC95" s="354"/>
      <c r="AD95" s="352"/>
      <c r="AE95" s="352"/>
      <c r="AF95" s="353">
        <f t="shared" si="10"/>
        <v>0</v>
      </c>
      <c r="AG95" s="354"/>
      <c r="AH95" s="352"/>
      <c r="AI95" s="352"/>
      <c r="AJ95" s="353">
        <f t="shared" si="11"/>
        <v>0</v>
      </c>
      <c r="AK95" s="354"/>
      <c r="AL95" s="352"/>
      <c r="AM95" s="352"/>
      <c r="AN95" s="353">
        <f t="shared" si="12"/>
        <v>0</v>
      </c>
      <c r="AO95" s="354"/>
      <c r="AP95" s="352"/>
      <c r="AQ95" s="352"/>
      <c r="AR95" s="353">
        <f t="shared" si="13"/>
        <v>0</v>
      </c>
      <c r="AS95" s="354"/>
      <c r="AT95" s="352"/>
      <c r="AU95" s="352"/>
      <c r="AV95" s="353">
        <f t="shared" si="14"/>
        <v>0</v>
      </c>
      <c r="AW95" s="354"/>
      <c r="AX95" s="352"/>
      <c r="AY95" s="352"/>
      <c r="AZ95" s="353">
        <f t="shared" si="15"/>
        <v>0</v>
      </c>
      <c r="BA95" s="354"/>
      <c r="BB95" s="352"/>
      <c r="BC95" s="352"/>
      <c r="BD95" s="353">
        <f t="shared" si="16"/>
        <v>0</v>
      </c>
      <c r="BE95" s="353">
        <f t="shared" si="17"/>
        <v>0</v>
      </c>
      <c r="BF95" s="355"/>
      <c r="BG95" s="361"/>
      <c r="BH95" s="362"/>
    </row>
    <row r="96" spans="1:60" ht="23.1" customHeight="1">
      <c r="A96" s="336">
        <v>88</v>
      </c>
      <c r="B96" s="337"/>
      <c r="C96" s="338"/>
      <c r="D96" s="339"/>
      <c r="E96" s="340"/>
      <c r="F96" s="340"/>
      <c r="G96" s="341"/>
      <c r="H96" s="359"/>
      <c r="I96" s="360"/>
      <c r="J96" s="344"/>
      <c r="K96" s="345"/>
      <c r="L96" s="339"/>
      <c r="M96" s="346"/>
      <c r="N96" s="344"/>
      <c r="O96" s="345"/>
      <c r="P96" s="339"/>
      <c r="Q96" s="346"/>
      <c r="R96" s="344"/>
      <c r="S96" s="345"/>
      <c r="T96" s="339"/>
      <c r="U96" s="347"/>
      <c r="V96" s="348"/>
      <c r="W96" s="349"/>
      <c r="X96" s="350"/>
      <c r="Y96" s="351"/>
      <c r="Z96" s="352"/>
      <c r="AA96" s="352"/>
      <c r="AB96" s="353">
        <f t="shared" si="9"/>
        <v>0</v>
      </c>
      <c r="AC96" s="354"/>
      <c r="AD96" s="352"/>
      <c r="AE96" s="352"/>
      <c r="AF96" s="353">
        <f t="shared" si="10"/>
        <v>0</v>
      </c>
      <c r="AG96" s="354"/>
      <c r="AH96" s="352"/>
      <c r="AI96" s="352"/>
      <c r="AJ96" s="353">
        <f t="shared" si="11"/>
        <v>0</v>
      </c>
      <c r="AK96" s="354"/>
      <c r="AL96" s="352"/>
      <c r="AM96" s="352"/>
      <c r="AN96" s="353">
        <f t="shared" si="12"/>
        <v>0</v>
      </c>
      <c r="AO96" s="354"/>
      <c r="AP96" s="352"/>
      <c r="AQ96" s="352"/>
      <c r="AR96" s="353">
        <f t="shared" si="13"/>
        <v>0</v>
      </c>
      <c r="AS96" s="354"/>
      <c r="AT96" s="352"/>
      <c r="AU96" s="352"/>
      <c r="AV96" s="353">
        <f t="shared" si="14"/>
        <v>0</v>
      </c>
      <c r="AW96" s="354"/>
      <c r="AX96" s="352"/>
      <c r="AY96" s="352"/>
      <c r="AZ96" s="353">
        <f t="shared" si="15"/>
        <v>0</v>
      </c>
      <c r="BA96" s="354"/>
      <c r="BB96" s="352"/>
      <c r="BC96" s="352"/>
      <c r="BD96" s="353">
        <f t="shared" si="16"/>
        <v>0</v>
      </c>
      <c r="BE96" s="353">
        <f t="shared" si="17"/>
        <v>0</v>
      </c>
      <c r="BF96" s="355"/>
      <c r="BG96" s="361"/>
      <c r="BH96" s="362"/>
    </row>
    <row r="97" spans="1:60" ht="23.1" customHeight="1">
      <c r="A97" s="336">
        <v>89</v>
      </c>
      <c r="B97" s="337"/>
      <c r="C97" s="338"/>
      <c r="D97" s="339"/>
      <c r="E97" s="340"/>
      <c r="F97" s="340"/>
      <c r="G97" s="341"/>
      <c r="H97" s="359"/>
      <c r="I97" s="360"/>
      <c r="J97" s="344"/>
      <c r="K97" s="345"/>
      <c r="L97" s="339"/>
      <c r="M97" s="346"/>
      <c r="N97" s="344"/>
      <c r="O97" s="345"/>
      <c r="P97" s="339"/>
      <c r="Q97" s="346"/>
      <c r="R97" s="344"/>
      <c r="S97" s="345"/>
      <c r="T97" s="339"/>
      <c r="U97" s="347"/>
      <c r="V97" s="348"/>
      <c r="W97" s="349"/>
      <c r="X97" s="350"/>
      <c r="Y97" s="351"/>
      <c r="Z97" s="352"/>
      <c r="AA97" s="352"/>
      <c r="AB97" s="353">
        <f t="shared" si="9"/>
        <v>0</v>
      </c>
      <c r="AC97" s="354"/>
      <c r="AD97" s="352"/>
      <c r="AE97" s="352"/>
      <c r="AF97" s="353">
        <f t="shared" si="10"/>
        <v>0</v>
      </c>
      <c r="AG97" s="354"/>
      <c r="AH97" s="352"/>
      <c r="AI97" s="352"/>
      <c r="AJ97" s="353">
        <f t="shared" si="11"/>
        <v>0</v>
      </c>
      <c r="AK97" s="354"/>
      <c r="AL97" s="352"/>
      <c r="AM97" s="352"/>
      <c r="AN97" s="353">
        <f t="shared" si="12"/>
        <v>0</v>
      </c>
      <c r="AO97" s="354"/>
      <c r="AP97" s="352"/>
      <c r="AQ97" s="352"/>
      <c r="AR97" s="353">
        <f t="shared" si="13"/>
        <v>0</v>
      </c>
      <c r="AS97" s="354"/>
      <c r="AT97" s="352"/>
      <c r="AU97" s="352"/>
      <c r="AV97" s="353">
        <f t="shared" si="14"/>
        <v>0</v>
      </c>
      <c r="AW97" s="354"/>
      <c r="AX97" s="352"/>
      <c r="AY97" s="352"/>
      <c r="AZ97" s="353">
        <f t="shared" si="15"/>
        <v>0</v>
      </c>
      <c r="BA97" s="354"/>
      <c r="BB97" s="352"/>
      <c r="BC97" s="352"/>
      <c r="BD97" s="353">
        <f t="shared" si="16"/>
        <v>0</v>
      </c>
      <c r="BE97" s="353">
        <f t="shared" si="17"/>
        <v>0</v>
      </c>
      <c r="BF97" s="355"/>
      <c r="BG97" s="361"/>
      <c r="BH97" s="362"/>
    </row>
    <row r="98" spans="1:60" ht="23.1" customHeight="1">
      <c r="A98" s="336">
        <v>90</v>
      </c>
      <c r="B98" s="337"/>
      <c r="C98" s="338"/>
      <c r="D98" s="339"/>
      <c r="E98" s="340"/>
      <c r="F98" s="340"/>
      <c r="G98" s="341"/>
      <c r="H98" s="359"/>
      <c r="I98" s="360"/>
      <c r="J98" s="344"/>
      <c r="K98" s="345"/>
      <c r="L98" s="339"/>
      <c r="M98" s="346"/>
      <c r="N98" s="344"/>
      <c r="O98" s="345"/>
      <c r="P98" s="339"/>
      <c r="Q98" s="346"/>
      <c r="R98" s="344"/>
      <c r="S98" s="345"/>
      <c r="T98" s="339"/>
      <c r="U98" s="347"/>
      <c r="V98" s="348"/>
      <c r="W98" s="349"/>
      <c r="X98" s="350"/>
      <c r="Y98" s="351"/>
      <c r="Z98" s="352"/>
      <c r="AA98" s="352"/>
      <c r="AB98" s="353">
        <f t="shared" si="9"/>
        <v>0</v>
      </c>
      <c r="AC98" s="354"/>
      <c r="AD98" s="352"/>
      <c r="AE98" s="352"/>
      <c r="AF98" s="353">
        <f t="shared" si="10"/>
        <v>0</v>
      </c>
      <c r="AG98" s="354"/>
      <c r="AH98" s="352"/>
      <c r="AI98" s="352"/>
      <c r="AJ98" s="353">
        <f t="shared" si="11"/>
        <v>0</v>
      </c>
      <c r="AK98" s="354"/>
      <c r="AL98" s="352"/>
      <c r="AM98" s="352"/>
      <c r="AN98" s="353">
        <f t="shared" si="12"/>
        <v>0</v>
      </c>
      <c r="AO98" s="354"/>
      <c r="AP98" s="352"/>
      <c r="AQ98" s="352"/>
      <c r="AR98" s="353">
        <f t="shared" si="13"/>
        <v>0</v>
      </c>
      <c r="AS98" s="354"/>
      <c r="AT98" s="352"/>
      <c r="AU98" s="352"/>
      <c r="AV98" s="353">
        <f t="shared" si="14"/>
        <v>0</v>
      </c>
      <c r="AW98" s="354"/>
      <c r="AX98" s="352"/>
      <c r="AY98" s="352"/>
      <c r="AZ98" s="353">
        <f t="shared" si="15"/>
        <v>0</v>
      </c>
      <c r="BA98" s="354"/>
      <c r="BB98" s="352"/>
      <c r="BC98" s="352"/>
      <c r="BD98" s="353">
        <f t="shared" si="16"/>
        <v>0</v>
      </c>
      <c r="BE98" s="353">
        <f t="shared" si="17"/>
        <v>0</v>
      </c>
      <c r="BF98" s="355"/>
      <c r="BG98" s="361"/>
      <c r="BH98" s="362"/>
    </row>
    <row r="99" spans="1:60" ht="23.1" customHeight="1">
      <c r="A99" s="336">
        <v>91</v>
      </c>
      <c r="B99" s="337"/>
      <c r="C99" s="338"/>
      <c r="D99" s="339"/>
      <c r="E99" s="340"/>
      <c r="F99" s="340"/>
      <c r="G99" s="341"/>
      <c r="H99" s="359"/>
      <c r="I99" s="360"/>
      <c r="J99" s="344"/>
      <c r="K99" s="345"/>
      <c r="L99" s="339"/>
      <c r="M99" s="346"/>
      <c r="N99" s="344"/>
      <c r="O99" s="345"/>
      <c r="P99" s="339"/>
      <c r="Q99" s="346"/>
      <c r="R99" s="344"/>
      <c r="S99" s="345"/>
      <c r="T99" s="339"/>
      <c r="U99" s="347"/>
      <c r="V99" s="348"/>
      <c r="W99" s="349"/>
      <c r="X99" s="350"/>
      <c r="Y99" s="351"/>
      <c r="Z99" s="352"/>
      <c r="AA99" s="352"/>
      <c r="AB99" s="353">
        <f t="shared" si="9"/>
        <v>0</v>
      </c>
      <c r="AC99" s="354"/>
      <c r="AD99" s="352"/>
      <c r="AE99" s="352"/>
      <c r="AF99" s="353">
        <f t="shared" si="10"/>
        <v>0</v>
      </c>
      <c r="AG99" s="354"/>
      <c r="AH99" s="352"/>
      <c r="AI99" s="352"/>
      <c r="AJ99" s="353">
        <f t="shared" si="11"/>
        <v>0</v>
      </c>
      <c r="AK99" s="354"/>
      <c r="AL99" s="352"/>
      <c r="AM99" s="352"/>
      <c r="AN99" s="353">
        <f t="shared" si="12"/>
        <v>0</v>
      </c>
      <c r="AO99" s="354"/>
      <c r="AP99" s="352"/>
      <c r="AQ99" s="352"/>
      <c r="AR99" s="353">
        <f t="shared" si="13"/>
        <v>0</v>
      </c>
      <c r="AS99" s="354"/>
      <c r="AT99" s="352"/>
      <c r="AU99" s="352"/>
      <c r="AV99" s="353">
        <f t="shared" si="14"/>
        <v>0</v>
      </c>
      <c r="AW99" s="354"/>
      <c r="AX99" s="352"/>
      <c r="AY99" s="352"/>
      <c r="AZ99" s="353">
        <f t="shared" si="15"/>
        <v>0</v>
      </c>
      <c r="BA99" s="354"/>
      <c r="BB99" s="352"/>
      <c r="BC99" s="352"/>
      <c r="BD99" s="353">
        <f t="shared" si="16"/>
        <v>0</v>
      </c>
      <c r="BE99" s="353">
        <f t="shared" si="17"/>
        <v>0</v>
      </c>
      <c r="BF99" s="355"/>
      <c r="BG99" s="361"/>
      <c r="BH99" s="362"/>
    </row>
    <row r="100" spans="1:60" ht="23.1" customHeight="1">
      <c r="A100" s="336">
        <v>92</v>
      </c>
      <c r="B100" s="337"/>
      <c r="C100" s="338"/>
      <c r="D100" s="339"/>
      <c r="E100" s="340"/>
      <c r="F100" s="340"/>
      <c r="G100" s="341"/>
      <c r="H100" s="359"/>
      <c r="I100" s="360"/>
      <c r="J100" s="344"/>
      <c r="K100" s="345"/>
      <c r="L100" s="339"/>
      <c r="M100" s="346"/>
      <c r="N100" s="344"/>
      <c r="O100" s="345"/>
      <c r="P100" s="339"/>
      <c r="Q100" s="346"/>
      <c r="R100" s="344"/>
      <c r="S100" s="345"/>
      <c r="T100" s="339"/>
      <c r="U100" s="347"/>
      <c r="V100" s="348"/>
      <c r="W100" s="349"/>
      <c r="X100" s="350"/>
      <c r="Y100" s="351"/>
      <c r="Z100" s="352"/>
      <c r="AA100" s="352"/>
      <c r="AB100" s="353">
        <f t="shared" si="9"/>
        <v>0</v>
      </c>
      <c r="AC100" s="354"/>
      <c r="AD100" s="352"/>
      <c r="AE100" s="352"/>
      <c r="AF100" s="353">
        <f t="shared" si="10"/>
        <v>0</v>
      </c>
      <c r="AG100" s="354"/>
      <c r="AH100" s="352"/>
      <c r="AI100" s="352"/>
      <c r="AJ100" s="353">
        <f t="shared" si="11"/>
        <v>0</v>
      </c>
      <c r="AK100" s="354"/>
      <c r="AL100" s="352"/>
      <c r="AM100" s="352"/>
      <c r="AN100" s="353">
        <f t="shared" si="12"/>
        <v>0</v>
      </c>
      <c r="AO100" s="354"/>
      <c r="AP100" s="352"/>
      <c r="AQ100" s="352"/>
      <c r="AR100" s="353">
        <f t="shared" si="13"/>
        <v>0</v>
      </c>
      <c r="AS100" s="354"/>
      <c r="AT100" s="352"/>
      <c r="AU100" s="352"/>
      <c r="AV100" s="353">
        <f t="shared" si="14"/>
        <v>0</v>
      </c>
      <c r="AW100" s="354"/>
      <c r="AX100" s="352"/>
      <c r="AY100" s="352"/>
      <c r="AZ100" s="353">
        <f t="shared" si="15"/>
        <v>0</v>
      </c>
      <c r="BA100" s="354"/>
      <c r="BB100" s="352"/>
      <c r="BC100" s="352"/>
      <c r="BD100" s="353">
        <f t="shared" si="16"/>
        <v>0</v>
      </c>
      <c r="BE100" s="353">
        <f t="shared" si="17"/>
        <v>0</v>
      </c>
      <c r="BF100" s="355"/>
      <c r="BG100" s="361"/>
      <c r="BH100" s="362"/>
    </row>
    <row r="101" spans="1:60" ht="23.1" customHeight="1">
      <c r="A101" s="336">
        <v>93</v>
      </c>
      <c r="B101" s="337"/>
      <c r="C101" s="338"/>
      <c r="D101" s="339"/>
      <c r="E101" s="340"/>
      <c r="F101" s="340"/>
      <c r="G101" s="341"/>
      <c r="H101" s="359"/>
      <c r="I101" s="360"/>
      <c r="J101" s="344"/>
      <c r="K101" s="345"/>
      <c r="L101" s="339"/>
      <c r="M101" s="346"/>
      <c r="N101" s="344"/>
      <c r="O101" s="345"/>
      <c r="P101" s="339"/>
      <c r="Q101" s="346"/>
      <c r="R101" s="344"/>
      <c r="S101" s="345"/>
      <c r="T101" s="339"/>
      <c r="U101" s="347"/>
      <c r="V101" s="348"/>
      <c r="W101" s="349"/>
      <c r="X101" s="350"/>
      <c r="Y101" s="351"/>
      <c r="Z101" s="352"/>
      <c r="AA101" s="352"/>
      <c r="AB101" s="353">
        <f t="shared" si="9"/>
        <v>0</v>
      </c>
      <c r="AC101" s="354"/>
      <c r="AD101" s="352"/>
      <c r="AE101" s="352"/>
      <c r="AF101" s="353">
        <f t="shared" si="10"/>
        <v>0</v>
      </c>
      <c r="AG101" s="354"/>
      <c r="AH101" s="352"/>
      <c r="AI101" s="352"/>
      <c r="AJ101" s="353">
        <f t="shared" si="11"/>
        <v>0</v>
      </c>
      <c r="AK101" s="354"/>
      <c r="AL101" s="352"/>
      <c r="AM101" s="352"/>
      <c r="AN101" s="353">
        <f t="shared" si="12"/>
        <v>0</v>
      </c>
      <c r="AO101" s="354"/>
      <c r="AP101" s="352"/>
      <c r="AQ101" s="352"/>
      <c r="AR101" s="353">
        <f t="shared" si="13"/>
        <v>0</v>
      </c>
      <c r="AS101" s="354"/>
      <c r="AT101" s="352"/>
      <c r="AU101" s="352"/>
      <c r="AV101" s="353">
        <f t="shared" si="14"/>
        <v>0</v>
      </c>
      <c r="AW101" s="354"/>
      <c r="AX101" s="352"/>
      <c r="AY101" s="352"/>
      <c r="AZ101" s="353">
        <f t="shared" si="15"/>
        <v>0</v>
      </c>
      <c r="BA101" s="354"/>
      <c r="BB101" s="352"/>
      <c r="BC101" s="352"/>
      <c r="BD101" s="353">
        <f t="shared" si="16"/>
        <v>0</v>
      </c>
      <c r="BE101" s="353">
        <f t="shared" si="17"/>
        <v>0</v>
      </c>
      <c r="BF101" s="355"/>
      <c r="BG101" s="361"/>
      <c r="BH101" s="362"/>
    </row>
    <row r="102" spans="1:60" ht="23.1" customHeight="1">
      <c r="A102" s="336">
        <v>94</v>
      </c>
      <c r="B102" s="337"/>
      <c r="C102" s="338"/>
      <c r="D102" s="339"/>
      <c r="E102" s="340"/>
      <c r="F102" s="340"/>
      <c r="G102" s="341"/>
      <c r="H102" s="359"/>
      <c r="I102" s="360"/>
      <c r="J102" s="344"/>
      <c r="K102" s="345"/>
      <c r="L102" s="339"/>
      <c r="M102" s="346"/>
      <c r="N102" s="344"/>
      <c r="O102" s="345"/>
      <c r="P102" s="339"/>
      <c r="Q102" s="346"/>
      <c r="R102" s="344"/>
      <c r="S102" s="345"/>
      <c r="T102" s="339"/>
      <c r="U102" s="347"/>
      <c r="V102" s="348"/>
      <c r="W102" s="349"/>
      <c r="X102" s="350"/>
      <c r="Y102" s="351"/>
      <c r="Z102" s="352"/>
      <c r="AA102" s="352"/>
      <c r="AB102" s="353">
        <f t="shared" si="9"/>
        <v>0</v>
      </c>
      <c r="AC102" s="354"/>
      <c r="AD102" s="352"/>
      <c r="AE102" s="352"/>
      <c r="AF102" s="353">
        <f t="shared" si="10"/>
        <v>0</v>
      </c>
      <c r="AG102" s="354"/>
      <c r="AH102" s="352"/>
      <c r="AI102" s="352"/>
      <c r="AJ102" s="353">
        <f t="shared" si="11"/>
        <v>0</v>
      </c>
      <c r="AK102" s="354"/>
      <c r="AL102" s="352"/>
      <c r="AM102" s="352"/>
      <c r="AN102" s="353">
        <f t="shared" si="12"/>
        <v>0</v>
      </c>
      <c r="AO102" s="354"/>
      <c r="AP102" s="352"/>
      <c r="AQ102" s="352"/>
      <c r="AR102" s="353">
        <f t="shared" si="13"/>
        <v>0</v>
      </c>
      <c r="AS102" s="354"/>
      <c r="AT102" s="352"/>
      <c r="AU102" s="352"/>
      <c r="AV102" s="353">
        <f t="shared" si="14"/>
        <v>0</v>
      </c>
      <c r="AW102" s="354"/>
      <c r="AX102" s="352"/>
      <c r="AY102" s="352"/>
      <c r="AZ102" s="353">
        <f t="shared" si="15"/>
        <v>0</v>
      </c>
      <c r="BA102" s="354"/>
      <c r="BB102" s="352"/>
      <c r="BC102" s="352"/>
      <c r="BD102" s="353">
        <f t="shared" si="16"/>
        <v>0</v>
      </c>
      <c r="BE102" s="353">
        <f t="shared" si="17"/>
        <v>0</v>
      </c>
      <c r="BF102" s="355"/>
      <c r="BG102" s="361"/>
      <c r="BH102" s="362"/>
    </row>
    <row r="103" spans="1:60" ht="23.1" customHeight="1">
      <c r="A103" s="336">
        <v>95</v>
      </c>
      <c r="B103" s="337"/>
      <c r="C103" s="338"/>
      <c r="D103" s="339"/>
      <c r="E103" s="340"/>
      <c r="F103" s="340"/>
      <c r="G103" s="341"/>
      <c r="H103" s="359"/>
      <c r="I103" s="360"/>
      <c r="J103" s="344"/>
      <c r="K103" s="345"/>
      <c r="L103" s="339"/>
      <c r="M103" s="346"/>
      <c r="N103" s="344"/>
      <c r="O103" s="345"/>
      <c r="P103" s="339"/>
      <c r="Q103" s="346"/>
      <c r="R103" s="344"/>
      <c r="S103" s="345"/>
      <c r="T103" s="339"/>
      <c r="U103" s="347"/>
      <c r="V103" s="348"/>
      <c r="W103" s="349"/>
      <c r="X103" s="350"/>
      <c r="Y103" s="351"/>
      <c r="Z103" s="352"/>
      <c r="AA103" s="352"/>
      <c r="AB103" s="353">
        <f t="shared" si="9"/>
        <v>0</v>
      </c>
      <c r="AC103" s="354"/>
      <c r="AD103" s="352"/>
      <c r="AE103" s="352"/>
      <c r="AF103" s="353">
        <f t="shared" si="10"/>
        <v>0</v>
      </c>
      <c r="AG103" s="354"/>
      <c r="AH103" s="352"/>
      <c r="AI103" s="352"/>
      <c r="AJ103" s="353">
        <f t="shared" si="11"/>
        <v>0</v>
      </c>
      <c r="AK103" s="354"/>
      <c r="AL103" s="352"/>
      <c r="AM103" s="352"/>
      <c r="AN103" s="353">
        <f t="shared" si="12"/>
        <v>0</v>
      </c>
      <c r="AO103" s="354"/>
      <c r="AP103" s="352"/>
      <c r="AQ103" s="352"/>
      <c r="AR103" s="353">
        <f t="shared" si="13"/>
        <v>0</v>
      </c>
      <c r="AS103" s="354"/>
      <c r="AT103" s="352"/>
      <c r="AU103" s="352"/>
      <c r="AV103" s="353">
        <f t="shared" si="14"/>
        <v>0</v>
      </c>
      <c r="AW103" s="354"/>
      <c r="AX103" s="352"/>
      <c r="AY103" s="352"/>
      <c r="AZ103" s="353">
        <f t="shared" si="15"/>
        <v>0</v>
      </c>
      <c r="BA103" s="354"/>
      <c r="BB103" s="352"/>
      <c r="BC103" s="352"/>
      <c r="BD103" s="353">
        <f t="shared" si="16"/>
        <v>0</v>
      </c>
      <c r="BE103" s="353">
        <f t="shared" si="17"/>
        <v>0</v>
      </c>
      <c r="BF103" s="355"/>
      <c r="BG103" s="361"/>
      <c r="BH103" s="362"/>
    </row>
    <row r="104" spans="1:60" ht="23.1" customHeight="1">
      <c r="A104" s="336">
        <v>96</v>
      </c>
      <c r="B104" s="337"/>
      <c r="C104" s="338"/>
      <c r="D104" s="339"/>
      <c r="E104" s="340"/>
      <c r="F104" s="340"/>
      <c r="G104" s="341"/>
      <c r="H104" s="359"/>
      <c r="I104" s="360"/>
      <c r="J104" s="344"/>
      <c r="K104" s="345"/>
      <c r="L104" s="339"/>
      <c r="M104" s="346"/>
      <c r="N104" s="344"/>
      <c r="O104" s="345"/>
      <c r="P104" s="339"/>
      <c r="Q104" s="346"/>
      <c r="R104" s="344"/>
      <c r="S104" s="345"/>
      <c r="T104" s="339"/>
      <c r="U104" s="347"/>
      <c r="V104" s="348"/>
      <c r="W104" s="349"/>
      <c r="X104" s="350"/>
      <c r="Y104" s="351"/>
      <c r="Z104" s="352"/>
      <c r="AA104" s="352"/>
      <c r="AB104" s="353">
        <f t="shared" ref="AB104:AB133" si="18">SUM(Y104:AA104)</f>
        <v>0</v>
      </c>
      <c r="AC104" s="354"/>
      <c r="AD104" s="352"/>
      <c r="AE104" s="352"/>
      <c r="AF104" s="353">
        <f t="shared" ref="AF104:AF133" si="19">SUM(AC104:AE104)</f>
        <v>0</v>
      </c>
      <c r="AG104" s="354"/>
      <c r="AH104" s="352"/>
      <c r="AI104" s="352"/>
      <c r="AJ104" s="353">
        <f t="shared" ref="AJ104:AJ133" si="20">SUM(AG104:AI104)</f>
        <v>0</v>
      </c>
      <c r="AK104" s="354"/>
      <c r="AL104" s="352"/>
      <c r="AM104" s="352"/>
      <c r="AN104" s="353">
        <f t="shared" ref="AN104:AN133" si="21">SUM(AK104:AM104)</f>
        <v>0</v>
      </c>
      <c r="AO104" s="354"/>
      <c r="AP104" s="352"/>
      <c r="AQ104" s="352"/>
      <c r="AR104" s="353">
        <f t="shared" ref="AR104:AR133" si="22">SUM(AO104:AQ104)</f>
        <v>0</v>
      </c>
      <c r="AS104" s="354"/>
      <c r="AT104" s="352"/>
      <c r="AU104" s="352"/>
      <c r="AV104" s="353">
        <f t="shared" ref="AV104:AV133" si="23">SUM(AS104:AU104)</f>
        <v>0</v>
      </c>
      <c r="AW104" s="354"/>
      <c r="AX104" s="352"/>
      <c r="AY104" s="352"/>
      <c r="AZ104" s="353">
        <f t="shared" ref="AZ104:AZ133" si="24">SUM(AW104:AY104)</f>
        <v>0</v>
      </c>
      <c r="BA104" s="354"/>
      <c r="BB104" s="352"/>
      <c r="BC104" s="352"/>
      <c r="BD104" s="353">
        <f t="shared" ref="BD104:BD133" si="25">SUM(BA104:BC104)</f>
        <v>0</v>
      </c>
      <c r="BE104" s="353">
        <f t="shared" si="17"/>
        <v>0</v>
      </c>
      <c r="BF104" s="355"/>
      <c r="BG104" s="361"/>
      <c r="BH104" s="362"/>
    </row>
    <row r="105" spans="1:60" ht="23.1" customHeight="1">
      <c r="A105" s="336">
        <v>97</v>
      </c>
      <c r="B105" s="337"/>
      <c r="C105" s="338"/>
      <c r="D105" s="339"/>
      <c r="E105" s="340"/>
      <c r="F105" s="340"/>
      <c r="G105" s="341"/>
      <c r="H105" s="359"/>
      <c r="I105" s="360"/>
      <c r="J105" s="344"/>
      <c r="K105" s="345"/>
      <c r="L105" s="339"/>
      <c r="M105" s="346"/>
      <c r="N105" s="344"/>
      <c r="O105" s="345"/>
      <c r="P105" s="339"/>
      <c r="Q105" s="346"/>
      <c r="R105" s="344"/>
      <c r="S105" s="345"/>
      <c r="T105" s="339"/>
      <c r="U105" s="347"/>
      <c r="V105" s="348"/>
      <c r="W105" s="349"/>
      <c r="X105" s="350"/>
      <c r="Y105" s="351"/>
      <c r="Z105" s="352"/>
      <c r="AA105" s="352"/>
      <c r="AB105" s="353">
        <f t="shared" si="18"/>
        <v>0</v>
      </c>
      <c r="AC105" s="354"/>
      <c r="AD105" s="352"/>
      <c r="AE105" s="352"/>
      <c r="AF105" s="353">
        <f t="shared" si="19"/>
        <v>0</v>
      </c>
      <c r="AG105" s="354"/>
      <c r="AH105" s="352"/>
      <c r="AI105" s="352"/>
      <c r="AJ105" s="353">
        <f t="shared" si="20"/>
        <v>0</v>
      </c>
      <c r="AK105" s="354"/>
      <c r="AL105" s="352"/>
      <c r="AM105" s="352"/>
      <c r="AN105" s="353">
        <f t="shared" si="21"/>
        <v>0</v>
      </c>
      <c r="AO105" s="354"/>
      <c r="AP105" s="352"/>
      <c r="AQ105" s="352"/>
      <c r="AR105" s="353">
        <f t="shared" si="22"/>
        <v>0</v>
      </c>
      <c r="AS105" s="354"/>
      <c r="AT105" s="352"/>
      <c r="AU105" s="352"/>
      <c r="AV105" s="353">
        <f t="shared" si="23"/>
        <v>0</v>
      </c>
      <c r="AW105" s="354"/>
      <c r="AX105" s="352"/>
      <c r="AY105" s="352"/>
      <c r="AZ105" s="353">
        <f t="shared" si="24"/>
        <v>0</v>
      </c>
      <c r="BA105" s="354"/>
      <c r="BB105" s="352"/>
      <c r="BC105" s="352"/>
      <c r="BD105" s="353">
        <f t="shared" si="25"/>
        <v>0</v>
      </c>
      <c r="BE105" s="353">
        <f t="shared" si="17"/>
        <v>0</v>
      </c>
      <c r="BF105" s="355"/>
      <c r="BG105" s="361"/>
      <c r="BH105" s="362"/>
    </row>
    <row r="106" spans="1:60" ht="23.1" customHeight="1">
      <c r="A106" s="336">
        <v>98</v>
      </c>
      <c r="B106" s="337"/>
      <c r="C106" s="338"/>
      <c r="D106" s="339"/>
      <c r="E106" s="340"/>
      <c r="F106" s="340"/>
      <c r="G106" s="341"/>
      <c r="H106" s="359"/>
      <c r="I106" s="360"/>
      <c r="J106" s="344"/>
      <c r="K106" s="345"/>
      <c r="L106" s="339"/>
      <c r="M106" s="346"/>
      <c r="N106" s="344"/>
      <c r="O106" s="345"/>
      <c r="P106" s="339"/>
      <c r="Q106" s="346"/>
      <c r="R106" s="344"/>
      <c r="S106" s="345"/>
      <c r="T106" s="339"/>
      <c r="U106" s="347"/>
      <c r="V106" s="348"/>
      <c r="W106" s="349"/>
      <c r="X106" s="350"/>
      <c r="Y106" s="351"/>
      <c r="Z106" s="352"/>
      <c r="AA106" s="352"/>
      <c r="AB106" s="353">
        <f t="shared" si="18"/>
        <v>0</v>
      </c>
      <c r="AC106" s="354"/>
      <c r="AD106" s="352"/>
      <c r="AE106" s="352"/>
      <c r="AF106" s="353">
        <f t="shared" si="19"/>
        <v>0</v>
      </c>
      <c r="AG106" s="354"/>
      <c r="AH106" s="352"/>
      <c r="AI106" s="352"/>
      <c r="AJ106" s="353">
        <f t="shared" si="20"/>
        <v>0</v>
      </c>
      <c r="AK106" s="354"/>
      <c r="AL106" s="352"/>
      <c r="AM106" s="352"/>
      <c r="AN106" s="353">
        <f t="shared" si="21"/>
        <v>0</v>
      </c>
      <c r="AO106" s="354"/>
      <c r="AP106" s="352"/>
      <c r="AQ106" s="352"/>
      <c r="AR106" s="353">
        <f t="shared" si="22"/>
        <v>0</v>
      </c>
      <c r="AS106" s="354"/>
      <c r="AT106" s="352"/>
      <c r="AU106" s="352"/>
      <c r="AV106" s="353">
        <f t="shared" si="23"/>
        <v>0</v>
      </c>
      <c r="AW106" s="354"/>
      <c r="AX106" s="352"/>
      <c r="AY106" s="352"/>
      <c r="AZ106" s="353">
        <f t="shared" si="24"/>
        <v>0</v>
      </c>
      <c r="BA106" s="354"/>
      <c r="BB106" s="352"/>
      <c r="BC106" s="352"/>
      <c r="BD106" s="353">
        <f t="shared" si="25"/>
        <v>0</v>
      </c>
      <c r="BE106" s="353">
        <f t="shared" si="17"/>
        <v>0</v>
      </c>
      <c r="BF106" s="355"/>
      <c r="BG106" s="361"/>
      <c r="BH106" s="362"/>
    </row>
    <row r="107" spans="1:60" ht="23.1" customHeight="1">
      <c r="A107" s="336">
        <v>99</v>
      </c>
      <c r="B107" s="337"/>
      <c r="C107" s="338"/>
      <c r="D107" s="339"/>
      <c r="E107" s="340"/>
      <c r="F107" s="340"/>
      <c r="G107" s="341"/>
      <c r="H107" s="359"/>
      <c r="I107" s="360"/>
      <c r="J107" s="344"/>
      <c r="K107" s="345"/>
      <c r="L107" s="339"/>
      <c r="M107" s="346"/>
      <c r="N107" s="344"/>
      <c r="O107" s="345"/>
      <c r="P107" s="339"/>
      <c r="Q107" s="346"/>
      <c r="R107" s="344"/>
      <c r="S107" s="345"/>
      <c r="T107" s="339"/>
      <c r="U107" s="347"/>
      <c r="V107" s="348"/>
      <c r="W107" s="349"/>
      <c r="X107" s="350"/>
      <c r="Y107" s="351"/>
      <c r="Z107" s="352"/>
      <c r="AA107" s="352"/>
      <c r="AB107" s="353">
        <f t="shared" si="18"/>
        <v>0</v>
      </c>
      <c r="AC107" s="354"/>
      <c r="AD107" s="352"/>
      <c r="AE107" s="352"/>
      <c r="AF107" s="353">
        <f t="shared" si="19"/>
        <v>0</v>
      </c>
      <c r="AG107" s="354"/>
      <c r="AH107" s="352"/>
      <c r="AI107" s="352"/>
      <c r="AJ107" s="353">
        <f t="shared" si="20"/>
        <v>0</v>
      </c>
      <c r="AK107" s="354"/>
      <c r="AL107" s="352"/>
      <c r="AM107" s="352"/>
      <c r="AN107" s="353">
        <f t="shared" si="21"/>
        <v>0</v>
      </c>
      <c r="AO107" s="354"/>
      <c r="AP107" s="352"/>
      <c r="AQ107" s="352"/>
      <c r="AR107" s="353">
        <f t="shared" si="22"/>
        <v>0</v>
      </c>
      <c r="AS107" s="354"/>
      <c r="AT107" s="352"/>
      <c r="AU107" s="352"/>
      <c r="AV107" s="353">
        <f t="shared" si="23"/>
        <v>0</v>
      </c>
      <c r="AW107" s="354"/>
      <c r="AX107" s="352"/>
      <c r="AY107" s="352"/>
      <c r="AZ107" s="353">
        <f t="shared" si="24"/>
        <v>0</v>
      </c>
      <c r="BA107" s="354"/>
      <c r="BB107" s="352"/>
      <c r="BC107" s="352"/>
      <c r="BD107" s="353">
        <f t="shared" si="25"/>
        <v>0</v>
      </c>
      <c r="BE107" s="353">
        <f t="shared" si="17"/>
        <v>0</v>
      </c>
      <c r="BF107" s="355"/>
      <c r="BG107" s="361"/>
      <c r="BH107" s="362"/>
    </row>
    <row r="108" spans="1:60" ht="23.1" customHeight="1">
      <c r="A108" s="336">
        <v>100</v>
      </c>
      <c r="B108" s="337"/>
      <c r="C108" s="338"/>
      <c r="D108" s="339"/>
      <c r="E108" s="340"/>
      <c r="F108" s="340"/>
      <c r="G108" s="341"/>
      <c r="H108" s="359"/>
      <c r="I108" s="360"/>
      <c r="J108" s="344"/>
      <c r="K108" s="345"/>
      <c r="L108" s="339"/>
      <c r="M108" s="346"/>
      <c r="N108" s="344"/>
      <c r="O108" s="345"/>
      <c r="P108" s="339"/>
      <c r="Q108" s="346"/>
      <c r="R108" s="344"/>
      <c r="S108" s="345"/>
      <c r="T108" s="339"/>
      <c r="U108" s="347"/>
      <c r="V108" s="348"/>
      <c r="W108" s="349"/>
      <c r="X108" s="350"/>
      <c r="Y108" s="351"/>
      <c r="Z108" s="352"/>
      <c r="AA108" s="352"/>
      <c r="AB108" s="353">
        <f t="shared" si="18"/>
        <v>0</v>
      </c>
      <c r="AC108" s="354"/>
      <c r="AD108" s="352"/>
      <c r="AE108" s="352"/>
      <c r="AF108" s="353">
        <f t="shared" si="19"/>
        <v>0</v>
      </c>
      <c r="AG108" s="354"/>
      <c r="AH108" s="352"/>
      <c r="AI108" s="352"/>
      <c r="AJ108" s="353">
        <f t="shared" si="20"/>
        <v>0</v>
      </c>
      <c r="AK108" s="354"/>
      <c r="AL108" s="352"/>
      <c r="AM108" s="352"/>
      <c r="AN108" s="353">
        <f t="shared" si="21"/>
        <v>0</v>
      </c>
      <c r="AO108" s="354"/>
      <c r="AP108" s="352"/>
      <c r="AQ108" s="352"/>
      <c r="AR108" s="353">
        <f t="shared" si="22"/>
        <v>0</v>
      </c>
      <c r="AS108" s="354"/>
      <c r="AT108" s="352"/>
      <c r="AU108" s="352"/>
      <c r="AV108" s="353">
        <f t="shared" si="23"/>
        <v>0</v>
      </c>
      <c r="AW108" s="354"/>
      <c r="AX108" s="352"/>
      <c r="AY108" s="352"/>
      <c r="AZ108" s="353">
        <f t="shared" si="24"/>
        <v>0</v>
      </c>
      <c r="BA108" s="354"/>
      <c r="BB108" s="352"/>
      <c r="BC108" s="352"/>
      <c r="BD108" s="353">
        <f t="shared" si="25"/>
        <v>0</v>
      </c>
      <c r="BE108" s="353">
        <f t="shared" si="17"/>
        <v>0</v>
      </c>
      <c r="BF108" s="355"/>
      <c r="BG108" s="361"/>
      <c r="BH108" s="362"/>
    </row>
    <row r="109" spans="1:60" ht="23.1" customHeight="1">
      <c r="A109" s="336">
        <v>101</v>
      </c>
      <c r="B109" s="337"/>
      <c r="C109" s="338"/>
      <c r="D109" s="339"/>
      <c r="E109" s="340"/>
      <c r="F109" s="340"/>
      <c r="G109" s="341"/>
      <c r="H109" s="359"/>
      <c r="I109" s="360"/>
      <c r="J109" s="344"/>
      <c r="K109" s="345"/>
      <c r="L109" s="339"/>
      <c r="M109" s="346"/>
      <c r="N109" s="344"/>
      <c r="O109" s="345"/>
      <c r="P109" s="339"/>
      <c r="Q109" s="346"/>
      <c r="R109" s="344"/>
      <c r="S109" s="345"/>
      <c r="T109" s="339"/>
      <c r="U109" s="347"/>
      <c r="V109" s="348"/>
      <c r="W109" s="349"/>
      <c r="X109" s="350"/>
      <c r="Y109" s="351"/>
      <c r="Z109" s="352"/>
      <c r="AA109" s="352"/>
      <c r="AB109" s="353">
        <f t="shared" si="18"/>
        <v>0</v>
      </c>
      <c r="AC109" s="354"/>
      <c r="AD109" s="352"/>
      <c r="AE109" s="352"/>
      <c r="AF109" s="353">
        <f t="shared" si="19"/>
        <v>0</v>
      </c>
      <c r="AG109" s="354"/>
      <c r="AH109" s="352"/>
      <c r="AI109" s="352"/>
      <c r="AJ109" s="353">
        <f t="shared" si="20"/>
        <v>0</v>
      </c>
      <c r="AK109" s="354"/>
      <c r="AL109" s="352"/>
      <c r="AM109" s="352"/>
      <c r="AN109" s="353">
        <f t="shared" si="21"/>
        <v>0</v>
      </c>
      <c r="AO109" s="354"/>
      <c r="AP109" s="352"/>
      <c r="AQ109" s="352"/>
      <c r="AR109" s="353">
        <f t="shared" si="22"/>
        <v>0</v>
      </c>
      <c r="AS109" s="354"/>
      <c r="AT109" s="352"/>
      <c r="AU109" s="352"/>
      <c r="AV109" s="353">
        <f t="shared" si="23"/>
        <v>0</v>
      </c>
      <c r="AW109" s="354"/>
      <c r="AX109" s="352"/>
      <c r="AY109" s="352"/>
      <c r="AZ109" s="353">
        <f t="shared" si="24"/>
        <v>0</v>
      </c>
      <c r="BA109" s="354"/>
      <c r="BB109" s="352"/>
      <c r="BC109" s="352"/>
      <c r="BD109" s="353">
        <f t="shared" si="25"/>
        <v>0</v>
      </c>
      <c r="BE109" s="353">
        <f t="shared" si="17"/>
        <v>0</v>
      </c>
      <c r="BF109" s="355"/>
      <c r="BG109" s="361"/>
      <c r="BH109" s="362"/>
    </row>
    <row r="110" spans="1:60" ht="23.1" customHeight="1">
      <c r="A110" s="336">
        <v>102</v>
      </c>
      <c r="B110" s="337"/>
      <c r="C110" s="338"/>
      <c r="D110" s="339"/>
      <c r="E110" s="340"/>
      <c r="F110" s="340"/>
      <c r="G110" s="341"/>
      <c r="H110" s="359"/>
      <c r="I110" s="360"/>
      <c r="J110" s="344"/>
      <c r="K110" s="345"/>
      <c r="L110" s="339"/>
      <c r="M110" s="346"/>
      <c r="N110" s="344"/>
      <c r="O110" s="345"/>
      <c r="P110" s="339"/>
      <c r="Q110" s="346"/>
      <c r="R110" s="344"/>
      <c r="S110" s="345"/>
      <c r="T110" s="339"/>
      <c r="U110" s="347"/>
      <c r="V110" s="348"/>
      <c r="W110" s="349"/>
      <c r="X110" s="350"/>
      <c r="Y110" s="351"/>
      <c r="Z110" s="352"/>
      <c r="AA110" s="352"/>
      <c r="AB110" s="353">
        <f t="shared" si="18"/>
        <v>0</v>
      </c>
      <c r="AC110" s="354"/>
      <c r="AD110" s="352"/>
      <c r="AE110" s="352"/>
      <c r="AF110" s="353">
        <f t="shared" si="19"/>
        <v>0</v>
      </c>
      <c r="AG110" s="354"/>
      <c r="AH110" s="352"/>
      <c r="AI110" s="352"/>
      <c r="AJ110" s="353">
        <f t="shared" si="20"/>
        <v>0</v>
      </c>
      <c r="AK110" s="354"/>
      <c r="AL110" s="352"/>
      <c r="AM110" s="352"/>
      <c r="AN110" s="353">
        <f t="shared" si="21"/>
        <v>0</v>
      </c>
      <c r="AO110" s="354"/>
      <c r="AP110" s="352"/>
      <c r="AQ110" s="352"/>
      <c r="AR110" s="353">
        <f t="shared" si="22"/>
        <v>0</v>
      </c>
      <c r="AS110" s="354"/>
      <c r="AT110" s="352"/>
      <c r="AU110" s="352"/>
      <c r="AV110" s="353">
        <f t="shared" si="23"/>
        <v>0</v>
      </c>
      <c r="AW110" s="354"/>
      <c r="AX110" s="352"/>
      <c r="AY110" s="352"/>
      <c r="AZ110" s="353">
        <f t="shared" si="24"/>
        <v>0</v>
      </c>
      <c r="BA110" s="354"/>
      <c r="BB110" s="352"/>
      <c r="BC110" s="352"/>
      <c r="BD110" s="353">
        <f t="shared" si="25"/>
        <v>0</v>
      </c>
      <c r="BE110" s="353">
        <f t="shared" si="17"/>
        <v>0</v>
      </c>
      <c r="BF110" s="355"/>
      <c r="BG110" s="361"/>
      <c r="BH110" s="362"/>
    </row>
    <row r="111" spans="1:60" ht="19.95" customHeight="1">
      <c r="A111" s="336">
        <v>103</v>
      </c>
      <c r="B111" s="337"/>
      <c r="C111" s="338"/>
      <c r="D111" s="339"/>
      <c r="E111" s="340"/>
      <c r="F111" s="340"/>
      <c r="G111" s="341"/>
      <c r="H111" s="359"/>
      <c r="I111" s="360"/>
      <c r="J111" s="344"/>
      <c r="K111" s="345"/>
      <c r="L111" s="339"/>
      <c r="M111" s="346"/>
      <c r="N111" s="344"/>
      <c r="O111" s="345"/>
      <c r="P111" s="339"/>
      <c r="Q111" s="346"/>
      <c r="R111" s="344"/>
      <c r="S111" s="345"/>
      <c r="T111" s="339"/>
      <c r="U111" s="347"/>
      <c r="V111" s="348"/>
      <c r="W111" s="349"/>
      <c r="X111" s="350"/>
      <c r="Y111" s="351"/>
      <c r="Z111" s="352"/>
      <c r="AA111" s="352"/>
      <c r="AB111" s="353">
        <f t="shared" si="18"/>
        <v>0</v>
      </c>
      <c r="AC111" s="354"/>
      <c r="AD111" s="352"/>
      <c r="AE111" s="352"/>
      <c r="AF111" s="353">
        <f t="shared" si="19"/>
        <v>0</v>
      </c>
      <c r="AG111" s="354"/>
      <c r="AH111" s="352"/>
      <c r="AI111" s="352"/>
      <c r="AJ111" s="353">
        <f t="shared" si="20"/>
        <v>0</v>
      </c>
      <c r="AK111" s="354"/>
      <c r="AL111" s="352"/>
      <c r="AM111" s="352"/>
      <c r="AN111" s="353">
        <f t="shared" si="21"/>
        <v>0</v>
      </c>
      <c r="AO111" s="354"/>
      <c r="AP111" s="352"/>
      <c r="AQ111" s="352"/>
      <c r="AR111" s="353">
        <f t="shared" si="22"/>
        <v>0</v>
      </c>
      <c r="AS111" s="354"/>
      <c r="AT111" s="352"/>
      <c r="AU111" s="352"/>
      <c r="AV111" s="353">
        <f t="shared" si="23"/>
        <v>0</v>
      </c>
      <c r="AW111" s="354"/>
      <c r="AX111" s="352"/>
      <c r="AY111" s="352"/>
      <c r="AZ111" s="353">
        <f t="shared" si="24"/>
        <v>0</v>
      </c>
      <c r="BA111" s="354"/>
      <c r="BB111" s="352"/>
      <c r="BC111" s="352"/>
      <c r="BD111" s="353">
        <f t="shared" si="25"/>
        <v>0</v>
      </c>
      <c r="BE111" s="353">
        <f t="shared" si="17"/>
        <v>0</v>
      </c>
      <c r="BF111" s="355"/>
      <c r="BG111" s="361"/>
      <c r="BH111" s="362"/>
    </row>
    <row r="112" spans="1:60" ht="19.95" customHeight="1">
      <c r="A112" s="336">
        <v>104</v>
      </c>
      <c r="B112" s="364"/>
      <c r="C112" s="365"/>
      <c r="D112" s="366"/>
      <c r="E112" s="367"/>
      <c r="F112" s="367"/>
      <c r="G112" s="368"/>
      <c r="H112" s="359"/>
      <c r="I112" s="360"/>
      <c r="J112" s="365"/>
      <c r="K112" s="366"/>
      <c r="L112" s="366"/>
      <c r="M112" s="369"/>
      <c r="N112" s="365"/>
      <c r="O112" s="366"/>
      <c r="P112" s="366"/>
      <c r="Q112" s="367"/>
      <c r="R112" s="365"/>
      <c r="S112" s="366"/>
      <c r="T112" s="366"/>
      <c r="U112" s="368"/>
      <c r="V112" s="370"/>
      <c r="W112" s="371"/>
      <c r="X112" s="276"/>
      <c r="Y112" s="351"/>
      <c r="Z112" s="352"/>
      <c r="AA112" s="352"/>
      <c r="AB112" s="353">
        <f t="shared" si="18"/>
        <v>0</v>
      </c>
      <c r="AC112" s="354"/>
      <c r="AD112" s="352"/>
      <c r="AE112" s="352"/>
      <c r="AF112" s="353">
        <f t="shared" si="19"/>
        <v>0</v>
      </c>
      <c r="AG112" s="354"/>
      <c r="AH112" s="352"/>
      <c r="AI112" s="352"/>
      <c r="AJ112" s="353">
        <f t="shared" si="20"/>
        <v>0</v>
      </c>
      <c r="AK112" s="354"/>
      <c r="AL112" s="352"/>
      <c r="AM112" s="352"/>
      <c r="AN112" s="353">
        <f t="shared" si="21"/>
        <v>0</v>
      </c>
      <c r="AO112" s="354"/>
      <c r="AP112" s="352"/>
      <c r="AQ112" s="352"/>
      <c r="AR112" s="353">
        <f t="shared" si="22"/>
        <v>0</v>
      </c>
      <c r="AS112" s="354"/>
      <c r="AT112" s="352"/>
      <c r="AU112" s="352"/>
      <c r="AV112" s="353">
        <f t="shared" si="23"/>
        <v>0</v>
      </c>
      <c r="AW112" s="354"/>
      <c r="AX112" s="352"/>
      <c r="AY112" s="352"/>
      <c r="AZ112" s="353">
        <f t="shared" si="24"/>
        <v>0</v>
      </c>
      <c r="BA112" s="354"/>
      <c r="BB112" s="352"/>
      <c r="BC112" s="352"/>
      <c r="BD112" s="353">
        <f t="shared" si="25"/>
        <v>0</v>
      </c>
      <c r="BE112" s="353">
        <f t="shared" si="17"/>
        <v>0</v>
      </c>
      <c r="BF112" s="355"/>
      <c r="BG112" s="334"/>
    </row>
    <row r="113" spans="1:59" ht="19.95" customHeight="1">
      <c r="A113" s="336">
        <v>105</v>
      </c>
      <c r="B113" s="364"/>
      <c r="C113" s="365"/>
      <c r="D113" s="366"/>
      <c r="E113" s="367"/>
      <c r="F113" s="367"/>
      <c r="G113" s="368"/>
      <c r="H113" s="359"/>
      <c r="I113" s="360"/>
      <c r="J113" s="365"/>
      <c r="K113" s="366"/>
      <c r="L113" s="366"/>
      <c r="M113" s="369"/>
      <c r="N113" s="365"/>
      <c r="O113" s="366"/>
      <c r="P113" s="366"/>
      <c r="Q113" s="367"/>
      <c r="R113" s="365"/>
      <c r="S113" s="366"/>
      <c r="T113" s="366"/>
      <c r="U113" s="368"/>
      <c r="V113" s="370"/>
      <c r="W113" s="371"/>
      <c r="X113" s="276"/>
      <c r="Y113" s="351"/>
      <c r="Z113" s="352"/>
      <c r="AA113" s="352"/>
      <c r="AB113" s="353">
        <f t="shared" si="18"/>
        <v>0</v>
      </c>
      <c r="AC113" s="354"/>
      <c r="AD113" s="352"/>
      <c r="AE113" s="352"/>
      <c r="AF113" s="353">
        <f t="shared" si="19"/>
        <v>0</v>
      </c>
      <c r="AG113" s="354"/>
      <c r="AH113" s="352"/>
      <c r="AI113" s="352"/>
      <c r="AJ113" s="353">
        <f t="shared" si="20"/>
        <v>0</v>
      </c>
      <c r="AK113" s="354"/>
      <c r="AL113" s="352"/>
      <c r="AM113" s="352"/>
      <c r="AN113" s="353">
        <f t="shared" si="21"/>
        <v>0</v>
      </c>
      <c r="AO113" s="354"/>
      <c r="AP113" s="352"/>
      <c r="AQ113" s="352"/>
      <c r="AR113" s="353">
        <f t="shared" si="22"/>
        <v>0</v>
      </c>
      <c r="AS113" s="354"/>
      <c r="AT113" s="352"/>
      <c r="AU113" s="352"/>
      <c r="AV113" s="353">
        <f t="shared" si="23"/>
        <v>0</v>
      </c>
      <c r="AW113" s="354"/>
      <c r="AX113" s="352"/>
      <c r="AY113" s="352"/>
      <c r="AZ113" s="353">
        <f t="shared" si="24"/>
        <v>0</v>
      </c>
      <c r="BA113" s="354"/>
      <c r="BB113" s="352"/>
      <c r="BC113" s="352"/>
      <c r="BD113" s="353">
        <f t="shared" si="25"/>
        <v>0</v>
      </c>
      <c r="BE113" s="353">
        <f t="shared" si="17"/>
        <v>0</v>
      </c>
      <c r="BF113" s="355"/>
      <c r="BG113" s="334"/>
    </row>
    <row r="114" spans="1:59" ht="19.95" customHeight="1">
      <c r="A114" s="336">
        <v>106</v>
      </c>
      <c r="B114" s="364"/>
      <c r="C114" s="365"/>
      <c r="D114" s="366"/>
      <c r="E114" s="367"/>
      <c r="F114" s="367"/>
      <c r="G114" s="368"/>
      <c r="H114" s="359"/>
      <c r="I114" s="360"/>
      <c r="J114" s="365"/>
      <c r="K114" s="366"/>
      <c r="L114" s="366"/>
      <c r="M114" s="369"/>
      <c r="N114" s="365"/>
      <c r="O114" s="366"/>
      <c r="P114" s="366"/>
      <c r="Q114" s="367"/>
      <c r="R114" s="365"/>
      <c r="S114" s="366"/>
      <c r="T114" s="366"/>
      <c r="U114" s="368"/>
      <c r="V114" s="370"/>
      <c r="W114" s="371"/>
      <c r="X114" s="276"/>
      <c r="Y114" s="351"/>
      <c r="Z114" s="352"/>
      <c r="AA114" s="352"/>
      <c r="AB114" s="353">
        <f t="shared" si="18"/>
        <v>0</v>
      </c>
      <c r="AC114" s="354"/>
      <c r="AD114" s="352"/>
      <c r="AE114" s="352"/>
      <c r="AF114" s="353">
        <f t="shared" si="19"/>
        <v>0</v>
      </c>
      <c r="AG114" s="354"/>
      <c r="AH114" s="352"/>
      <c r="AI114" s="352"/>
      <c r="AJ114" s="353">
        <f t="shared" si="20"/>
        <v>0</v>
      </c>
      <c r="AK114" s="354"/>
      <c r="AL114" s="352"/>
      <c r="AM114" s="352"/>
      <c r="AN114" s="353">
        <f t="shared" si="21"/>
        <v>0</v>
      </c>
      <c r="AO114" s="354"/>
      <c r="AP114" s="352"/>
      <c r="AQ114" s="352"/>
      <c r="AR114" s="353">
        <f t="shared" si="22"/>
        <v>0</v>
      </c>
      <c r="AS114" s="354"/>
      <c r="AT114" s="352"/>
      <c r="AU114" s="352"/>
      <c r="AV114" s="353">
        <f t="shared" si="23"/>
        <v>0</v>
      </c>
      <c r="AW114" s="354"/>
      <c r="AX114" s="352"/>
      <c r="AY114" s="352"/>
      <c r="AZ114" s="353">
        <f t="shared" si="24"/>
        <v>0</v>
      </c>
      <c r="BA114" s="354"/>
      <c r="BB114" s="352"/>
      <c r="BC114" s="352"/>
      <c r="BD114" s="353">
        <f t="shared" si="25"/>
        <v>0</v>
      </c>
      <c r="BE114" s="353">
        <f t="shared" si="17"/>
        <v>0</v>
      </c>
      <c r="BF114" s="355"/>
      <c r="BG114" s="334"/>
    </row>
    <row r="115" spans="1:59" ht="19.95" customHeight="1">
      <c r="A115" s="336">
        <v>107</v>
      </c>
      <c r="B115" s="364"/>
      <c r="C115" s="365"/>
      <c r="D115" s="366"/>
      <c r="E115" s="367"/>
      <c r="F115" s="367"/>
      <c r="G115" s="368"/>
      <c r="H115" s="359"/>
      <c r="I115" s="360"/>
      <c r="J115" s="365"/>
      <c r="K115" s="366"/>
      <c r="L115" s="366"/>
      <c r="M115" s="369"/>
      <c r="N115" s="365"/>
      <c r="O115" s="366"/>
      <c r="P115" s="366"/>
      <c r="Q115" s="367"/>
      <c r="R115" s="365"/>
      <c r="S115" s="366"/>
      <c r="T115" s="366"/>
      <c r="U115" s="368"/>
      <c r="V115" s="370"/>
      <c r="W115" s="371"/>
      <c r="X115" s="276"/>
      <c r="Y115" s="351"/>
      <c r="Z115" s="352"/>
      <c r="AA115" s="352"/>
      <c r="AB115" s="353">
        <f t="shared" si="18"/>
        <v>0</v>
      </c>
      <c r="AC115" s="354"/>
      <c r="AD115" s="352"/>
      <c r="AE115" s="352"/>
      <c r="AF115" s="353">
        <f t="shared" si="19"/>
        <v>0</v>
      </c>
      <c r="AG115" s="354"/>
      <c r="AH115" s="352"/>
      <c r="AI115" s="352"/>
      <c r="AJ115" s="353">
        <f t="shared" si="20"/>
        <v>0</v>
      </c>
      <c r="AK115" s="354"/>
      <c r="AL115" s="352"/>
      <c r="AM115" s="352"/>
      <c r="AN115" s="353">
        <f t="shared" si="21"/>
        <v>0</v>
      </c>
      <c r="AO115" s="354"/>
      <c r="AP115" s="352"/>
      <c r="AQ115" s="352"/>
      <c r="AR115" s="353">
        <f t="shared" si="22"/>
        <v>0</v>
      </c>
      <c r="AS115" s="354"/>
      <c r="AT115" s="352"/>
      <c r="AU115" s="352"/>
      <c r="AV115" s="353">
        <f t="shared" si="23"/>
        <v>0</v>
      </c>
      <c r="AW115" s="354"/>
      <c r="AX115" s="352"/>
      <c r="AY115" s="352"/>
      <c r="AZ115" s="353">
        <f t="shared" si="24"/>
        <v>0</v>
      </c>
      <c r="BA115" s="354"/>
      <c r="BB115" s="352"/>
      <c r="BC115" s="352"/>
      <c r="BD115" s="353">
        <f t="shared" si="25"/>
        <v>0</v>
      </c>
      <c r="BE115" s="353">
        <f t="shared" si="17"/>
        <v>0</v>
      </c>
      <c r="BF115" s="355"/>
      <c r="BG115" s="334"/>
    </row>
    <row r="116" spans="1:59" ht="19.95" customHeight="1">
      <c r="A116" s="336">
        <v>108</v>
      </c>
      <c r="B116" s="364"/>
      <c r="C116" s="365"/>
      <c r="D116" s="366"/>
      <c r="E116" s="367"/>
      <c r="F116" s="367"/>
      <c r="G116" s="368"/>
      <c r="H116" s="359"/>
      <c r="I116" s="360"/>
      <c r="J116" s="365"/>
      <c r="K116" s="366"/>
      <c r="L116" s="366"/>
      <c r="M116" s="369"/>
      <c r="N116" s="365"/>
      <c r="O116" s="366"/>
      <c r="P116" s="366"/>
      <c r="Q116" s="367"/>
      <c r="R116" s="365"/>
      <c r="S116" s="366"/>
      <c r="T116" s="366"/>
      <c r="U116" s="368"/>
      <c r="V116" s="370"/>
      <c r="W116" s="371"/>
      <c r="X116" s="276"/>
      <c r="Y116" s="351"/>
      <c r="Z116" s="352"/>
      <c r="AA116" s="352"/>
      <c r="AB116" s="353">
        <f t="shared" si="18"/>
        <v>0</v>
      </c>
      <c r="AC116" s="354"/>
      <c r="AD116" s="352"/>
      <c r="AE116" s="352"/>
      <c r="AF116" s="353">
        <f t="shared" si="19"/>
        <v>0</v>
      </c>
      <c r="AG116" s="354"/>
      <c r="AH116" s="352"/>
      <c r="AI116" s="352"/>
      <c r="AJ116" s="353">
        <f t="shared" si="20"/>
        <v>0</v>
      </c>
      <c r="AK116" s="354"/>
      <c r="AL116" s="352"/>
      <c r="AM116" s="352"/>
      <c r="AN116" s="353">
        <f t="shared" si="21"/>
        <v>0</v>
      </c>
      <c r="AO116" s="354"/>
      <c r="AP116" s="352"/>
      <c r="AQ116" s="352"/>
      <c r="AR116" s="353">
        <f t="shared" si="22"/>
        <v>0</v>
      </c>
      <c r="AS116" s="354"/>
      <c r="AT116" s="352"/>
      <c r="AU116" s="352"/>
      <c r="AV116" s="353">
        <f t="shared" si="23"/>
        <v>0</v>
      </c>
      <c r="AW116" s="354"/>
      <c r="AX116" s="352"/>
      <c r="AY116" s="352"/>
      <c r="AZ116" s="353">
        <f t="shared" si="24"/>
        <v>0</v>
      </c>
      <c r="BA116" s="354"/>
      <c r="BB116" s="352"/>
      <c r="BC116" s="352"/>
      <c r="BD116" s="353">
        <f t="shared" si="25"/>
        <v>0</v>
      </c>
      <c r="BE116" s="353">
        <f t="shared" si="17"/>
        <v>0</v>
      </c>
      <c r="BF116" s="355"/>
      <c r="BG116" s="334"/>
    </row>
    <row r="117" spans="1:59" ht="19.95" customHeight="1">
      <c r="A117" s="336">
        <v>109</v>
      </c>
      <c r="B117" s="364"/>
      <c r="C117" s="365"/>
      <c r="D117" s="366"/>
      <c r="E117" s="367"/>
      <c r="F117" s="367"/>
      <c r="G117" s="368"/>
      <c r="H117" s="359"/>
      <c r="I117" s="360"/>
      <c r="J117" s="365"/>
      <c r="K117" s="366"/>
      <c r="L117" s="366"/>
      <c r="M117" s="369"/>
      <c r="N117" s="365"/>
      <c r="O117" s="366"/>
      <c r="P117" s="366"/>
      <c r="Q117" s="367"/>
      <c r="R117" s="365"/>
      <c r="S117" s="366"/>
      <c r="T117" s="366"/>
      <c r="U117" s="368"/>
      <c r="V117" s="370"/>
      <c r="W117" s="371"/>
      <c r="X117" s="276"/>
      <c r="Y117" s="351"/>
      <c r="Z117" s="352"/>
      <c r="AA117" s="352"/>
      <c r="AB117" s="353">
        <f t="shared" si="18"/>
        <v>0</v>
      </c>
      <c r="AC117" s="354"/>
      <c r="AD117" s="352"/>
      <c r="AE117" s="352"/>
      <c r="AF117" s="353">
        <f t="shared" si="19"/>
        <v>0</v>
      </c>
      <c r="AG117" s="354"/>
      <c r="AH117" s="352"/>
      <c r="AI117" s="352"/>
      <c r="AJ117" s="353">
        <f t="shared" si="20"/>
        <v>0</v>
      </c>
      <c r="AK117" s="354"/>
      <c r="AL117" s="352"/>
      <c r="AM117" s="352"/>
      <c r="AN117" s="353">
        <f t="shared" si="21"/>
        <v>0</v>
      </c>
      <c r="AO117" s="354"/>
      <c r="AP117" s="352"/>
      <c r="AQ117" s="352"/>
      <c r="AR117" s="353">
        <f t="shared" si="22"/>
        <v>0</v>
      </c>
      <c r="AS117" s="354"/>
      <c r="AT117" s="352"/>
      <c r="AU117" s="352"/>
      <c r="AV117" s="353">
        <f t="shared" si="23"/>
        <v>0</v>
      </c>
      <c r="AW117" s="354"/>
      <c r="AX117" s="352"/>
      <c r="AY117" s="352"/>
      <c r="AZ117" s="353">
        <f t="shared" si="24"/>
        <v>0</v>
      </c>
      <c r="BA117" s="354"/>
      <c r="BB117" s="352"/>
      <c r="BC117" s="352"/>
      <c r="BD117" s="353">
        <f t="shared" si="25"/>
        <v>0</v>
      </c>
      <c r="BE117" s="353">
        <f t="shared" si="17"/>
        <v>0</v>
      </c>
      <c r="BF117" s="355"/>
      <c r="BG117" s="334"/>
    </row>
    <row r="118" spans="1:59" ht="19.95" customHeight="1">
      <c r="A118" s="336">
        <v>110</v>
      </c>
      <c r="B118" s="364"/>
      <c r="C118" s="365"/>
      <c r="D118" s="366"/>
      <c r="E118" s="367"/>
      <c r="F118" s="367"/>
      <c r="G118" s="368"/>
      <c r="H118" s="359"/>
      <c r="I118" s="360"/>
      <c r="J118" s="365"/>
      <c r="K118" s="366"/>
      <c r="L118" s="366"/>
      <c r="M118" s="369"/>
      <c r="N118" s="365"/>
      <c r="O118" s="366"/>
      <c r="P118" s="366"/>
      <c r="Q118" s="367"/>
      <c r="R118" s="365"/>
      <c r="S118" s="366"/>
      <c r="T118" s="366"/>
      <c r="U118" s="368"/>
      <c r="V118" s="370"/>
      <c r="W118" s="371"/>
      <c r="X118" s="276"/>
      <c r="Y118" s="351"/>
      <c r="Z118" s="352"/>
      <c r="AA118" s="352"/>
      <c r="AB118" s="353">
        <f t="shared" si="18"/>
        <v>0</v>
      </c>
      <c r="AC118" s="354"/>
      <c r="AD118" s="352"/>
      <c r="AE118" s="352"/>
      <c r="AF118" s="353">
        <f t="shared" si="19"/>
        <v>0</v>
      </c>
      <c r="AG118" s="354"/>
      <c r="AH118" s="352"/>
      <c r="AI118" s="352"/>
      <c r="AJ118" s="353">
        <f t="shared" si="20"/>
        <v>0</v>
      </c>
      <c r="AK118" s="354"/>
      <c r="AL118" s="352"/>
      <c r="AM118" s="352"/>
      <c r="AN118" s="353">
        <f t="shared" si="21"/>
        <v>0</v>
      </c>
      <c r="AO118" s="354"/>
      <c r="AP118" s="352"/>
      <c r="AQ118" s="352"/>
      <c r="AR118" s="353">
        <f t="shared" si="22"/>
        <v>0</v>
      </c>
      <c r="AS118" s="354"/>
      <c r="AT118" s="352"/>
      <c r="AU118" s="352"/>
      <c r="AV118" s="353">
        <f t="shared" si="23"/>
        <v>0</v>
      </c>
      <c r="AW118" s="354"/>
      <c r="AX118" s="352"/>
      <c r="AY118" s="352"/>
      <c r="AZ118" s="353">
        <f t="shared" si="24"/>
        <v>0</v>
      </c>
      <c r="BA118" s="354"/>
      <c r="BB118" s="352"/>
      <c r="BC118" s="352"/>
      <c r="BD118" s="353">
        <f t="shared" si="25"/>
        <v>0</v>
      </c>
      <c r="BE118" s="353">
        <f t="shared" si="17"/>
        <v>0</v>
      </c>
      <c r="BF118" s="355"/>
      <c r="BG118" s="334"/>
    </row>
    <row r="119" spans="1:59" ht="19.95" customHeight="1">
      <c r="A119" s="336">
        <v>111</v>
      </c>
      <c r="B119" s="364"/>
      <c r="C119" s="365"/>
      <c r="D119" s="366"/>
      <c r="E119" s="367"/>
      <c r="F119" s="367"/>
      <c r="G119" s="368"/>
      <c r="H119" s="359"/>
      <c r="I119" s="360"/>
      <c r="J119" s="365"/>
      <c r="K119" s="366"/>
      <c r="L119" s="366"/>
      <c r="M119" s="369"/>
      <c r="N119" s="365"/>
      <c r="O119" s="366"/>
      <c r="P119" s="366"/>
      <c r="Q119" s="367"/>
      <c r="R119" s="365"/>
      <c r="S119" s="366"/>
      <c r="T119" s="366"/>
      <c r="U119" s="368"/>
      <c r="V119" s="370"/>
      <c r="W119" s="371"/>
      <c r="X119" s="276"/>
      <c r="Y119" s="351"/>
      <c r="Z119" s="352"/>
      <c r="AA119" s="352"/>
      <c r="AB119" s="353">
        <f t="shared" si="18"/>
        <v>0</v>
      </c>
      <c r="AC119" s="354"/>
      <c r="AD119" s="352"/>
      <c r="AE119" s="352"/>
      <c r="AF119" s="353">
        <f t="shared" si="19"/>
        <v>0</v>
      </c>
      <c r="AG119" s="354"/>
      <c r="AH119" s="352"/>
      <c r="AI119" s="352"/>
      <c r="AJ119" s="353">
        <f t="shared" si="20"/>
        <v>0</v>
      </c>
      <c r="AK119" s="354"/>
      <c r="AL119" s="352"/>
      <c r="AM119" s="352"/>
      <c r="AN119" s="353">
        <f t="shared" si="21"/>
        <v>0</v>
      </c>
      <c r="AO119" s="354"/>
      <c r="AP119" s="352"/>
      <c r="AQ119" s="352"/>
      <c r="AR119" s="353">
        <f t="shared" si="22"/>
        <v>0</v>
      </c>
      <c r="AS119" s="354"/>
      <c r="AT119" s="352"/>
      <c r="AU119" s="352"/>
      <c r="AV119" s="353">
        <f t="shared" si="23"/>
        <v>0</v>
      </c>
      <c r="AW119" s="354"/>
      <c r="AX119" s="352"/>
      <c r="AY119" s="352"/>
      <c r="AZ119" s="353">
        <f t="shared" si="24"/>
        <v>0</v>
      </c>
      <c r="BA119" s="354"/>
      <c r="BB119" s="352"/>
      <c r="BC119" s="352"/>
      <c r="BD119" s="353">
        <f t="shared" si="25"/>
        <v>0</v>
      </c>
      <c r="BE119" s="353">
        <f t="shared" si="17"/>
        <v>0</v>
      </c>
      <c r="BF119" s="355"/>
      <c r="BG119" s="334"/>
    </row>
    <row r="120" spans="1:59" ht="19.95" customHeight="1">
      <c r="A120" s="336">
        <v>112</v>
      </c>
      <c r="B120" s="364"/>
      <c r="C120" s="365"/>
      <c r="D120" s="366"/>
      <c r="E120" s="367"/>
      <c r="F120" s="367"/>
      <c r="G120" s="368"/>
      <c r="H120" s="359"/>
      <c r="I120" s="360"/>
      <c r="J120" s="365"/>
      <c r="K120" s="366"/>
      <c r="L120" s="366"/>
      <c r="M120" s="369"/>
      <c r="N120" s="365"/>
      <c r="O120" s="366"/>
      <c r="P120" s="366"/>
      <c r="Q120" s="367"/>
      <c r="R120" s="365"/>
      <c r="S120" s="366"/>
      <c r="T120" s="366"/>
      <c r="U120" s="368"/>
      <c r="V120" s="370"/>
      <c r="W120" s="371"/>
      <c r="X120" s="276"/>
      <c r="Y120" s="351"/>
      <c r="Z120" s="352"/>
      <c r="AA120" s="352"/>
      <c r="AB120" s="353">
        <f t="shared" si="18"/>
        <v>0</v>
      </c>
      <c r="AC120" s="354"/>
      <c r="AD120" s="352"/>
      <c r="AE120" s="352"/>
      <c r="AF120" s="353">
        <f t="shared" si="19"/>
        <v>0</v>
      </c>
      <c r="AG120" s="354"/>
      <c r="AH120" s="352"/>
      <c r="AI120" s="352"/>
      <c r="AJ120" s="353">
        <f t="shared" si="20"/>
        <v>0</v>
      </c>
      <c r="AK120" s="354"/>
      <c r="AL120" s="352"/>
      <c r="AM120" s="352"/>
      <c r="AN120" s="353">
        <f t="shared" si="21"/>
        <v>0</v>
      </c>
      <c r="AO120" s="354"/>
      <c r="AP120" s="352"/>
      <c r="AQ120" s="352"/>
      <c r="AR120" s="353">
        <f t="shared" si="22"/>
        <v>0</v>
      </c>
      <c r="AS120" s="354"/>
      <c r="AT120" s="352"/>
      <c r="AU120" s="352"/>
      <c r="AV120" s="353">
        <f t="shared" si="23"/>
        <v>0</v>
      </c>
      <c r="AW120" s="354"/>
      <c r="AX120" s="352"/>
      <c r="AY120" s="352"/>
      <c r="AZ120" s="353">
        <f t="shared" si="24"/>
        <v>0</v>
      </c>
      <c r="BA120" s="354"/>
      <c r="BB120" s="352"/>
      <c r="BC120" s="352"/>
      <c r="BD120" s="353">
        <f t="shared" si="25"/>
        <v>0</v>
      </c>
      <c r="BE120" s="353">
        <f t="shared" si="17"/>
        <v>0</v>
      </c>
      <c r="BF120" s="355"/>
      <c r="BG120" s="334"/>
    </row>
    <row r="121" spans="1:59" ht="19.95" customHeight="1">
      <c r="A121" s="336">
        <v>113</v>
      </c>
      <c r="B121" s="364"/>
      <c r="C121" s="365"/>
      <c r="D121" s="366"/>
      <c r="E121" s="367"/>
      <c r="F121" s="367"/>
      <c r="G121" s="368"/>
      <c r="H121" s="359"/>
      <c r="I121" s="360"/>
      <c r="J121" s="365"/>
      <c r="K121" s="366"/>
      <c r="L121" s="366"/>
      <c r="M121" s="369"/>
      <c r="N121" s="365"/>
      <c r="O121" s="366"/>
      <c r="P121" s="366"/>
      <c r="Q121" s="367"/>
      <c r="R121" s="365"/>
      <c r="S121" s="366"/>
      <c r="T121" s="366"/>
      <c r="U121" s="368"/>
      <c r="V121" s="370"/>
      <c r="W121" s="371"/>
      <c r="X121" s="276"/>
      <c r="Y121" s="351"/>
      <c r="Z121" s="352"/>
      <c r="AA121" s="352"/>
      <c r="AB121" s="353">
        <f t="shared" si="18"/>
        <v>0</v>
      </c>
      <c r="AC121" s="354"/>
      <c r="AD121" s="352"/>
      <c r="AE121" s="352"/>
      <c r="AF121" s="353">
        <f t="shared" si="19"/>
        <v>0</v>
      </c>
      <c r="AG121" s="354"/>
      <c r="AH121" s="352"/>
      <c r="AI121" s="352"/>
      <c r="AJ121" s="353">
        <f t="shared" si="20"/>
        <v>0</v>
      </c>
      <c r="AK121" s="354"/>
      <c r="AL121" s="352"/>
      <c r="AM121" s="352"/>
      <c r="AN121" s="353">
        <f t="shared" si="21"/>
        <v>0</v>
      </c>
      <c r="AO121" s="354"/>
      <c r="AP121" s="352"/>
      <c r="AQ121" s="352"/>
      <c r="AR121" s="353">
        <f t="shared" si="22"/>
        <v>0</v>
      </c>
      <c r="AS121" s="354"/>
      <c r="AT121" s="352"/>
      <c r="AU121" s="352"/>
      <c r="AV121" s="353">
        <f t="shared" si="23"/>
        <v>0</v>
      </c>
      <c r="AW121" s="354"/>
      <c r="AX121" s="352"/>
      <c r="AY121" s="352"/>
      <c r="AZ121" s="353">
        <f t="shared" si="24"/>
        <v>0</v>
      </c>
      <c r="BA121" s="354"/>
      <c r="BB121" s="352"/>
      <c r="BC121" s="352"/>
      <c r="BD121" s="353">
        <f t="shared" si="25"/>
        <v>0</v>
      </c>
      <c r="BE121" s="353">
        <f t="shared" si="17"/>
        <v>0</v>
      </c>
      <c r="BF121" s="355"/>
      <c r="BG121" s="334"/>
    </row>
    <row r="122" spans="1:59" ht="19.95" customHeight="1">
      <c r="A122" s="336">
        <v>114</v>
      </c>
      <c r="B122" s="364"/>
      <c r="C122" s="365"/>
      <c r="D122" s="366"/>
      <c r="E122" s="367"/>
      <c r="F122" s="367"/>
      <c r="G122" s="368"/>
      <c r="H122" s="359"/>
      <c r="I122" s="360"/>
      <c r="J122" s="365"/>
      <c r="K122" s="366"/>
      <c r="L122" s="366"/>
      <c r="M122" s="369"/>
      <c r="N122" s="365"/>
      <c r="O122" s="366"/>
      <c r="P122" s="366"/>
      <c r="Q122" s="367"/>
      <c r="R122" s="365"/>
      <c r="S122" s="366"/>
      <c r="T122" s="366"/>
      <c r="U122" s="368"/>
      <c r="V122" s="370"/>
      <c r="W122" s="371"/>
      <c r="X122" s="276"/>
      <c r="Y122" s="351"/>
      <c r="Z122" s="352"/>
      <c r="AA122" s="352"/>
      <c r="AB122" s="353">
        <f t="shared" si="18"/>
        <v>0</v>
      </c>
      <c r="AC122" s="354"/>
      <c r="AD122" s="352"/>
      <c r="AE122" s="352"/>
      <c r="AF122" s="353">
        <f t="shared" si="19"/>
        <v>0</v>
      </c>
      <c r="AG122" s="354"/>
      <c r="AH122" s="352"/>
      <c r="AI122" s="352"/>
      <c r="AJ122" s="353">
        <f t="shared" si="20"/>
        <v>0</v>
      </c>
      <c r="AK122" s="354"/>
      <c r="AL122" s="352"/>
      <c r="AM122" s="352"/>
      <c r="AN122" s="353">
        <f t="shared" si="21"/>
        <v>0</v>
      </c>
      <c r="AO122" s="354"/>
      <c r="AP122" s="352"/>
      <c r="AQ122" s="352"/>
      <c r="AR122" s="353">
        <f t="shared" si="22"/>
        <v>0</v>
      </c>
      <c r="AS122" s="354"/>
      <c r="AT122" s="352"/>
      <c r="AU122" s="352"/>
      <c r="AV122" s="353">
        <f t="shared" si="23"/>
        <v>0</v>
      </c>
      <c r="AW122" s="354"/>
      <c r="AX122" s="352"/>
      <c r="AY122" s="352"/>
      <c r="AZ122" s="353">
        <f t="shared" si="24"/>
        <v>0</v>
      </c>
      <c r="BA122" s="354"/>
      <c r="BB122" s="352"/>
      <c r="BC122" s="352"/>
      <c r="BD122" s="353">
        <f t="shared" si="25"/>
        <v>0</v>
      </c>
      <c r="BE122" s="353">
        <f t="shared" si="17"/>
        <v>0</v>
      </c>
      <c r="BF122" s="355"/>
      <c r="BG122" s="334"/>
    </row>
    <row r="123" spans="1:59" ht="19.95" customHeight="1">
      <c r="A123" s="336">
        <v>115</v>
      </c>
      <c r="B123" s="364"/>
      <c r="C123" s="365"/>
      <c r="D123" s="366"/>
      <c r="E123" s="367"/>
      <c r="F123" s="367"/>
      <c r="G123" s="368"/>
      <c r="H123" s="359"/>
      <c r="I123" s="360"/>
      <c r="J123" s="365"/>
      <c r="K123" s="366"/>
      <c r="L123" s="366"/>
      <c r="M123" s="369"/>
      <c r="N123" s="365"/>
      <c r="O123" s="366"/>
      <c r="P123" s="366"/>
      <c r="Q123" s="367"/>
      <c r="R123" s="365"/>
      <c r="S123" s="366"/>
      <c r="T123" s="366"/>
      <c r="U123" s="368"/>
      <c r="V123" s="370"/>
      <c r="W123" s="371"/>
      <c r="X123" s="276"/>
      <c r="Y123" s="351"/>
      <c r="Z123" s="352"/>
      <c r="AA123" s="352"/>
      <c r="AB123" s="353">
        <f t="shared" si="18"/>
        <v>0</v>
      </c>
      <c r="AC123" s="354"/>
      <c r="AD123" s="352"/>
      <c r="AE123" s="352"/>
      <c r="AF123" s="353">
        <f t="shared" si="19"/>
        <v>0</v>
      </c>
      <c r="AG123" s="354"/>
      <c r="AH123" s="352"/>
      <c r="AI123" s="352"/>
      <c r="AJ123" s="353">
        <f t="shared" si="20"/>
        <v>0</v>
      </c>
      <c r="AK123" s="354"/>
      <c r="AL123" s="352"/>
      <c r="AM123" s="352"/>
      <c r="AN123" s="353">
        <f t="shared" si="21"/>
        <v>0</v>
      </c>
      <c r="AO123" s="354"/>
      <c r="AP123" s="352"/>
      <c r="AQ123" s="352"/>
      <c r="AR123" s="353">
        <f t="shared" si="22"/>
        <v>0</v>
      </c>
      <c r="AS123" s="354"/>
      <c r="AT123" s="352"/>
      <c r="AU123" s="352"/>
      <c r="AV123" s="353">
        <f t="shared" si="23"/>
        <v>0</v>
      </c>
      <c r="AW123" s="354"/>
      <c r="AX123" s="352"/>
      <c r="AY123" s="352"/>
      <c r="AZ123" s="353">
        <f t="shared" si="24"/>
        <v>0</v>
      </c>
      <c r="BA123" s="354"/>
      <c r="BB123" s="352"/>
      <c r="BC123" s="352"/>
      <c r="BD123" s="353">
        <f t="shared" si="25"/>
        <v>0</v>
      </c>
      <c r="BE123" s="353">
        <f t="shared" si="17"/>
        <v>0</v>
      </c>
      <c r="BF123" s="355"/>
      <c r="BG123" s="334"/>
    </row>
    <row r="124" spans="1:59" ht="19.95" customHeight="1">
      <c r="A124" s="336">
        <v>116</v>
      </c>
      <c r="B124" s="364"/>
      <c r="C124" s="365"/>
      <c r="D124" s="366"/>
      <c r="E124" s="367"/>
      <c r="F124" s="367"/>
      <c r="G124" s="368"/>
      <c r="H124" s="359"/>
      <c r="I124" s="360"/>
      <c r="J124" s="365"/>
      <c r="K124" s="366"/>
      <c r="L124" s="366"/>
      <c r="M124" s="369"/>
      <c r="N124" s="365"/>
      <c r="O124" s="366"/>
      <c r="P124" s="366"/>
      <c r="Q124" s="372"/>
      <c r="R124" s="365"/>
      <c r="S124" s="366"/>
      <c r="T124" s="366"/>
      <c r="U124" s="368"/>
      <c r="V124" s="370"/>
      <c r="W124" s="371"/>
      <c r="X124" s="276"/>
      <c r="Y124" s="351"/>
      <c r="Z124" s="352"/>
      <c r="AA124" s="352"/>
      <c r="AB124" s="353">
        <f t="shared" si="18"/>
        <v>0</v>
      </c>
      <c r="AC124" s="354"/>
      <c r="AD124" s="352"/>
      <c r="AE124" s="352"/>
      <c r="AF124" s="353">
        <f t="shared" si="19"/>
        <v>0</v>
      </c>
      <c r="AG124" s="354"/>
      <c r="AH124" s="352"/>
      <c r="AI124" s="352"/>
      <c r="AJ124" s="353">
        <f t="shared" si="20"/>
        <v>0</v>
      </c>
      <c r="AK124" s="354"/>
      <c r="AL124" s="352"/>
      <c r="AM124" s="352"/>
      <c r="AN124" s="353">
        <f t="shared" si="21"/>
        <v>0</v>
      </c>
      <c r="AO124" s="354"/>
      <c r="AP124" s="352"/>
      <c r="AQ124" s="352"/>
      <c r="AR124" s="353">
        <f t="shared" si="22"/>
        <v>0</v>
      </c>
      <c r="AS124" s="354"/>
      <c r="AT124" s="352"/>
      <c r="AU124" s="352"/>
      <c r="AV124" s="353">
        <f t="shared" si="23"/>
        <v>0</v>
      </c>
      <c r="AW124" s="354"/>
      <c r="AX124" s="352"/>
      <c r="AY124" s="352"/>
      <c r="AZ124" s="353">
        <f t="shared" si="24"/>
        <v>0</v>
      </c>
      <c r="BA124" s="354"/>
      <c r="BB124" s="352"/>
      <c r="BC124" s="352"/>
      <c r="BD124" s="353">
        <f t="shared" si="25"/>
        <v>0</v>
      </c>
      <c r="BE124" s="353">
        <f t="shared" si="17"/>
        <v>0</v>
      </c>
      <c r="BF124" s="355"/>
      <c r="BG124" s="334"/>
    </row>
    <row r="125" spans="1:59" ht="19.95" customHeight="1">
      <c r="A125" s="336">
        <v>117</v>
      </c>
      <c r="B125" s="364"/>
      <c r="C125" s="365"/>
      <c r="D125" s="366"/>
      <c r="E125" s="367"/>
      <c r="F125" s="367"/>
      <c r="G125" s="368"/>
      <c r="H125" s="359"/>
      <c r="I125" s="360"/>
      <c r="J125" s="365"/>
      <c r="K125" s="366"/>
      <c r="L125" s="366"/>
      <c r="M125" s="369"/>
      <c r="N125" s="365"/>
      <c r="O125" s="366"/>
      <c r="P125" s="366"/>
      <c r="Q125" s="367"/>
      <c r="R125" s="365"/>
      <c r="S125" s="366"/>
      <c r="T125" s="366"/>
      <c r="U125" s="368"/>
      <c r="V125" s="370"/>
      <c r="W125" s="371"/>
      <c r="X125" s="276"/>
      <c r="Y125" s="351"/>
      <c r="Z125" s="352"/>
      <c r="AA125" s="352"/>
      <c r="AB125" s="353">
        <f t="shared" si="18"/>
        <v>0</v>
      </c>
      <c r="AC125" s="354"/>
      <c r="AD125" s="352"/>
      <c r="AE125" s="352"/>
      <c r="AF125" s="353">
        <f t="shared" si="19"/>
        <v>0</v>
      </c>
      <c r="AG125" s="354"/>
      <c r="AH125" s="352"/>
      <c r="AI125" s="352"/>
      <c r="AJ125" s="353">
        <f t="shared" si="20"/>
        <v>0</v>
      </c>
      <c r="AK125" s="354"/>
      <c r="AL125" s="352"/>
      <c r="AM125" s="352"/>
      <c r="AN125" s="353">
        <f t="shared" si="21"/>
        <v>0</v>
      </c>
      <c r="AO125" s="354"/>
      <c r="AP125" s="352"/>
      <c r="AQ125" s="352"/>
      <c r="AR125" s="353">
        <f t="shared" si="22"/>
        <v>0</v>
      </c>
      <c r="AS125" s="354"/>
      <c r="AT125" s="352"/>
      <c r="AU125" s="352"/>
      <c r="AV125" s="353">
        <f t="shared" si="23"/>
        <v>0</v>
      </c>
      <c r="AW125" s="354"/>
      <c r="AX125" s="352"/>
      <c r="AY125" s="352"/>
      <c r="AZ125" s="353">
        <f t="shared" si="24"/>
        <v>0</v>
      </c>
      <c r="BA125" s="354"/>
      <c r="BB125" s="352"/>
      <c r="BC125" s="352"/>
      <c r="BD125" s="353">
        <f t="shared" si="25"/>
        <v>0</v>
      </c>
      <c r="BE125" s="353">
        <f t="shared" si="17"/>
        <v>0</v>
      </c>
      <c r="BF125" s="355"/>
      <c r="BG125" s="334"/>
    </row>
    <row r="126" spans="1:59" ht="19.95" customHeight="1">
      <c r="A126" s="336">
        <v>118</v>
      </c>
      <c r="B126" s="364"/>
      <c r="C126" s="365"/>
      <c r="D126" s="366"/>
      <c r="E126" s="367"/>
      <c r="F126" s="367"/>
      <c r="G126" s="368"/>
      <c r="H126" s="359"/>
      <c r="I126" s="360"/>
      <c r="J126" s="365"/>
      <c r="K126" s="366"/>
      <c r="L126" s="366"/>
      <c r="M126" s="369"/>
      <c r="N126" s="365"/>
      <c r="O126" s="366"/>
      <c r="P126" s="366"/>
      <c r="Q126" s="367"/>
      <c r="R126" s="365"/>
      <c r="S126" s="366"/>
      <c r="T126" s="366"/>
      <c r="U126" s="368"/>
      <c r="V126" s="370"/>
      <c r="W126" s="371"/>
      <c r="X126" s="276"/>
      <c r="Y126" s="351"/>
      <c r="Z126" s="352"/>
      <c r="AA126" s="352"/>
      <c r="AB126" s="353">
        <f t="shared" si="18"/>
        <v>0</v>
      </c>
      <c r="AC126" s="354"/>
      <c r="AD126" s="352"/>
      <c r="AE126" s="352"/>
      <c r="AF126" s="353">
        <f t="shared" si="19"/>
        <v>0</v>
      </c>
      <c r="AG126" s="354"/>
      <c r="AH126" s="352"/>
      <c r="AI126" s="352"/>
      <c r="AJ126" s="353">
        <f t="shared" si="20"/>
        <v>0</v>
      </c>
      <c r="AK126" s="354"/>
      <c r="AL126" s="352"/>
      <c r="AM126" s="352"/>
      <c r="AN126" s="353">
        <f t="shared" si="21"/>
        <v>0</v>
      </c>
      <c r="AO126" s="354"/>
      <c r="AP126" s="352"/>
      <c r="AQ126" s="352"/>
      <c r="AR126" s="353">
        <f t="shared" si="22"/>
        <v>0</v>
      </c>
      <c r="AS126" s="354"/>
      <c r="AT126" s="352"/>
      <c r="AU126" s="352"/>
      <c r="AV126" s="353">
        <f t="shared" si="23"/>
        <v>0</v>
      </c>
      <c r="AW126" s="354"/>
      <c r="AX126" s="352"/>
      <c r="AY126" s="352"/>
      <c r="AZ126" s="353">
        <f t="shared" si="24"/>
        <v>0</v>
      </c>
      <c r="BA126" s="354"/>
      <c r="BB126" s="352"/>
      <c r="BC126" s="352"/>
      <c r="BD126" s="353">
        <f t="shared" si="25"/>
        <v>0</v>
      </c>
      <c r="BE126" s="353">
        <f t="shared" si="17"/>
        <v>0</v>
      </c>
      <c r="BF126" s="355"/>
      <c r="BG126" s="334"/>
    </row>
    <row r="127" spans="1:59" ht="19.95" customHeight="1">
      <c r="A127" s="336">
        <v>119</v>
      </c>
      <c r="B127" s="364"/>
      <c r="C127" s="365"/>
      <c r="D127" s="366"/>
      <c r="E127" s="367"/>
      <c r="F127" s="367"/>
      <c r="G127" s="368"/>
      <c r="H127" s="359"/>
      <c r="I127" s="360"/>
      <c r="J127" s="365"/>
      <c r="K127" s="366"/>
      <c r="L127" s="366"/>
      <c r="M127" s="369"/>
      <c r="N127" s="365"/>
      <c r="O127" s="366"/>
      <c r="P127" s="366"/>
      <c r="Q127" s="367"/>
      <c r="R127" s="365"/>
      <c r="S127" s="366"/>
      <c r="T127" s="366"/>
      <c r="U127" s="368"/>
      <c r="V127" s="370"/>
      <c r="W127" s="371"/>
      <c r="X127" s="276"/>
      <c r="Y127" s="351"/>
      <c r="Z127" s="352"/>
      <c r="AA127" s="352"/>
      <c r="AB127" s="353">
        <f t="shared" si="18"/>
        <v>0</v>
      </c>
      <c r="AC127" s="354"/>
      <c r="AD127" s="352"/>
      <c r="AE127" s="352"/>
      <c r="AF127" s="353">
        <f t="shared" si="19"/>
        <v>0</v>
      </c>
      <c r="AG127" s="354"/>
      <c r="AH127" s="352"/>
      <c r="AI127" s="352"/>
      <c r="AJ127" s="353">
        <f t="shared" si="20"/>
        <v>0</v>
      </c>
      <c r="AK127" s="354"/>
      <c r="AL127" s="352"/>
      <c r="AM127" s="352"/>
      <c r="AN127" s="353">
        <f t="shared" si="21"/>
        <v>0</v>
      </c>
      <c r="AO127" s="354"/>
      <c r="AP127" s="352"/>
      <c r="AQ127" s="352"/>
      <c r="AR127" s="353">
        <f t="shared" si="22"/>
        <v>0</v>
      </c>
      <c r="AS127" s="354"/>
      <c r="AT127" s="352"/>
      <c r="AU127" s="352"/>
      <c r="AV127" s="353">
        <f t="shared" si="23"/>
        <v>0</v>
      </c>
      <c r="AW127" s="354"/>
      <c r="AX127" s="352"/>
      <c r="AY127" s="352"/>
      <c r="AZ127" s="353">
        <f t="shared" si="24"/>
        <v>0</v>
      </c>
      <c r="BA127" s="354"/>
      <c r="BB127" s="352"/>
      <c r="BC127" s="352"/>
      <c r="BD127" s="353">
        <f t="shared" si="25"/>
        <v>0</v>
      </c>
      <c r="BE127" s="353">
        <f t="shared" si="17"/>
        <v>0</v>
      </c>
      <c r="BF127" s="355"/>
      <c r="BG127" s="334"/>
    </row>
    <row r="128" spans="1:59" ht="19.95" customHeight="1">
      <c r="A128" s="336">
        <v>120</v>
      </c>
      <c r="B128" s="364"/>
      <c r="C128" s="365"/>
      <c r="D128" s="366"/>
      <c r="E128" s="367"/>
      <c r="F128" s="367"/>
      <c r="G128" s="368"/>
      <c r="H128" s="359"/>
      <c r="I128" s="360"/>
      <c r="J128" s="365"/>
      <c r="K128" s="366"/>
      <c r="L128" s="366"/>
      <c r="M128" s="369"/>
      <c r="N128" s="365"/>
      <c r="O128" s="366"/>
      <c r="P128" s="366"/>
      <c r="Q128" s="367"/>
      <c r="R128" s="365"/>
      <c r="S128" s="366"/>
      <c r="T128" s="366"/>
      <c r="U128" s="368"/>
      <c r="V128" s="370"/>
      <c r="W128" s="371"/>
      <c r="X128" s="276"/>
      <c r="Y128" s="351"/>
      <c r="Z128" s="352"/>
      <c r="AA128" s="352"/>
      <c r="AB128" s="353">
        <f t="shared" si="18"/>
        <v>0</v>
      </c>
      <c r="AC128" s="354"/>
      <c r="AD128" s="352"/>
      <c r="AE128" s="352"/>
      <c r="AF128" s="353">
        <f t="shared" si="19"/>
        <v>0</v>
      </c>
      <c r="AG128" s="354"/>
      <c r="AH128" s="352"/>
      <c r="AI128" s="352"/>
      <c r="AJ128" s="353">
        <f t="shared" si="20"/>
        <v>0</v>
      </c>
      <c r="AK128" s="354"/>
      <c r="AL128" s="352"/>
      <c r="AM128" s="352"/>
      <c r="AN128" s="353">
        <f t="shared" si="21"/>
        <v>0</v>
      </c>
      <c r="AO128" s="354"/>
      <c r="AP128" s="352"/>
      <c r="AQ128" s="352"/>
      <c r="AR128" s="353">
        <f t="shared" si="22"/>
        <v>0</v>
      </c>
      <c r="AS128" s="354"/>
      <c r="AT128" s="352"/>
      <c r="AU128" s="352"/>
      <c r="AV128" s="353">
        <f t="shared" si="23"/>
        <v>0</v>
      </c>
      <c r="AW128" s="354"/>
      <c r="AX128" s="352"/>
      <c r="AY128" s="352"/>
      <c r="AZ128" s="353">
        <f t="shared" si="24"/>
        <v>0</v>
      </c>
      <c r="BA128" s="354"/>
      <c r="BB128" s="352"/>
      <c r="BC128" s="352"/>
      <c r="BD128" s="353">
        <f t="shared" si="25"/>
        <v>0</v>
      </c>
      <c r="BE128" s="353">
        <f t="shared" si="17"/>
        <v>0</v>
      </c>
      <c r="BF128" s="355"/>
      <c r="BG128" s="334"/>
    </row>
    <row r="129" spans="1:59" ht="19.95" customHeight="1">
      <c r="A129" s="336">
        <v>121</v>
      </c>
      <c r="B129" s="364"/>
      <c r="C129" s="365"/>
      <c r="D129" s="366"/>
      <c r="E129" s="367"/>
      <c r="F129" s="367"/>
      <c r="G129" s="368"/>
      <c r="H129" s="359"/>
      <c r="I129" s="360"/>
      <c r="J129" s="365"/>
      <c r="K129" s="366"/>
      <c r="L129" s="366"/>
      <c r="M129" s="369"/>
      <c r="N129" s="365"/>
      <c r="O129" s="366"/>
      <c r="P129" s="366"/>
      <c r="Q129" s="367"/>
      <c r="R129" s="365"/>
      <c r="S129" s="366"/>
      <c r="T129" s="366"/>
      <c r="U129" s="368"/>
      <c r="V129" s="370"/>
      <c r="W129" s="371"/>
      <c r="X129" s="276"/>
      <c r="Y129" s="351"/>
      <c r="Z129" s="352"/>
      <c r="AA129" s="352"/>
      <c r="AB129" s="353">
        <f t="shared" si="18"/>
        <v>0</v>
      </c>
      <c r="AC129" s="354"/>
      <c r="AD129" s="352"/>
      <c r="AE129" s="352"/>
      <c r="AF129" s="353">
        <f t="shared" si="19"/>
        <v>0</v>
      </c>
      <c r="AG129" s="354"/>
      <c r="AH129" s="352"/>
      <c r="AI129" s="352"/>
      <c r="AJ129" s="353">
        <f t="shared" si="20"/>
        <v>0</v>
      </c>
      <c r="AK129" s="354"/>
      <c r="AL129" s="352"/>
      <c r="AM129" s="352"/>
      <c r="AN129" s="353">
        <f t="shared" si="21"/>
        <v>0</v>
      </c>
      <c r="AO129" s="354"/>
      <c r="AP129" s="352"/>
      <c r="AQ129" s="352"/>
      <c r="AR129" s="353">
        <f t="shared" si="22"/>
        <v>0</v>
      </c>
      <c r="AS129" s="354"/>
      <c r="AT129" s="352"/>
      <c r="AU129" s="352"/>
      <c r="AV129" s="353">
        <f t="shared" si="23"/>
        <v>0</v>
      </c>
      <c r="AW129" s="354"/>
      <c r="AX129" s="352"/>
      <c r="AY129" s="352"/>
      <c r="AZ129" s="353">
        <f t="shared" si="24"/>
        <v>0</v>
      </c>
      <c r="BA129" s="354"/>
      <c r="BB129" s="352"/>
      <c r="BC129" s="352"/>
      <c r="BD129" s="353">
        <f t="shared" si="25"/>
        <v>0</v>
      </c>
      <c r="BE129" s="353">
        <f t="shared" si="17"/>
        <v>0</v>
      </c>
      <c r="BF129" s="355"/>
      <c r="BG129" s="334"/>
    </row>
    <row r="130" spans="1:59" ht="19.95" customHeight="1">
      <c r="A130" s="336">
        <v>122</v>
      </c>
      <c r="B130" s="364"/>
      <c r="C130" s="365"/>
      <c r="D130" s="366"/>
      <c r="E130" s="367"/>
      <c r="F130" s="367"/>
      <c r="G130" s="368"/>
      <c r="H130" s="359"/>
      <c r="I130" s="360"/>
      <c r="J130" s="365"/>
      <c r="K130" s="366"/>
      <c r="L130" s="366"/>
      <c r="M130" s="369"/>
      <c r="N130" s="365"/>
      <c r="O130" s="366"/>
      <c r="P130" s="366"/>
      <c r="Q130" s="367"/>
      <c r="R130" s="365"/>
      <c r="S130" s="366"/>
      <c r="T130" s="366"/>
      <c r="U130" s="368"/>
      <c r="V130" s="370"/>
      <c r="W130" s="371"/>
      <c r="X130" s="276"/>
      <c r="Y130" s="351"/>
      <c r="Z130" s="352"/>
      <c r="AA130" s="352"/>
      <c r="AB130" s="353">
        <f t="shared" si="18"/>
        <v>0</v>
      </c>
      <c r="AC130" s="354"/>
      <c r="AD130" s="352"/>
      <c r="AE130" s="352"/>
      <c r="AF130" s="353">
        <f t="shared" si="19"/>
        <v>0</v>
      </c>
      <c r="AG130" s="354"/>
      <c r="AH130" s="352"/>
      <c r="AI130" s="352"/>
      <c r="AJ130" s="353">
        <f t="shared" si="20"/>
        <v>0</v>
      </c>
      <c r="AK130" s="354"/>
      <c r="AL130" s="352"/>
      <c r="AM130" s="352"/>
      <c r="AN130" s="353">
        <f t="shared" si="21"/>
        <v>0</v>
      </c>
      <c r="AO130" s="354"/>
      <c r="AP130" s="352"/>
      <c r="AQ130" s="352"/>
      <c r="AR130" s="353">
        <f t="shared" si="22"/>
        <v>0</v>
      </c>
      <c r="AS130" s="354"/>
      <c r="AT130" s="352"/>
      <c r="AU130" s="352"/>
      <c r="AV130" s="353">
        <f t="shared" si="23"/>
        <v>0</v>
      </c>
      <c r="AW130" s="354"/>
      <c r="AX130" s="352"/>
      <c r="AY130" s="352"/>
      <c r="AZ130" s="353">
        <f t="shared" si="24"/>
        <v>0</v>
      </c>
      <c r="BA130" s="354"/>
      <c r="BB130" s="352"/>
      <c r="BC130" s="352"/>
      <c r="BD130" s="353">
        <f t="shared" si="25"/>
        <v>0</v>
      </c>
      <c r="BE130" s="353">
        <f t="shared" si="17"/>
        <v>0</v>
      </c>
      <c r="BF130" s="355"/>
      <c r="BG130" s="334"/>
    </row>
    <row r="131" spans="1:59" ht="19.95" customHeight="1">
      <c r="A131" s="336">
        <v>123</v>
      </c>
      <c r="B131" s="364"/>
      <c r="C131" s="365"/>
      <c r="D131" s="366"/>
      <c r="E131" s="367"/>
      <c r="F131" s="367"/>
      <c r="G131" s="368"/>
      <c r="H131" s="359"/>
      <c r="I131" s="360"/>
      <c r="J131" s="365"/>
      <c r="K131" s="366"/>
      <c r="L131" s="366"/>
      <c r="M131" s="369"/>
      <c r="N131" s="365"/>
      <c r="O131" s="366"/>
      <c r="P131" s="366"/>
      <c r="Q131" s="367"/>
      <c r="R131" s="365"/>
      <c r="S131" s="366"/>
      <c r="T131" s="366"/>
      <c r="U131" s="368"/>
      <c r="V131" s="370"/>
      <c r="W131" s="371"/>
      <c r="X131" s="276"/>
      <c r="Y131" s="351"/>
      <c r="Z131" s="352"/>
      <c r="AA131" s="352"/>
      <c r="AB131" s="353">
        <f t="shared" si="18"/>
        <v>0</v>
      </c>
      <c r="AC131" s="354"/>
      <c r="AD131" s="352"/>
      <c r="AE131" s="352"/>
      <c r="AF131" s="353">
        <f t="shared" si="19"/>
        <v>0</v>
      </c>
      <c r="AG131" s="354"/>
      <c r="AH131" s="352"/>
      <c r="AI131" s="352"/>
      <c r="AJ131" s="353">
        <f t="shared" si="20"/>
        <v>0</v>
      </c>
      <c r="AK131" s="354"/>
      <c r="AL131" s="352"/>
      <c r="AM131" s="352"/>
      <c r="AN131" s="353">
        <f t="shared" si="21"/>
        <v>0</v>
      </c>
      <c r="AO131" s="354"/>
      <c r="AP131" s="352"/>
      <c r="AQ131" s="352"/>
      <c r="AR131" s="353">
        <f t="shared" si="22"/>
        <v>0</v>
      </c>
      <c r="AS131" s="354"/>
      <c r="AT131" s="352"/>
      <c r="AU131" s="352"/>
      <c r="AV131" s="353">
        <f t="shared" si="23"/>
        <v>0</v>
      </c>
      <c r="AW131" s="354"/>
      <c r="AX131" s="352"/>
      <c r="AY131" s="352"/>
      <c r="AZ131" s="353">
        <f t="shared" si="24"/>
        <v>0</v>
      </c>
      <c r="BA131" s="354"/>
      <c r="BB131" s="352"/>
      <c r="BC131" s="352"/>
      <c r="BD131" s="353">
        <f t="shared" si="25"/>
        <v>0</v>
      </c>
      <c r="BE131" s="353">
        <f t="shared" si="17"/>
        <v>0</v>
      </c>
      <c r="BF131" s="355"/>
      <c r="BG131" s="334"/>
    </row>
    <row r="132" spans="1:59" ht="19.95" customHeight="1">
      <c r="A132" s="336">
        <v>124</v>
      </c>
      <c r="B132" s="364"/>
      <c r="C132" s="365"/>
      <c r="D132" s="366"/>
      <c r="E132" s="367"/>
      <c r="F132" s="367"/>
      <c r="G132" s="368"/>
      <c r="H132" s="359"/>
      <c r="I132" s="360"/>
      <c r="J132" s="365"/>
      <c r="K132" s="366"/>
      <c r="L132" s="366"/>
      <c r="M132" s="369"/>
      <c r="N132" s="365"/>
      <c r="O132" s="366"/>
      <c r="P132" s="366"/>
      <c r="Q132" s="367"/>
      <c r="R132" s="365"/>
      <c r="S132" s="366"/>
      <c r="T132" s="366"/>
      <c r="U132" s="368"/>
      <c r="V132" s="370"/>
      <c r="W132" s="371"/>
      <c r="X132" s="276"/>
      <c r="Y132" s="351"/>
      <c r="Z132" s="352"/>
      <c r="AA132" s="352"/>
      <c r="AB132" s="353">
        <f t="shared" si="18"/>
        <v>0</v>
      </c>
      <c r="AC132" s="354"/>
      <c r="AD132" s="352"/>
      <c r="AE132" s="352"/>
      <c r="AF132" s="353">
        <f t="shared" si="19"/>
        <v>0</v>
      </c>
      <c r="AG132" s="354"/>
      <c r="AH132" s="352"/>
      <c r="AI132" s="352"/>
      <c r="AJ132" s="353">
        <f t="shared" si="20"/>
        <v>0</v>
      </c>
      <c r="AK132" s="354"/>
      <c r="AL132" s="352"/>
      <c r="AM132" s="352"/>
      <c r="AN132" s="353">
        <f t="shared" si="21"/>
        <v>0</v>
      </c>
      <c r="AO132" s="354"/>
      <c r="AP132" s="352"/>
      <c r="AQ132" s="352"/>
      <c r="AR132" s="353">
        <f t="shared" si="22"/>
        <v>0</v>
      </c>
      <c r="AS132" s="354"/>
      <c r="AT132" s="352"/>
      <c r="AU132" s="352"/>
      <c r="AV132" s="353">
        <f t="shared" si="23"/>
        <v>0</v>
      </c>
      <c r="AW132" s="354"/>
      <c r="AX132" s="352"/>
      <c r="AY132" s="352"/>
      <c r="AZ132" s="353">
        <f t="shared" si="24"/>
        <v>0</v>
      </c>
      <c r="BA132" s="354"/>
      <c r="BB132" s="352"/>
      <c r="BC132" s="352"/>
      <c r="BD132" s="353">
        <f t="shared" si="25"/>
        <v>0</v>
      </c>
      <c r="BE132" s="353">
        <f t="shared" si="17"/>
        <v>0</v>
      </c>
      <c r="BF132" s="355"/>
      <c r="BG132" s="334"/>
    </row>
    <row r="133" spans="1:59" ht="19.95" customHeight="1">
      <c r="A133" s="336">
        <v>125</v>
      </c>
      <c r="B133" s="364"/>
      <c r="C133" s="365"/>
      <c r="D133" s="366"/>
      <c r="E133" s="367"/>
      <c r="F133" s="367"/>
      <c r="G133" s="368"/>
      <c r="H133" s="359"/>
      <c r="I133" s="360"/>
      <c r="J133" s="365"/>
      <c r="K133" s="366"/>
      <c r="L133" s="366"/>
      <c r="M133" s="369"/>
      <c r="N133" s="365"/>
      <c r="O133" s="366"/>
      <c r="P133" s="366"/>
      <c r="Q133" s="367"/>
      <c r="R133" s="365"/>
      <c r="S133" s="366"/>
      <c r="T133" s="366"/>
      <c r="U133" s="368"/>
      <c r="V133" s="370"/>
      <c r="W133" s="371"/>
      <c r="X133" s="276"/>
      <c r="Y133" s="351"/>
      <c r="Z133" s="352"/>
      <c r="AA133" s="352"/>
      <c r="AB133" s="353">
        <f t="shared" si="18"/>
        <v>0</v>
      </c>
      <c r="AC133" s="354"/>
      <c r="AD133" s="352"/>
      <c r="AE133" s="352"/>
      <c r="AF133" s="353">
        <f t="shared" si="19"/>
        <v>0</v>
      </c>
      <c r="AG133" s="354"/>
      <c r="AH133" s="352"/>
      <c r="AI133" s="352"/>
      <c r="AJ133" s="353">
        <f t="shared" si="20"/>
        <v>0</v>
      </c>
      <c r="AK133" s="354"/>
      <c r="AL133" s="352"/>
      <c r="AM133" s="352"/>
      <c r="AN133" s="353">
        <f t="shared" si="21"/>
        <v>0</v>
      </c>
      <c r="AO133" s="354"/>
      <c r="AP133" s="352"/>
      <c r="AQ133" s="352"/>
      <c r="AR133" s="353">
        <f t="shared" si="22"/>
        <v>0</v>
      </c>
      <c r="AS133" s="354"/>
      <c r="AT133" s="352"/>
      <c r="AU133" s="352"/>
      <c r="AV133" s="353">
        <f t="shared" si="23"/>
        <v>0</v>
      </c>
      <c r="AW133" s="354"/>
      <c r="AX133" s="352"/>
      <c r="AY133" s="352"/>
      <c r="AZ133" s="353">
        <f t="shared" si="24"/>
        <v>0</v>
      </c>
      <c r="BA133" s="354"/>
      <c r="BB133" s="352"/>
      <c r="BC133" s="352"/>
      <c r="BD133" s="353">
        <f t="shared" si="25"/>
        <v>0</v>
      </c>
      <c r="BE133" s="353">
        <f t="shared" si="17"/>
        <v>0</v>
      </c>
      <c r="BF133" s="355"/>
      <c r="BG133" s="334"/>
    </row>
    <row r="134" spans="1:59" ht="19.95" customHeight="1">
      <c r="A134" s="373"/>
      <c r="B134" s="364"/>
      <c r="C134" s="365"/>
      <c r="D134" s="366"/>
      <c r="E134" s="367"/>
      <c r="F134" s="367"/>
      <c r="G134" s="368"/>
      <c r="H134" s="374"/>
      <c r="I134" s="374"/>
      <c r="J134" s="365"/>
      <c r="K134" s="366"/>
      <c r="L134" s="366"/>
      <c r="M134" s="369"/>
      <c r="N134" s="365"/>
      <c r="O134" s="366"/>
      <c r="P134" s="366"/>
      <c r="Q134" s="367"/>
      <c r="R134" s="365"/>
      <c r="S134" s="366"/>
      <c r="T134" s="366"/>
      <c r="U134" s="368"/>
      <c r="V134" s="370"/>
      <c r="W134" s="371"/>
      <c r="X134" s="276"/>
      <c r="Y134" s="276"/>
      <c r="Z134" s="276"/>
      <c r="AA134" s="276"/>
      <c r="AB134" s="276"/>
      <c r="AC134" s="276"/>
      <c r="AD134" s="276"/>
      <c r="AE134" s="375"/>
      <c r="AF134" s="276"/>
      <c r="AG134" s="276"/>
      <c r="AH134" s="276"/>
      <c r="AI134" s="276"/>
      <c r="AJ134" s="276"/>
      <c r="AK134" s="276"/>
      <c r="AL134" s="276"/>
      <c r="AM134" s="276"/>
      <c r="AN134" s="276"/>
      <c r="AO134" s="276"/>
      <c r="AP134" s="276"/>
      <c r="AQ134" s="276"/>
      <c r="AR134" s="276"/>
      <c r="AS134" s="276"/>
      <c r="AT134" s="276"/>
      <c r="AU134" s="276"/>
      <c r="AV134" s="276"/>
      <c r="AW134" s="276"/>
      <c r="AX134" s="276"/>
      <c r="AY134" s="276"/>
      <c r="AZ134" s="276"/>
      <c r="BA134" s="276"/>
      <c r="BB134" s="276"/>
      <c r="BC134" s="375"/>
      <c r="BD134" s="276"/>
      <c r="BE134" s="276"/>
      <c r="BF134" s="276"/>
      <c r="BG134" s="334"/>
    </row>
    <row r="135" spans="1:59" ht="19.95" customHeight="1">
      <c r="A135" s="373"/>
      <c r="B135" s="364"/>
      <c r="C135" s="365"/>
      <c r="D135" s="366"/>
      <c r="E135" s="367"/>
      <c r="F135" s="367"/>
      <c r="G135" s="368"/>
      <c r="H135" s="374"/>
      <c r="I135" s="374"/>
      <c r="J135" s="365"/>
      <c r="K135" s="366"/>
      <c r="L135" s="366"/>
      <c r="M135" s="369"/>
      <c r="N135" s="365"/>
      <c r="O135" s="366"/>
      <c r="P135" s="366"/>
      <c r="Q135" s="367"/>
      <c r="R135" s="365"/>
      <c r="S135" s="366"/>
      <c r="T135" s="366"/>
      <c r="U135" s="368"/>
      <c r="V135" s="370"/>
      <c r="W135" s="371"/>
      <c r="X135" s="276"/>
      <c r="Y135" s="276"/>
      <c r="Z135" s="276"/>
      <c r="AA135" s="276"/>
      <c r="AB135" s="276"/>
      <c r="AC135" s="276"/>
      <c r="AD135" s="276"/>
      <c r="AE135" s="375"/>
      <c r="AF135" s="276"/>
      <c r="AG135" s="276"/>
      <c r="AH135" s="276"/>
      <c r="AI135" s="276"/>
      <c r="AJ135" s="276"/>
      <c r="AK135" s="276"/>
      <c r="AL135" s="276"/>
      <c r="AM135" s="276"/>
      <c r="AN135" s="276"/>
      <c r="AO135" s="276"/>
      <c r="AP135" s="276"/>
      <c r="AQ135" s="276"/>
      <c r="AR135" s="276"/>
      <c r="AS135" s="276"/>
      <c r="AT135" s="276"/>
      <c r="AU135" s="276"/>
      <c r="AV135" s="276"/>
      <c r="AW135" s="276"/>
      <c r="AX135" s="276"/>
      <c r="AY135" s="276"/>
      <c r="AZ135" s="276"/>
      <c r="BA135" s="276"/>
      <c r="BB135" s="276"/>
      <c r="BC135" s="375"/>
      <c r="BD135" s="276"/>
      <c r="BE135" s="276"/>
      <c r="BF135" s="276"/>
      <c r="BG135" s="334"/>
    </row>
    <row r="136" spans="1:59" ht="19.95" customHeight="1">
      <c r="A136" s="373"/>
      <c r="B136" s="364"/>
      <c r="C136" s="365"/>
      <c r="D136" s="366"/>
      <c r="E136" s="367"/>
      <c r="F136" s="367"/>
      <c r="G136" s="368"/>
      <c r="H136" s="374"/>
      <c r="I136" s="374"/>
      <c r="J136" s="365"/>
      <c r="K136" s="366"/>
      <c r="L136" s="366"/>
      <c r="M136" s="369"/>
      <c r="N136" s="365"/>
      <c r="O136" s="366"/>
      <c r="P136" s="366"/>
      <c r="Q136" s="367"/>
      <c r="R136" s="365"/>
      <c r="S136" s="366"/>
      <c r="T136" s="366"/>
      <c r="U136" s="368"/>
      <c r="V136" s="370"/>
      <c r="W136" s="371"/>
      <c r="X136" s="276"/>
      <c r="Y136" s="276"/>
      <c r="Z136" s="276"/>
      <c r="AA136" s="276"/>
      <c r="AB136" s="276"/>
      <c r="AC136" s="276"/>
      <c r="AD136" s="276"/>
      <c r="AE136" s="375"/>
      <c r="AF136" s="276"/>
      <c r="AG136" s="276"/>
      <c r="AH136" s="276"/>
      <c r="AI136" s="276"/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375"/>
      <c r="BD136" s="276"/>
      <c r="BE136" s="276"/>
      <c r="BF136" s="276"/>
      <c r="BG136" s="334"/>
    </row>
    <row r="137" spans="1:59" ht="19.95" customHeight="1">
      <c r="A137" s="373"/>
      <c r="B137" s="364"/>
      <c r="C137" s="365"/>
      <c r="D137" s="366"/>
      <c r="E137" s="367"/>
      <c r="F137" s="367"/>
      <c r="G137" s="368"/>
      <c r="H137" s="374"/>
      <c r="I137" s="374"/>
      <c r="J137" s="365"/>
      <c r="K137" s="366"/>
      <c r="L137" s="366"/>
      <c r="M137" s="369"/>
      <c r="N137" s="365"/>
      <c r="O137" s="366"/>
      <c r="P137" s="366"/>
      <c r="Q137" s="367"/>
      <c r="R137" s="365"/>
      <c r="S137" s="366"/>
      <c r="T137" s="366"/>
      <c r="U137" s="368"/>
      <c r="V137" s="370"/>
      <c r="W137" s="371"/>
      <c r="X137" s="276"/>
      <c r="Y137" s="276"/>
      <c r="Z137" s="276"/>
      <c r="AA137" s="276"/>
      <c r="AB137" s="276"/>
      <c r="AC137" s="276"/>
      <c r="AD137" s="276"/>
      <c r="AE137" s="375"/>
      <c r="AF137" s="276"/>
      <c r="AG137" s="276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76"/>
      <c r="BB137" s="276"/>
      <c r="BC137" s="375"/>
      <c r="BD137" s="276"/>
      <c r="BE137" s="276"/>
      <c r="BF137" s="276"/>
      <c r="BG137" s="334"/>
    </row>
    <row r="138" spans="1:59" ht="19.95" customHeight="1">
      <c r="A138" s="373"/>
      <c r="B138" s="364"/>
      <c r="C138" s="365"/>
      <c r="D138" s="366"/>
      <c r="E138" s="367"/>
      <c r="F138" s="367"/>
      <c r="G138" s="368"/>
      <c r="H138" s="374"/>
      <c r="I138" s="374"/>
      <c r="J138" s="365"/>
      <c r="K138" s="366"/>
      <c r="L138" s="366"/>
      <c r="M138" s="369"/>
      <c r="N138" s="365"/>
      <c r="O138" s="366"/>
      <c r="P138" s="366"/>
      <c r="Q138" s="367"/>
      <c r="R138" s="365"/>
      <c r="S138" s="366"/>
      <c r="T138" s="366"/>
      <c r="U138" s="368"/>
      <c r="V138" s="370"/>
      <c r="W138" s="371"/>
      <c r="X138" s="276"/>
      <c r="Y138" s="276"/>
      <c r="Z138" s="276"/>
      <c r="AA138" s="276"/>
      <c r="AB138" s="276"/>
      <c r="AC138" s="276"/>
      <c r="AD138" s="276"/>
      <c r="AE138" s="375"/>
      <c r="AF138" s="276"/>
      <c r="AG138" s="276"/>
      <c r="AH138" s="276"/>
      <c r="AI138" s="276"/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76"/>
      <c r="BB138" s="276"/>
      <c r="BC138" s="375"/>
      <c r="BD138" s="276"/>
      <c r="BE138" s="276"/>
      <c r="BF138" s="276"/>
      <c r="BG138" s="334"/>
    </row>
    <row r="139" spans="1:59" ht="19.95" customHeight="1">
      <c r="A139" s="373"/>
      <c r="B139" s="364"/>
      <c r="C139" s="365"/>
      <c r="D139" s="366"/>
      <c r="E139" s="367"/>
      <c r="F139" s="367"/>
      <c r="G139" s="368"/>
      <c r="H139" s="374"/>
      <c r="I139" s="374"/>
      <c r="J139" s="365"/>
      <c r="K139" s="366"/>
      <c r="L139" s="366"/>
      <c r="M139" s="369"/>
      <c r="N139" s="365"/>
      <c r="O139" s="366"/>
      <c r="P139" s="366"/>
      <c r="Q139" s="367"/>
      <c r="R139" s="365"/>
      <c r="S139" s="366"/>
      <c r="T139" s="366"/>
      <c r="U139" s="368"/>
      <c r="V139" s="370"/>
      <c r="W139" s="371"/>
      <c r="X139" s="276"/>
      <c r="Y139" s="276"/>
      <c r="Z139" s="276"/>
      <c r="AA139" s="276"/>
      <c r="AB139" s="276"/>
      <c r="AC139" s="276"/>
      <c r="AD139" s="276"/>
      <c r="AE139" s="375"/>
      <c r="AF139" s="276"/>
      <c r="AG139" s="276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375"/>
      <c r="BD139" s="276"/>
      <c r="BE139" s="276"/>
      <c r="BF139" s="276"/>
      <c r="BG139" s="334"/>
    </row>
    <row r="140" spans="1:59" ht="19.95" customHeight="1">
      <c r="A140" s="373"/>
      <c r="B140" s="364"/>
      <c r="C140" s="365"/>
      <c r="D140" s="366"/>
      <c r="E140" s="367"/>
      <c r="F140" s="367"/>
      <c r="G140" s="368"/>
      <c r="H140" s="374"/>
      <c r="I140" s="374"/>
      <c r="J140" s="365"/>
      <c r="K140" s="366"/>
      <c r="L140" s="366"/>
      <c r="M140" s="369"/>
      <c r="N140" s="365"/>
      <c r="O140" s="366"/>
      <c r="P140" s="366"/>
      <c r="Q140" s="367"/>
      <c r="R140" s="365"/>
      <c r="S140" s="366"/>
      <c r="T140" s="366"/>
      <c r="U140" s="368"/>
      <c r="V140" s="370"/>
      <c r="W140" s="371"/>
      <c r="X140" s="276"/>
      <c r="Y140" s="276"/>
      <c r="Z140" s="276"/>
      <c r="AA140" s="276"/>
      <c r="AB140" s="276"/>
      <c r="AC140" s="276"/>
      <c r="AD140" s="276"/>
      <c r="AE140" s="375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375"/>
      <c r="BD140" s="276"/>
      <c r="BE140" s="276"/>
      <c r="BF140" s="276"/>
      <c r="BG140" s="334"/>
    </row>
    <row r="141" spans="1:59" ht="19.95" customHeight="1">
      <c r="A141" s="373"/>
      <c r="B141" s="364"/>
      <c r="C141" s="365"/>
      <c r="D141" s="366"/>
      <c r="E141" s="367"/>
      <c r="F141" s="367"/>
      <c r="G141" s="368"/>
      <c r="H141" s="374"/>
      <c r="I141" s="374"/>
      <c r="J141" s="365"/>
      <c r="K141" s="366"/>
      <c r="L141" s="366"/>
      <c r="M141" s="369"/>
      <c r="N141" s="365"/>
      <c r="O141" s="366"/>
      <c r="P141" s="366"/>
      <c r="Q141" s="367"/>
      <c r="R141" s="365"/>
      <c r="S141" s="366"/>
      <c r="T141" s="366"/>
      <c r="U141" s="368"/>
      <c r="V141" s="370"/>
      <c r="W141" s="371"/>
      <c r="X141" s="276"/>
      <c r="Y141" s="276"/>
      <c r="Z141" s="276"/>
      <c r="AA141" s="276"/>
      <c r="AB141" s="276"/>
      <c r="AC141" s="276"/>
      <c r="AD141" s="276"/>
      <c r="AE141" s="375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375"/>
      <c r="BD141" s="276"/>
      <c r="BE141" s="276"/>
      <c r="BF141" s="276"/>
      <c r="BG141" s="334"/>
    </row>
    <row r="142" spans="1:59" ht="19.95" customHeight="1">
      <c r="A142" s="373"/>
      <c r="B142" s="364"/>
      <c r="C142" s="365"/>
      <c r="D142" s="366"/>
      <c r="E142" s="367"/>
      <c r="F142" s="367"/>
      <c r="G142" s="368"/>
      <c r="H142" s="374"/>
      <c r="I142" s="374"/>
      <c r="J142" s="365"/>
      <c r="K142" s="366"/>
      <c r="L142" s="366"/>
      <c r="M142" s="369"/>
      <c r="N142" s="365"/>
      <c r="O142" s="366"/>
      <c r="P142" s="366"/>
      <c r="Q142" s="367"/>
      <c r="R142" s="365"/>
      <c r="S142" s="366"/>
      <c r="T142" s="366"/>
      <c r="U142" s="368"/>
      <c r="V142" s="370"/>
      <c r="W142" s="371"/>
      <c r="X142" s="276"/>
      <c r="Y142" s="276"/>
      <c r="Z142" s="276"/>
      <c r="AA142" s="276"/>
      <c r="AB142" s="276"/>
      <c r="AC142" s="276"/>
      <c r="AD142" s="276"/>
      <c r="AE142" s="375"/>
      <c r="AF142" s="276"/>
      <c r="AG142" s="276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375"/>
      <c r="BD142" s="276"/>
      <c r="BE142" s="276"/>
      <c r="BF142" s="276"/>
      <c r="BG142" s="334"/>
    </row>
    <row r="143" spans="1:59" ht="19.95" customHeight="1">
      <c r="AE143" s="375"/>
      <c r="BC143" s="375"/>
    </row>
    <row r="144" spans="1:59" ht="19.95" customHeight="1">
      <c r="AE144" s="375"/>
      <c r="BC144" s="375"/>
    </row>
    <row r="145" spans="31:55" ht="19.95" customHeight="1">
      <c r="AE145" s="375"/>
      <c r="BC145" s="375"/>
    </row>
    <row r="146" spans="31:55" ht="19.95" customHeight="1">
      <c r="AE146" s="375"/>
      <c r="BC146" s="375"/>
    </row>
    <row r="147" spans="31:55" ht="19.95" customHeight="1">
      <c r="AE147" s="375"/>
      <c r="BC147" s="375"/>
    </row>
    <row r="148" spans="31:55" ht="19.95" customHeight="1">
      <c r="AE148" s="375"/>
      <c r="BC148" s="375"/>
    </row>
    <row r="149" spans="31:55" ht="19.95" customHeight="1">
      <c r="AE149" s="375"/>
      <c r="BC149" s="375"/>
    </row>
    <row r="150" spans="31:55" ht="19.95" customHeight="1">
      <c r="AE150" s="375"/>
      <c r="BC150" s="375"/>
    </row>
    <row r="151" spans="31:55" ht="19.95" customHeight="1">
      <c r="AE151" s="375"/>
      <c r="BC151" s="375"/>
    </row>
    <row r="152" spans="31:55" ht="19.95" customHeight="1">
      <c r="AE152" s="375"/>
      <c r="BC152" s="375"/>
    </row>
    <row r="153" spans="31:55" ht="19.95" customHeight="1">
      <c r="AE153" s="375"/>
      <c r="BC153" s="375"/>
    </row>
    <row r="154" spans="31:55" ht="19.95" customHeight="1">
      <c r="AE154" s="375"/>
      <c r="BC154" s="375"/>
    </row>
    <row r="155" spans="31:55" ht="19.95" customHeight="1">
      <c r="AE155" s="375"/>
      <c r="BC155" s="375"/>
    </row>
    <row r="156" spans="31:55" ht="19.95" customHeight="1">
      <c r="BC156" s="375"/>
    </row>
    <row r="157" spans="31:55" ht="19.95" customHeight="1">
      <c r="BC157" s="375"/>
    </row>
  </sheetData>
  <mergeCells count="42">
    <mergeCell ref="A1:W1"/>
    <mergeCell ref="AF1:AO1"/>
    <mergeCell ref="AS2:AU2"/>
    <mergeCell ref="AV2:BB2"/>
    <mergeCell ref="O3:P3"/>
    <mergeCell ref="Q3:T3"/>
    <mergeCell ref="AS3:AU3"/>
    <mergeCell ref="AV3:AZ3"/>
    <mergeCell ref="O4:P4"/>
    <mergeCell ref="Q4:S4"/>
    <mergeCell ref="AS4:AU4"/>
    <mergeCell ref="AV4:AX4"/>
    <mergeCell ref="BE4:BF5"/>
    <mergeCell ref="O5:P5"/>
    <mergeCell ref="Q5:R5"/>
    <mergeCell ref="V5:X6"/>
    <mergeCell ref="D6:U6"/>
    <mergeCell ref="Z6:BE6"/>
    <mergeCell ref="Y7:AB7"/>
    <mergeCell ref="AC7:AF7"/>
    <mergeCell ref="A7:A9"/>
    <mergeCell ref="B7:B9"/>
    <mergeCell ref="C7:G8"/>
    <mergeCell ref="H7:H9"/>
    <mergeCell ref="I7:I9"/>
    <mergeCell ref="J7:M7"/>
    <mergeCell ref="BE7:BE9"/>
    <mergeCell ref="BF7:BF8"/>
    <mergeCell ref="J8:M8"/>
    <mergeCell ref="N8:Q8"/>
    <mergeCell ref="R8:U8"/>
    <mergeCell ref="V8:W8"/>
    <mergeCell ref="AG7:AJ7"/>
    <mergeCell ref="AK7:AN7"/>
    <mergeCell ref="AO7:AR7"/>
    <mergeCell ref="AS7:AV7"/>
    <mergeCell ref="AW7:AZ7"/>
    <mergeCell ref="BA7:BD7"/>
    <mergeCell ref="N7:Q7"/>
    <mergeCell ref="R7:U7"/>
    <mergeCell ref="V7:W7"/>
    <mergeCell ref="X7:X9"/>
  </mergeCells>
  <conditionalFormatting sqref="AZ7 AV7:AW7 AB7 AF7 AJ7 AN7 AR7 BD7">
    <cfRule type="cellIs" dxfId="1" priority="1" operator="equal">
      <formula>0</formula>
    </cfRule>
  </conditionalFormatting>
  <dataValidations count="4">
    <dataValidation errorStyle="information" allowBlank="1" showInputMessage="1" showErrorMessage="1" sqref="Z6 AA5:BD5" xr:uid="{00000000-0002-0000-0200-000000000000}"/>
    <dataValidation type="whole" allowBlank="1" showErrorMessage="1" errorTitle="خطا في الادخال" error="ادخل العام فقط وبدون اي اضافات_x000a_مثلا 1999 " sqref="G14 G18:G19 G10:G11" xr:uid="{00000000-0002-0000-0200-000001000000}">
      <formula1>1950</formula1>
      <formula2>2017</formula2>
    </dataValidation>
    <dataValidation type="whole" allowBlank="1" showErrorMessage="1" errorTitle="خطا في الادخال" error="ادخل رقم الشهر فقط " sqref="F10:F20" xr:uid="{00000000-0002-0000-0200-000002000000}">
      <formula1>1</formula1>
      <formula2>12</formula2>
    </dataValidation>
    <dataValidation type="whole" allowBlank="1" showErrorMessage="1" errorTitle="خطأ في الادخال" error="ادخل تاريخ اليوم " sqref="E10:E20" xr:uid="{00000000-0002-0000-0200-000003000000}">
      <formula1>1</formula1>
      <formula2>30</formula2>
    </dataValidation>
  </dataValidations>
  <printOptions horizontalCentered="1" verticalCentered="1"/>
  <pageMargins left="7.874015748031496E-2" right="0" top="3.937007874015748E-2" bottom="1.4173228346456694" header="0.31496062992125984" footer="0.11811023622047245"/>
  <pageSetup paperSize="9" scale="73" orientation="landscape" r:id="rId1"/>
  <headerFooter scaleWithDoc="0">
    <oddHeader xml:space="preserve">&amp;L&amp;"Arial,غامق"&amp;12 (  &amp;P )  كشف رقم </oddHeader>
    <oddFooter xml:space="preserve">&amp;C&amp;G&amp;R&amp;"Arial,غامق"&amp;12 </oddFooter>
  </headerFooter>
  <rowBreaks count="4" manualBreakCount="4">
    <brk id="33" max="57" man="1"/>
    <brk id="58" max="57" man="1"/>
    <brk id="83" max="57" man="1"/>
    <brk id="108" max="57" man="1"/>
  </rowBreaks>
  <colBreaks count="1" manualBreakCount="1">
    <brk id="24" max="1048575" man="1"/>
  </col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HW3510"/>
  <sheetViews>
    <sheetView rightToLeft="1" view="pageBreakPreview" zoomScaleNormal="100" zoomScaleSheetLayoutView="100" zoomScalePageLayoutView="85" workbookViewId="0">
      <selection activeCell="B12" sqref="B12"/>
    </sheetView>
  </sheetViews>
  <sheetFormatPr defaultColWidth="9.21875" defaultRowHeight="17.399999999999999"/>
  <cols>
    <col min="1" max="1" width="3.77734375" style="70" customWidth="1"/>
    <col min="2" max="2" width="26" style="195" customWidth="1"/>
    <col min="3" max="3" width="4.77734375" style="307" customWidth="1"/>
    <col min="4" max="6" width="4" style="68" customWidth="1"/>
    <col min="7" max="7" width="5.21875" style="70" customWidth="1"/>
    <col min="8" max="8" width="5" style="70" customWidth="1"/>
    <col min="9" max="9" width="4.44140625" style="307" customWidth="1"/>
    <col min="10" max="10" width="6.21875" style="197" customWidth="1"/>
    <col min="11" max="11" width="5.21875" style="197" customWidth="1"/>
    <col min="12" max="12" width="7.21875" style="197" customWidth="1"/>
    <col min="13" max="13" width="8.21875" style="197" customWidth="1"/>
    <col min="14" max="14" width="7" style="197" customWidth="1"/>
    <col min="15" max="15" width="6.21875" style="197" customWidth="1"/>
    <col min="16" max="16" width="6" style="197" customWidth="1"/>
    <col min="17" max="17" width="8.77734375" style="197" customWidth="1"/>
    <col min="18" max="18" width="6.21875" style="197" customWidth="1"/>
    <col min="19" max="19" width="7.5546875" style="197" customWidth="1"/>
    <col min="20" max="20" width="8" style="197" bestFit="1" customWidth="1"/>
    <col min="21" max="21" width="10.77734375" style="197" customWidth="1"/>
    <col min="22" max="22" width="12.21875" style="197" customWidth="1"/>
    <col min="23" max="23" width="14.5546875" style="197" customWidth="1"/>
    <col min="24" max="24" width="2.77734375" style="66" customWidth="1"/>
    <col min="25" max="230" width="9.21875" style="66"/>
    <col min="231" max="231" width="0.44140625" style="66" customWidth="1"/>
    <col min="232" max="16384" width="9.21875" style="66"/>
  </cols>
  <sheetData>
    <row r="1" spans="1:231" ht="15" customHeight="1" thickBot="1">
      <c r="A1" s="573" t="s">
        <v>75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</row>
    <row r="2" spans="1:231" ht="15" customHeight="1" thickBot="1">
      <c r="A2" s="67"/>
      <c r="B2" s="68" t="s">
        <v>47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168">
        <f>COUNTA(B12:B5422)</f>
        <v>0</v>
      </c>
    </row>
    <row r="3" spans="1:231" ht="17.100000000000001" customHeight="1">
      <c r="A3" s="67"/>
      <c r="B3" s="68" t="s">
        <v>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495" t="s">
        <v>49</v>
      </c>
      <c r="Q3" s="495"/>
      <c r="R3" s="496" t="s">
        <v>46</v>
      </c>
      <c r="S3" s="496"/>
      <c r="T3" s="496"/>
      <c r="U3" s="496"/>
      <c r="V3" s="192"/>
      <c r="W3" s="192"/>
    </row>
    <row r="4" spans="1:231" ht="17.100000000000001" customHeight="1">
      <c r="A4" s="67"/>
      <c r="B4" s="70" t="s">
        <v>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495" t="s">
        <v>50</v>
      </c>
      <c r="Q4" s="495"/>
      <c r="R4" s="496" t="s">
        <v>67</v>
      </c>
      <c r="S4" s="496"/>
      <c r="T4" s="496"/>
      <c r="U4" s="67"/>
      <c r="V4" s="67"/>
      <c r="W4" s="67"/>
    </row>
    <row r="5" spans="1:231" ht="17.100000000000001" customHeight="1">
      <c r="A5" s="67"/>
      <c r="B5" s="71" t="s">
        <v>51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495" t="s">
        <v>52</v>
      </c>
      <c r="Q5" s="495"/>
      <c r="R5" s="496" t="s">
        <v>53</v>
      </c>
      <c r="S5" s="496"/>
      <c r="T5" s="496"/>
      <c r="U5" s="67"/>
      <c r="V5" s="67"/>
      <c r="W5" s="67"/>
    </row>
    <row r="6" spans="1:231" ht="15.75" customHeight="1" thickBot="1">
      <c r="A6" s="72"/>
      <c r="B6" s="194" t="s">
        <v>65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 spans="1:231" ht="24.3" customHeight="1" thickTop="1">
      <c r="A7" s="10" t="s">
        <v>46</v>
      </c>
      <c r="B7" s="469" t="s">
        <v>85</v>
      </c>
      <c r="C7" s="469"/>
      <c r="D7" s="469"/>
      <c r="E7" s="469"/>
      <c r="F7" s="469"/>
      <c r="G7" s="469"/>
      <c r="H7" s="469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</row>
    <row r="8" spans="1:231" ht="3.75" customHeight="1" thickBot="1"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</row>
    <row r="9" spans="1:231" ht="33" customHeight="1" thickTop="1">
      <c r="A9" s="548" t="s">
        <v>0</v>
      </c>
      <c r="B9" s="551" t="s">
        <v>54</v>
      </c>
      <c r="C9" s="554" t="s">
        <v>2</v>
      </c>
      <c r="D9" s="554"/>
      <c r="E9" s="554"/>
      <c r="F9" s="554"/>
      <c r="G9" s="555"/>
      <c r="H9" s="558" t="s">
        <v>1</v>
      </c>
      <c r="I9" s="558" t="s">
        <v>55</v>
      </c>
      <c r="J9" s="561" t="s">
        <v>7</v>
      </c>
      <c r="K9" s="562"/>
      <c r="L9" s="562"/>
      <c r="M9" s="563"/>
      <c r="N9" s="564" t="s">
        <v>7</v>
      </c>
      <c r="O9" s="565"/>
      <c r="P9" s="565"/>
      <c r="Q9" s="566"/>
      <c r="R9" s="567" t="s">
        <v>7</v>
      </c>
      <c r="S9" s="568"/>
      <c r="T9" s="568"/>
      <c r="U9" s="569"/>
      <c r="V9" s="198" t="s">
        <v>5</v>
      </c>
      <c r="W9" s="199" t="s">
        <v>56</v>
      </c>
    </row>
    <row r="10" spans="1:231" ht="18" customHeight="1" thickBot="1">
      <c r="A10" s="549"/>
      <c r="B10" s="552"/>
      <c r="C10" s="556"/>
      <c r="D10" s="556"/>
      <c r="E10" s="556"/>
      <c r="F10" s="556"/>
      <c r="G10" s="557"/>
      <c r="H10" s="559"/>
      <c r="I10" s="559"/>
      <c r="J10" s="570" t="s">
        <v>19</v>
      </c>
      <c r="K10" s="571"/>
      <c r="L10" s="571"/>
      <c r="M10" s="572"/>
      <c r="N10" s="545" t="s">
        <v>57</v>
      </c>
      <c r="O10" s="546"/>
      <c r="P10" s="546"/>
      <c r="Q10" s="547"/>
      <c r="R10" s="545" t="s">
        <v>58</v>
      </c>
      <c r="S10" s="546"/>
      <c r="T10" s="546"/>
      <c r="U10" s="547"/>
      <c r="V10" s="200" t="s">
        <v>59</v>
      </c>
      <c r="W10" s="201" t="s">
        <v>60</v>
      </c>
    </row>
    <row r="11" spans="1:231" ht="16.5" customHeight="1" thickBot="1">
      <c r="A11" s="550"/>
      <c r="B11" s="553"/>
      <c r="C11" s="202" t="s">
        <v>61</v>
      </c>
      <c r="D11" s="203" t="s">
        <v>62</v>
      </c>
      <c r="E11" s="204" t="s">
        <v>40</v>
      </c>
      <c r="F11" s="204" t="s">
        <v>41</v>
      </c>
      <c r="G11" s="205" t="s">
        <v>63</v>
      </c>
      <c r="H11" s="560"/>
      <c r="I11" s="560"/>
      <c r="J11" s="206" t="s">
        <v>23</v>
      </c>
      <c r="K11" s="207" t="s">
        <v>24</v>
      </c>
      <c r="L11" s="207" t="s">
        <v>5</v>
      </c>
      <c r="M11" s="208" t="s">
        <v>6</v>
      </c>
      <c r="N11" s="206" t="s">
        <v>64</v>
      </c>
      <c r="O11" s="207" t="s">
        <v>61</v>
      </c>
      <c r="P11" s="207" t="s">
        <v>62</v>
      </c>
      <c r="Q11" s="208" t="s">
        <v>6</v>
      </c>
      <c r="R11" s="206" t="s">
        <v>64</v>
      </c>
      <c r="S11" s="207" t="s">
        <v>61</v>
      </c>
      <c r="T11" s="207" t="s">
        <v>62</v>
      </c>
      <c r="U11" s="208" t="s">
        <v>6</v>
      </c>
      <c r="V11" s="209" t="s">
        <v>84</v>
      </c>
      <c r="W11" s="210"/>
      <c r="HW11" s="73"/>
    </row>
    <row r="12" spans="1:231" s="224" customFormat="1" ht="27" customHeight="1" thickTop="1">
      <c r="A12" s="211">
        <v>1</v>
      </c>
      <c r="B12" s="212"/>
      <c r="C12" s="213"/>
      <c r="D12" s="214"/>
      <c r="E12" s="215"/>
      <c r="F12" s="215"/>
      <c r="G12" s="216"/>
      <c r="H12" s="217"/>
      <c r="I12" s="218"/>
      <c r="J12" s="214"/>
      <c r="K12" s="214"/>
      <c r="L12" s="214"/>
      <c r="M12" s="219"/>
      <c r="N12" s="214"/>
      <c r="O12" s="220"/>
      <c r="P12" s="221"/>
      <c r="Q12" s="222"/>
      <c r="R12" s="222"/>
      <c r="S12" s="220"/>
      <c r="T12" s="221"/>
      <c r="U12" s="219"/>
      <c r="V12" s="219"/>
      <c r="W12" s="223"/>
    </row>
    <row r="13" spans="1:231" s="85" customFormat="1" ht="27" customHeight="1">
      <c r="A13" s="74">
        <v>2</v>
      </c>
      <c r="B13" s="225"/>
      <c r="C13" s="226"/>
      <c r="D13" s="227"/>
      <c r="E13" s="228"/>
      <c r="F13" s="228"/>
      <c r="G13" s="229"/>
      <c r="H13" s="230"/>
      <c r="I13" s="231"/>
      <c r="J13" s="232"/>
      <c r="K13" s="233"/>
      <c r="L13" s="227"/>
      <c r="M13" s="234"/>
      <c r="N13" s="232"/>
      <c r="O13" s="233"/>
      <c r="P13" s="227"/>
      <c r="Q13" s="234"/>
      <c r="R13" s="232"/>
      <c r="S13" s="233"/>
      <c r="T13" s="227"/>
      <c r="U13" s="235"/>
      <c r="V13" s="236"/>
      <c r="W13" s="237"/>
      <c r="X13" s="83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84"/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84"/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84"/>
      <c r="GX13" s="84"/>
      <c r="GY13" s="84"/>
      <c r="GZ13" s="84"/>
      <c r="HA13" s="84"/>
      <c r="HB13" s="84"/>
      <c r="HC13" s="84"/>
      <c r="HD13" s="84"/>
      <c r="HE13" s="84"/>
      <c r="HF13" s="84"/>
      <c r="HG13" s="84"/>
      <c r="HH13" s="84"/>
      <c r="HI13" s="84"/>
      <c r="HJ13" s="84"/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73"/>
    </row>
    <row r="14" spans="1:231" s="85" customFormat="1" ht="27" customHeight="1">
      <c r="A14" s="74">
        <v>3</v>
      </c>
      <c r="B14" s="225"/>
      <c r="C14" s="226"/>
      <c r="D14" s="238"/>
      <c r="E14" s="239"/>
      <c r="F14" s="239"/>
      <c r="G14" s="240"/>
      <c r="H14" s="241"/>
      <c r="I14" s="242"/>
      <c r="J14" s="243"/>
      <c r="K14" s="244"/>
      <c r="L14" s="238"/>
      <c r="M14" s="245"/>
      <c r="N14" s="243"/>
      <c r="O14" s="244"/>
      <c r="P14" s="238"/>
      <c r="Q14" s="245"/>
      <c r="R14" s="243"/>
      <c r="S14" s="244"/>
      <c r="T14" s="238"/>
      <c r="U14" s="246"/>
      <c r="V14" s="247"/>
      <c r="W14" s="82"/>
      <c r="X14" s="83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73"/>
    </row>
    <row r="15" spans="1:231" s="85" customFormat="1" ht="27" customHeight="1">
      <c r="A15" s="74">
        <v>4</v>
      </c>
      <c r="B15" s="225"/>
      <c r="C15" s="226"/>
      <c r="D15" s="238"/>
      <c r="E15" s="239"/>
      <c r="F15" s="239"/>
      <c r="G15" s="240"/>
      <c r="H15" s="241"/>
      <c r="I15" s="242"/>
      <c r="J15" s="243"/>
      <c r="K15" s="244" t="s">
        <v>46</v>
      </c>
      <c r="L15" s="238"/>
      <c r="M15" s="245"/>
      <c r="N15" s="243"/>
      <c r="O15" s="244"/>
      <c r="P15" s="238"/>
      <c r="Q15" s="245"/>
      <c r="R15" s="243"/>
      <c r="S15" s="244"/>
      <c r="T15" s="238"/>
      <c r="U15" s="246"/>
      <c r="V15" s="247"/>
      <c r="W15" s="82"/>
      <c r="X15" s="83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73" t="e">
        <f>CONCATENATE(#REF!,H14)</f>
        <v>#REF!</v>
      </c>
    </row>
    <row r="16" spans="1:231" s="85" customFormat="1" ht="27" customHeight="1">
      <c r="A16" s="74">
        <v>5</v>
      </c>
      <c r="B16" s="86"/>
      <c r="C16" s="75"/>
      <c r="D16" s="76"/>
      <c r="E16" s="77"/>
      <c r="F16" s="77"/>
      <c r="G16" s="78"/>
      <c r="H16" s="248"/>
      <c r="I16" s="249"/>
      <c r="J16" s="76"/>
      <c r="K16" s="76"/>
      <c r="L16" s="76"/>
      <c r="M16" s="79"/>
      <c r="N16" s="76"/>
      <c r="O16" s="80"/>
      <c r="P16" s="81"/>
      <c r="Q16" s="250"/>
      <c r="R16" s="250"/>
      <c r="S16" s="80"/>
      <c r="T16" s="81"/>
      <c r="U16" s="79"/>
      <c r="V16" s="79"/>
      <c r="W16" s="82"/>
      <c r="X16" s="83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73" t="e">
        <f>CONCATENATE(#REF!,H16)</f>
        <v>#REF!</v>
      </c>
    </row>
    <row r="17" spans="1:231" s="85" customFormat="1" ht="27" customHeight="1">
      <c r="A17" s="74">
        <v>6</v>
      </c>
      <c r="B17" s="86"/>
      <c r="C17" s="75"/>
      <c r="D17" s="76"/>
      <c r="E17" s="77"/>
      <c r="F17" s="77"/>
      <c r="G17" s="78"/>
      <c r="H17" s="248"/>
      <c r="I17" s="249"/>
      <c r="J17" s="76"/>
      <c r="K17" s="76"/>
      <c r="L17" s="76"/>
      <c r="M17" s="79"/>
      <c r="N17" s="76"/>
      <c r="O17" s="80"/>
      <c r="P17" s="81"/>
      <c r="Q17" s="250"/>
      <c r="R17" s="250"/>
      <c r="S17" s="80"/>
      <c r="T17" s="81"/>
      <c r="U17" s="79"/>
      <c r="V17" s="79"/>
      <c r="W17" s="82"/>
      <c r="X17" s="83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73" t="e">
        <f>CONCATENATE(#REF!,H17)</f>
        <v>#REF!</v>
      </c>
    </row>
    <row r="18" spans="1:231" s="85" customFormat="1" ht="27" customHeight="1">
      <c r="A18" s="74">
        <v>7</v>
      </c>
      <c r="B18" s="86"/>
      <c r="C18" s="75"/>
      <c r="D18" s="76"/>
      <c r="E18" s="77"/>
      <c r="F18" s="77"/>
      <c r="G18" s="78"/>
      <c r="H18" s="248"/>
      <c r="I18" s="249"/>
      <c r="J18" s="76"/>
      <c r="K18" s="76"/>
      <c r="L18" s="76"/>
      <c r="M18" s="79"/>
      <c r="N18" s="76"/>
      <c r="O18" s="80"/>
      <c r="P18" s="81"/>
      <c r="Q18" s="250"/>
      <c r="R18" s="250"/>
      <c r="S18" s="80"/>
      <c r="T18" s="81"/>
      <c r="U18" s="79"/>
      <c r="V18" s="79"/>
      <c r="W18" s="82"/>
      <c r="X18" s="83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73" t="e">
        <f>CONCATENATE(#REF!,H18)</f>
        <v>#REF!</v>
      </c>
    </row>
    <row r="19" spans="1:231" s="85" customFormat="1" ht="27" customHeight="1">
      <c r="A19" s="74">
        <v>8</v>
      </c>
      <c r="B19" s="86"/>
      <c r="C19" s="75"/>
      <c r="D19" s="76"/>
      <c r="E19" s="77"/>
      <c r="F19" s="77"/>
      <c r="G19" s="78"/>
      <c r="H19" s="248"/>
      <c r="I19" s="249"/>
      <c r="J19" s="76"/>
      <c r="K19" s="76"/>
      <c r="L19" s="76"/>
      <c r="M19" s="79"/>
      <c r="N19" s="76"/>
      <c r="O19" s="80"/>
      <c r="P19" s="81"/>
      <c r="Q19" s="250"/>
      <c r="R19" s="250"/>
      <c r="S19" s="80"/>
      <c r="T19" s="81"/>
      <c r="U19" s="79"/>
      <c r="V19" s="79"/>
      <c r="W19" s="82"/>
      <c r="X19" s="83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73" t="e">
        <f>CONCATENATE(#REF!,H19)</f>
        <v>#REF!</v>
      </c>
    </row>
    <row r="20" spans="1:231" s="85" customFormat="1" ht="27" customHeight="1">
      <c r="A20" s="74">
        <v>9</v>
      </c>
      <c r="B20" s="86"/>
      <c r="C20" s="75"/>
      <c r="D20" s="76"/>
      <c r="E20" s="77"/>
      <c r="F20" s="77"/>
      <c r="G20" s="78"/>
      <c r="H20" s="248"/>
      <c r="I20" s="249"/>
      <c r="J20" s="76"/>
      <c r="K20" s="76"/>
      <c r="L20" s="76"/>
      <c r="M20" s="79"/>
      <c r="N20" s="76"/>
      <c r="O20" s="80"/>
      <c r="P20" s="81"/>
      <c r="Q20" s="250"/>
      <c r="R20" s="250"/>
      <c r="S20" s="80"/>
      <c r="T20" s="81"/>
      <c r="U20" s="79"/>
      <c r="V20" s="79"/>
      <c r="W20" s="82"/>
      <c r="X20" s="83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73" t="e">
        <f>CONCATENATE(#REF!,H20)</f>
        <v>#REF!</v>
      </c>
    </row>
    <row r="21" spans="1:231" s="85" customFormat="1" ht="27" customHeight="1">
      <c r="A21" s="74">
        <v>10</v>
      </c>
      <c r="B21" s="86"/>
      <c r="C21" s="75"/>
      <c r="D21" s="76"/>
      <c r="E21" s="77"/>
      <c r="F21" s="77"/>
      <c r="G21" s="78"/>
      <c r="H21" s="248"/>
      <c r="I21" s="249"/>
      <c r="J21" s="76"/>
      <c r="K21" s="76"/>
      <c r="L21" s="76"/>
      <c r="M21" s="79"/>
      <c r="N21" s="76"/>
      <c r="O21" s="80"/>
      <c r="P21" s="81"/>
      <c r="Q21" s="250"/>
      <c r="R21" s="250"/>
      <c r="S21" s="80"/>
      <c r="T21" s="81"/>
      <c r="U21" s="79"/>
      <c r="V21" s="79"/>
      <c r="W21" s="82"/>
      <c r="X21" s="83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  <c r="FU21" s="84"/>
      <c r="FV21" s="84"/>
      <c r="FW21" s="84"/>
      <c r="FX21" s="84"/>
      <c r="FY21" s="84"/>
      <c r="FZ21" s="84"/>
      <c r="GA21" s="84"/>
      <c r="GB21" s="84"/>
      <c r="GC21" s="84"/>
      <c r="GD21" s="84"/>
      <c r="GE21" s="84"/>
      <c r="GF21" s="84"/>
      <c r="GG21" s="84"/>
      <c r="GH21" s="84"/>
      <c r="GI21" s="84"/>
      <c r="GJ21" s="84"/>
      <c r="GK21" s="84"/>
      <c r="GL21" s="84"/>
      <c r="GM21" s="84"/>
      <c r="GN21" s="84"/>
      <c r="GO21" s="84"/>
      <c r="GP21" s="84"/>
      <c r="GQ21" s="84"/>
      <c r="GR21" s="84"/>
      <c r="GS21" s="84"/>
      <c r="GT21" s="84"/>
      <c r="GU21" s="84"/>
      <c r="GV21" s="84"/>
      <c r="GW21" s="84"/>
      <c r="GX21" s="84"/>
      <c r="GY21" s="84"/>
      <c r="GZ21" s="84"/>
      <c r="HA21" s="84"/>
      <c r="HB21" s="84"/>
      <c r="HC21" s="84"/>
      <c r="HD21" s="84"/>
      <c r="HE21" s="84"/>
      <c r="HF21" s="84"/>
      <c r="HG21" s="84"/>
      <c r="HH21" s="84"/>
      <c r="HI21" s="84"/>
      <c r="HJ21" s="84"/>
      <c r="HK21" s="84"/>
      <c r="HL21" s="84"/>
      <c r="HM21" s="84"/>
      <c r="HN21" s="84"/>
      <c r="HO21" s="84"/>
      <c r="HP21" s="84"/>
      <c r="HQ21" s="84"/>
      <c r="HR21" s="84"/>
      <c r="HS21" s="84"/>
      <c r="HT21" s="84"/>
      <c r="HU21" s="84"/>
      <c r="HV21" s="84"/>
      <c r="HW21" s="73" t="e">
        <f>CONCATENATE(#REF!,H21)</f>
        <v>#REF!</v>
      </c>
    </row>
    <row r="22" spans="1:231" s="85" customFormat="1" ht="27" customHeight="1">
      <c r="A22" s="74">
        <v>11</v>
      </c>
      <c r="B22" s="86"/>
      <c r="C22" s="75"/>
      <c r="D22" s="76"/>
      <c r="E22" s="77"/>
      <c r="F22" s="77"/>
      <c r="G22" s="78"/>
      <c r="H22" s="248"/>
      <c r="I22" s="249"/>
      <c r="J22" s="76"/>
      <c r="K22" s="76"/>
      <c r="L22" s="76"/>
      <c r="M22" s="79"/>
      <c r="N22" s="76"/>
      <c r="O22" s="80"/>
      <c r="P22" s="81"/>
      <c r="Q22" s="250"/>
      <c r="R22" s="250"/>
      <c r="S22" s="80"/>
      <c r="T22" s="81"/>
      <c r="U22" s="79"/>
      <c r="V22" s="79"/>
      <c r="W22" s="82"/>
      <c r="X22" s="83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73" t="e">
        <f>CONCATENATE(#REF!,H22)</f>
        <v>#REF!</v>
      </c>
    </row>
    <row r="23" spans="1:231" s="85" customFormat="1" ht="27" customHeight="1">
      <c r="A23" s="74">
        <v>12</v>
      </c>
      <c r="B23" s="86"/>
      <c r="C23" s="75"/>
      <c r="D23" s="76"/>
      <c r="E23" s="77"/>
      <c r="F23" s="77"/>
      <c r="G23" s="78"/>
      <c r="H23" s="248"/>
      <c r="I23" s="249"/>
      <c r="J23" s="76"/>
      <c r="K23" s="76"/>
      <c r="L23" s="76"/>
      <c r="M23" s="79"/>
      <c r="N23" s="76"/>
      <c r="O23" s="80"/>
      <c r="P23" s="81"/>
      <c r="Q23" s="250"/>
      <c r="R23" s="250"/>
      <c r="S23" s="80"/>
      <c r="T23" s="81"/>
      <c r="U23" s="79"/>
      <c r="V23" s="79"/>
      <c r="W23" s="82"/>
      <c r="X23" s="83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73" t="e">
        <f>CONCATENATE(#REF!,H23)</f>
        <v>#REF!</v>
      </c>
    </row>
    <row r="24" spans="1:231" s="85" customFormat="1" ht="27" customHeight="1">
      <c r="A24" s="74">
        <v>13</v>
      </c>
      <c r="B24" s="86"/>
      <c r="C24" s="75"/>
      <c r="D24" s="76"/>
      <c r="E24" s="77"/>
      <c r="F24" s="77"/>
      <c r="G24" s="78"/>
      <c r="H24" s="248"/>
      <c r="I24" s="249"/>
      <c r="J24" s="76"/>
      <c r="K24" s="76"/>
      <c r="L24" s="76"/>
      <c r="M24" s="79"/>
      <c r="N24" s="76"/>
      <c r="O24" s="80"/>
      <c r="P24" s="81"/>
      <c r="Q24" s="250"/>
      <c r="R24" s="250"/>
      <c r="S24" s="80"/>
      <c r="T24" s="81"/>
      <c r="U24" s="79"/>
      <c r="V24" s="79"/>
      <c r="W24" s="82"/>
      <c r="X24" s="83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73" t="e">
        <f>CONCATENATE(#REF!,H24)</f>
        <v>#REF!</v>
      </c>
    </row>
    <row r="25" spans="1:231" s="85" customFormat="1" ht="27" customHeight="1">
      <c r="A25" s="74">
        <v>14</v>
      </c>
      <c r="B25" s="86"/>
      <c r="C25" s="75"/>
      <c r="D25" s="76"/>
      <c r="E25" s="77"/>
      <c r="F25" s="77"/>
      <c r="G25" s="78"/>
      <c r="H25" s="248"/>
      <c r="I25" s="249"/>
      <c r="J25" s="76"/>
      <c r="K25" s="76"/>
      <c r="L25" s="76"/>
      <c r="M25" s="79"/>
      <c r="N25" s="76"/>
      <c r="O25" s="80"/>
      <c r="P25" s="81"/>
      <c r="Q25" s="250"/>
      <c r="R25" s="250"/>
      <c r="S25" s="80"/>
      <c r="T25" s="81"/>
      <c r="U25" s="79"/>
      <c r="V25" s="79"/>
      <c r="W25" s="82"/>
      <c r="X25" s="83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73" t="e">
        <f>CONCATENATE(#REF!,H25)</f>
        <v>#REF!</v>
      </c>
    </row>
    <row r="26" spans="1:231" s="85" customFormat="1" ht="27" customHeight="1">
      <c r="A26" s="74">
        <v>15</v>
      </c>
      <c r="B26" s="86"/>
      <c r="C26" s="75"/>
      <c r="D26" s="76"/>
      <c r="E26" s="77"/>
      <c r="F26" s="77"/>
      <c r="G26" s="78"/>
      <c r="H26" s="248"/>
      <c r="I26" s="249"/>
      <c r="J26" s="76"/>
      <c r="K26" s="76"/>
      <c r="L26" s="76"/>
      <c r="M26" s="79"/>
      <c r="N26" s="76"/>
      <c r="O26" s="80"/>
      <c r="P26" s="81"/>
      <c r="Q26" s="250"/>
      <c r="R26" s="250"/>
      <c r="S26" s="80"/>
      <c r="T26" s="81"/>
      <c r="U26" s="79"/>
      <c r="V26" s="79"/>
      <c r="W26" s="82"/>
      <c r="X26" s="83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73" t="e">
        <f>CONCATENATE(#REF!,H26)</f>
        <v>#REF!</v>
      </c>
    </row>
    <row r="27" spans="1:231" s="85" customFormat="1" ht="27" customHeight="1">
      <c r="A27" s="74">
        <v>16</v>
      </c>
      <c r="B27" s="86"/>
      <c r="C27" s="75"/>
      <c r="D27" s="76"/>
      <c r="E27" s="77"/>
      <c r="F27" s="77"/>
      <c r="G27" s="78"/>
      <c r="H27" s="248"/>
      <c r="I27" s="249"/>
      <c r="J27" s="76"/>
      <c r="K27" s="76"/>
      <c r="L27" s="76"/>
      <c r="M27" s="79"/>
      <c r="N27" s="76"/>
      <c r="O27" s="80"/>
      <c r="P27" s="81"/>
      <c r="Q27" s="250"/>
      <c r="R27" s="250"/>
      <c r="S27" s="80"/>
      <c r="T27" s="81"/>
      <c r="U27" s="79"/>
      <c r="V27" s="79"/>
      <c r="W27" s="82"/>
      <c r="X27" s="83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73" t="e">
        <f>CONCATENATE(#REF!,H27)</f>
        <v>#REF!</v>
      </c>
    </row>
    <row r="28" spans="1:231" s="85" customFormat="1" ht="27" customHeight="1">
      <c r="A28" s="74">
        <v>17</v>
      </c>
      <c r="B28" s="86"/>
      <c r="C28" s="75"/>
      <c r="D28" s="76"/>
      <c r="E28" s="77"/>
      <c r="F28" s="77"/>
      <c r="G28" s="78"/>
      <c r="H28" s="248"/>
      <c r="I28" s="249"/>
      <c r="J28" s="76"/>
      <c r="K28" s="76"/>
      <c r="L28" s="76"/>
      <c r="M28" s="79"/>
      <c r="N28" s="76"/>
      <c r="O28" s="80"/>
      <c r="P28" s="81"/>
      <c r="Q28" s="250"/>
      <c r="R28" s="250"/>
      <c r="S28" s="80"/>
      <c r="T28" s="81"/>
      <c r="U28" s="79"/>
      <c r="V28" s="79"/>
      <c r="W28" s="82"/>
      <c r="X28" s="83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  <c r="FU28" s="84"/>
      <c r="FV28" s="84"/>
      <c r="FW28" s="84"/>
      <c r="FX28" s="84"/>
      <c r="FY28" s="84"/>
      <c r="FZ28" s="84"/>
      <c r="GA28" s="84"/>
      <c r="GB28" s="84"/>
      <c r="GC28" s="84"/>
      <c r="GD28" s="84"/>
      <c r="GE28" s="84"/>
      <c r="GF28" s="84"/>
      <c r="GG28" s="84"/>
      <c r="GH28" s="84"/>
      <c r="GI28" s="84"/>
      <c r="GJ28" s="84"/>
      <c r="GK28" s="84"/>
      <c r="GL28" s="84"/>
      <c r="GM28" s="84"/>
      <c r="GN28" s="84"/>
      <c r="GO28" s="84"/>
      <c r="GP28" s="84"/>
      <c r="GQ28" s="84"/>
      <c r="GR28" s="84"/>
      <c r="GS28" s="84"/>
      <c r="GT28" s="84"/>
      <c r="GU28" s="84"/>
      <c r="GV28" s="84"/>
      <c r="GW28" s="84"/>
      <c r="GX28" s="84"/>
      <c r="GY28" s="84"/>
      <c r="GZ28" s="84"/>
      <c r="HA28" s="84"/>
      <c r="HB28" s="84"/>
      <c r="HC28" s="84"/>
      <c r="HD28" s="84"/>
      <c r="HE28" s="84"/>
      <c r="HF28" s="84"/>
      <c r="HG28" s="84"/>
      <c r="HH28" s="84"/>
      <c r="HI28" s="84"/>
      <c r="HJ28" s="84"/>
      <c r="HK28" s="84"/>
      <c r="HL28" s="84"/>
      <c r="HM28" s="84"/>
      <c r="HN28" s="84"/>
      <c r="HO28" s="84"/>
      <c r="HP28" s="84"/>
      <c r="HQ28" s="84"/>
      <c r="HR28" s="84"/>
      <c r="HS28" s="84"/>
      <c r="HT28" s="84"/>
      <c r="HU28" s="84"/>
      <c r="HV28" s="84"/>
      <c r="HW28" s="73" t="e">
        <f>CONCATENATE(#REF!,H28)</f>
        <v>#REF!</v>
      </c>
    </row>
    <row r="29" spans="1:231" s="85" customFormat="1" ht="27" customHeight="1">
      <c r="A29" s="74">
        <v>18</v>
      </c>
      <c r="B29" s="86"/>
      <c r="C29" s="75"/>
      <c r="D29" s="76"/>
      <c r="E29" s="77"/>
      <c r="F29" s="77"/>
      <c r="G29" s="78"/>
      <c r="H29" s="248"/>
      <c r="I29" s="249"/>
      <c r="J29" s="76"/>
      <c r="K29" s="76"/>
      <c r="L29" s="76"/>
      <c r="M29" s="79"/>
      <c r="N29" s="76"/>
      <c r="O29" s="80"/>
      <c r="P29" s="81"/>
      <c r="Q29" s="250"/>
      <c r="R29" s="250"/>
      <c r="S29" s="80"/>
      <c r="T29" s="81"/>
      <c r="U29" s="79"/>
      <c r="V29" s="79"/>
      <c r="W29" s="82"/>
      <c r="X29" s="83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73" t="e">
        <f>CONCATENATE(#REF!,H29)</f>
        <v>#REF!</v>
      </c>
    </row>
    <row r="30" spans="1:231" s="85" customFormat="1" ht="27" customHeight="1">
      <c r="A30" s="74">
        <v>19</v>
      </c>
      <c r="B30" s="86"/>
      <c r="C30" s="75"/>
      <c r="D30" s="76"/>
      <c r="E30" s="77"/>
      <c r="F30" s="77"/>
      <c r="G30" s="78"/>
      <c r="H30" s="248"/>
      <c r="I30" s="249"/>
      <c r="J30" s="76"/>
      <c r="K30" s="76"/>
      <c r="L30" s="76"/>
      <c r="M30" s="79"/>
      <c r="N30" s="76"/>
      <c r="O30" s="80"/>
      <c r="P30" s="81"/>
      <c r="Q30" s="250"/>
      <c r="R30" s="250"/>
      <c r="S30" s="80"/>
      <c r="T30" s="81"/>
      <c r="U30" s="79"/>
      <c r="V30" s="79"/>
      <c r="W30" s="82"/>
      <c r="X30" s="83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73" t="e">
        <f>CONCATENATE(#REF!,H30)</f>
        <v>#REF!</v>
      </c>
    </row>
    <row r="31" spans="1:231" s="85" customFormat="1" ht="27" customHeight="1">
      <c r="A31" s="74">
        <v>20</v>
      </c>
      <c r="B31" s="86"/>
      <c r="C31" s="75"/>
      <c r="D31" s="76"/>
      <c r="E31" s="77"/>
      <c r="F31" s="77"/>
      <c r="G31" s="78"/>
      <c r="H31" s="248"/>
      <c r="I31" s="249"/>
      <c r="J31" s="76"/>
      <c r="K31" s="76"/>
      <c r="L31" s="76"/>
      <c r="M31" s="79"/>
      <c r="N31" s="76"/>
      <c r="O31" s="80"/>
      <c r="P31" s="81"/>
      <c r="Q31" s="250"/>
      <c r="R31" s="250"/>
      <c r="S31" s="80"/>
      <c r="T31" s="81"/>
      <c r="U31" s="79"/>
      <c r="V31" s="79"/>
      <c r="W31" s="82"/>
      <c r="X31" s="83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73" t="e">
        <f>CONCATENATE(#REF!,H31)</f>
        <v>#REF!</v>
      </c>
    </row>
    <row r="32" spans="1:231" s="85" customFormat="1" ht="27" customHeight="1">
      <c r="A32" s="74">
        <v>21</v>
      </c>
      <c r="B32" s="86"/>
      <c r="C32" s="75"/>
      <c r="D32" s="76"/>
      <c r="E32" s="77"/>
      <c r="F32" s="77"/>
      <c r="G32" s="78"/>
      <c r="H32" s="248"/>
      <c r="I32" s="249"/>
      <c r="J32" s="76"/>
      <c r="K32" s="76"/>
      <c r="L32" s="76"/>
      <c r="M32" s="79"/>
      <c r="N32" s="76"/>
      <c r="O32" s="80"/>
      <c r="P32" s="81"/>
      <c r="Q32" s="250"/>
      <c r="R32" s="250"/>
      <c r="S32" s="80"/>
      <c r="T32" s="81"/>
      <c r="U32" s="79"/>
      <c r="V32" s="79"/>
      <c r="W32" s="82"/>
      <c r="X32" s="83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  <c r="FU32" s="84"/>
      <c r="FV32" s="84"/>
      <c r="FW32" s="84"/>
      <c r="FX32" s="84"/>
      <c r="FY32" s="84"/>
      <c r="FZ32" s="84"/>
      <c r="GA32" s="84"/>
      <c r="GB32" s="84"/>
      <c r="GC32" s="84"/>
      <c r="GD32" s="84"/>
      <c r="GE32" s="84"/>
      <c r="GF32" s="84"/>
      <c r="GG32" s="84"/>
      <c r="GH32" s="84"/>
      <c r="GI32" s="84"/>
      <c r="GJ32" s="84"/>
      <c r="GK32" s="84"/>
      <c r="GL32" s="84"/>
      <c r="GM32" s="84"/>
      <c r="GN32" s="84"/>
      <c r="GO32" s="84"/>
      <c r="GP32" s="84"/>
      <c r="GQ32" s="84"/>
      <c r="GR32" s="84"/>
      <c r="GS32" s="84"/>
      <c r="GT32" s="84"/>
      <c r="GU32" s="84"/>
      <c r="GV32" s="84"/>
      <c r="GW32" s="84"/>
      <c r="GX32" s="84"/>
      <c r="GY32" s="84"/>
      <c r="GZ32" s="84"/>
      <c r="HA32" s="84"/>
      <c r="HB32" s="84"/>
      <c r="HC32" s="84"/>
      <c r="HD32" s="84"/>
      <c r="HE32" s="84"/>
      <c r="HF32" s="84"/>
      <c r="HG32" s="84"/>
      <c r="HH32" s="84"/>
      <c r="HI32" s="84"/>
      <c r="HJ32" s="84"/>
      <c r="HK32" s="84"/>
      <c r="HL32" s="84"/>
      <c r="HM32" s="84"/>
      <c r="HN32" s="84"/>
      <c r="HO32" s="84"/>
      <c r="HP32" s="84"/>
      <c r="HQ32" s="84"/>
      <c r="HR32" s="84"/>
      <c r="HS32" s="84"/>
      <c r="HT32" s="84"/>
      <c r="HU32" s="84"/>
      <c r="HV32" s="84"/>
      <c r="HW32" s="73" t="e">
        <f>CONCATENATE(#REF!,H32)</f>
        <v>#REF!</v>
      </c>
    </row>
    <row r="33" spans="1:231" s="85" customFormat="1" ht="17.100000000000001" customHeight="1">
      <c r="A33" s="74">
        <v>22</v>
      </c>
      <c r="B33" s="86"/>
      <c r="C33" s="75"/>
      <c r="D33" s="76"/>
      <c r="E33" s="77"/>
      <c r="F33" s="77"/>
      <c r="G33" s="78"/>
      <c r="H33" s="248"/>
      <c r="I33" s="249"/>
      <c r="J33" s="76"/>
      <c r="K33" s="76"/>
      <c r="L33" s="76"/>
      <c r="M33" s="79"/>
      <c r="N33" s="76"/>
      <c r="O33" s="80"/>
      <c r="P33" s="81"/>
      <c r="Q33" s="250"/>
      <c r="R33" s="250"/>
      <c r="S33" s="80"/>
      <c r="T33" s="81"/>
      <c r="U33" s="79"/>
      <c r="V33" s="79"/>
      <c r="W33" s="82"/>
      <c r="X33" s="83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73" t="e">
        <f>CONCATENATE(#REF!,H33)</f>
        <v>#REF!</v>
      </c>
    </row>
    <row r="34" spans="1:231" s="85" customFormat="1" ht="17.100000000000001" customHeight="1">
      <c r="A34" s="74">
        <v>23</v>
      </c>
      <c r="B34" s="86"/>
      <c r="C34" s="75"/>
      <c r="D34" s="76"/>
      <c r="E34" s="77"/>
      <c r="F34" s="77"/>
      <c r="G34" s="78"/>
      <c r="H34" s="248"/>
      <c r="I34" s="249"/>
      <c r="J34" s="76"/>
      <c r="K34" s="76"/>
      <c r="L34" s="76"/>
      <c r="M34" s="79"/>
      <c r="N34" s="76"/>
      <c r="O34" s="80"/>
      <c r="P34" s="81"/>
      <c r="Q34" s="250"/>
      <c r="R34" s="250"/>
      <c r="S34" s="80"/>
      <c r="T34" s="81"/>
      <c r="U34" s="79"/>
      <c r="V34" s="79"/>
      <c r="W34" s="82"/>
      <c r="X34" s="83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  <c r="FU34" s="84"/>
      <c r="FV34" s="84"/>
      <c r="FW34" s="84"/>
      <c r="FX34" s="84"/>
      <c r="FY34" s="84"/>
      <c r="FZ34" s="84"/>
      <c r="GA34" s="84"/>
      <c r="GB34" s="84"/>
      <c r="GC34" s="84"/>
      <c r="GD34" s="84"/>
      <c r="GE34" s="84"/>
      <c r="GF34" s="84"/>
      <c r="GG34" s="84"/>
      <c r="GH34" s="84"/>
      <c r="GI34" s="84"/>
      <c r="GJ34" s="84"/>
      <c r="GK34" s="84"/>
      <c r="GL34" s="84"/>
      <c r="GM34" s="84"/>
      <c r="GN34" s="84"/>
      <c r="GO34" s="84"/>
      <c r="GP34" s="84"/>
      <c r="GQ34" s="84"/>
      <c r="GR34" s="84"/>
      <c r="GS34" s="84"/>
      <c r="GT34" s="84"/>
      <c r="GU34" s="84"/>
      <c r="GV34" s="84"/>
      <c r="GW34" s="84"/>
      <c r="GX34" s="84"/>
      <c r="GY34" s="84"/>
      <c r="GZ34" s="84"/>
      <c r="HA34" s="84"/>
      <c r="HB34" s="84"/>
      <c r="HC34" s="84"/>
      <c r="HD34" s="84"/>
      <c r="HE34" s="84"/>
      <c r="HF34" s="84"/>
      <c r="HG34" s="84"/>
      <c r="HH34" s="84"/>
      <c r="HI34" s="84"/>
      <c r="HJ34" s="84"/>
      <c r="HK34" s="84"/>
      <c r="HL34" s="84"/>
      <c r="HM34" s="84"/>
      <c r="HN34" s="84"/>
      <c r="HO34" s="84"/>
      <c r="HP34" s="84"/>
      <c r="HQ34" s="84"/>
      <c r="HR34" s="84"/>
      <c r="HS34" s="84"/>
      <c r="HT34" s="84"/>
      <c r="HU34" s="84"/>
      <c r="HV34" s="84"/>
      <c r="HW34" s="73" t="e">
        <f>CONCATENATE(#REF!,H34)</f>
        <v>#REF!</v>
      </c>
    </row>
    <row r="35" spans="1:231" s="85" customFormat="1" ht="17.100000000000001" customHeight="1">
      <c r="A35" s="74">
        <v>24</v>
      </c>
      <c r="B35" s="86"/>
      <c r="C35" s="75"/>
      <c r="D35" s="76"/>
      <c r="E35" s="77"/>
      <c r="F35" s="77"/>
      <c r="G35" s="78"/>
      <c r="H35" s="248"/>
      <c r="I35" s="249"/>
      <c r="J35" s="76"/>
      <c r="K35" s="76"/>
      <c r="L35" s="76"/>
      <c r="M35" s="79"/>
      <c r="N35" s="76"/>
      <c r="O35" s="80"/>
      <c r="P35" s="81"/>
      <c r="Q35" s="250"/>
      <c r="R35" s="250"/>
      <c r="S35" s="80"/>
      <c r="T35" s="81"/>
      <c r="U35" s="79"/>
      <c r="V35" s="79"/>
      <c r="W35" s="82"/>
      <c r="X35" s="83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84"/>
      <c r="GA35" s="84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73" t="e">
        <f>CONCATENATE(#REF!,H35)</f>
        <v>#REF!</v>
      </c>
    </row>
    <row r="36" spans="1:231" s="85" customFormat="1" ht="17.100000000000001" customHeight="1">
      <c r="A36" s="74">
        <v>25</v>
      </c>
      <c r="B36" s="86"/>
      <c r="C36" s="75"/>
      <c r="D36" s="76"/>
      <c r="E36" s="77"/>
      <c r="F36" s="77"/>
      <c r="G36" s="78"/>
      <c r="H36" s="248"/>
      <c r="I36" s="249"/>
      <c r="J36" s="76"/>
      <c r="K36" s="76"/>
      <c r="L36" s="76"/>
      <c r="M36" s="79"/>
      <c r="N36" s="76"/>
      <c r="O36" s="80"/>
      <c r="P36" s="81"/>
      <c r="Q36" s="250"/>
      <c r="R36" s="250"/>
      <c r="S36" s="80"/>
      <c r="T36" s="81"/>
      <c r="U36" s="79"/>
      <c r="V36" s="79"/>
      <c r="W36" s="82"/>
      <c r="X36" s="83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  <c r="FU36" s="84"/>
      <c r="FV36" s="84"/>
      <c r="FW36" s="84"/>
      <c r="FX36" s="84"/>
      <c r="FY36" s="84"/>
      <c r="FZ36" s="84"/>
      <c r="GA36" s="84"/>
      <c r="GB36" s="84"/>
      <c r="GC36" s="84"/>
      <c r="GD36" s="84"/>
      <c r="GE36" s="84"/>
      <c r="GF36" s="84"/>
      <c r="GG36" s="84"/>
      <c r="GH36" s="84"/>
      <c r="GI36" s="84"/>
      <c r="GJ36" s="84"/>
      <c r="GK36" s="84"/>
      <c r="GL36" s="84"/>
      <c r="GM36" s="84"/>
      <c r="GN36" s="84"/>
      <c r="GO36" s="84"/>
      <c r="GP36" s="84"/>
      <c r="GQ36" s="84"/>
      <c r="GR36" s="84"/>
      <c r="GS36" s="84"/>
      <c r="GT36" s="84"/>
      <c r="GU36" s="84"/>
      <c r="GV36" s="84"/>
      <c r="GW36" s="84"/>
      <c r="GX36" s="84"/>
      <c r="GY36" s="84"/>
      <c r="GZ36" s="84"/>
      <c r="HA36" s="84"/>
      <c r="HB36" s="84"/>
      <c r="HC36" s="84"/>
      <c r="HD36" s="84"/>
      <c r="HE36" s="84"/>
      <c r="HF36" s="84"/>
      <c r="HG36" s="84"/>
      <c r="HH36" s="84"/>
      <c r="HI36" s="84"/>
      <c r="HJ36" s="84"/>
      <c r="HK36" s="84"/>
      <c r="HL36" s="84"/>
      <c r="HM36" s="84"/>
      <c r="HN36" s="84"/>
      <c r="HO36" s="84"/>
      <c r="HP36" s="84"/>
      <c r="HQ36" s="84"/>
      <c r="HR36" s="84"/>
      <c r="HS36" s="84"/>
      <c r="HT36" s="84"/>
      <c r="HU36" s="84"/>
      <c r="HV36" s="84"/>
      <c r="HW36" s="73" t="e">
        <f>CONCATENATE(#REF!,H36)</f>
        <v>#REF!</v>
      </c>
    </row>
    <row r="37" spans="1:231" s="85" customFormat="1" ht="17.100000000000001" customHeight="1">
      <c r="A37" s="74">
        <v>26</v>
      </c>
      <c r="B37" s="86"/>
      <c r="C37" s="75"/>
      <c r="D37" s="76"/>
      <c r="E37" s="77"/>
      <c r="F37" s="77"/>
      <c r="G37" s="78"/>
      <c r="H37" s="248"/>
      <c r="I37" s="249"/>
      <c r="J37" s="76"/>
      <c r="K37" s="76"/>
      <c r="L37" s="76"/>
      <c r="M37" s="79"/>
      <c r="N37" s="76"/>
      <c r="O37" s="80"/>
      <c r="P37" s="81"/>
      <c r="Q37" s="250"/>
      <c r="R37" s="250"/>
      <c r="S37" s="80"/>
      <c r="T37" s="81"/>
      <c r="U37" s="79"/>
      <c r="V37" s="79"/>
      <c r="W37" s="82"/>
      <c r="X37" s="83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84"/>
      <c r="GA37" s="84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73" t="e">
        <f>CONCATENATE(#REF!,H37)</f>
        <v>#REF!</v>
      </c>
    </row>
    <row r="38" spans="1:231" s="85" customFormat="1" ht="17.100000000000001" customHeight="1">
      <c r="A38" s="74">
        <v>27</v>
      </c>
      <c r="B38" s="86"/>
      <c r="C38" s="75"/>
      <c r="D38" s="76"/>
      <c r="E38" s="77"/>
      <c r="F38" s="77"/>
      <c r="G38" s="78"/>
      <c r="H38" s="248"/>
      <c r="I38" s="249"/>
      <c r="J38" s="76"/>
      <c r="K38" s="76"/>
      <c r="L38" s="76"/>
      <c r="M38" s="79"/>
      <c r="N38" s="76"/>
      <c r="O38" s="80"/>
      <c r="P38" s="81"/>
      <c r="Q38" s="250"/>
      <c r="R38" s="250"/>
      <c r="S38" s="80"/>
      <c r="T38" s="81"/>
      <c r="U38" s="79"/>
      <c r="V38" s="79"/>
      <c r="W38" s="82"/>
      <c r="X38" s="83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84"/>
      <c r="GA38" s="84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73" t="e">
        <f>CONCATENATE(#REF!,H38)</f>
        <v>#REF!</v>
      </c>
    </row>
    <row r="39" spans="1:231" s="85" customFormat="1" ht="17.100000000000001" customHeight="1">
      <c r="A39" s="74">
        <v>28</v>
      </c>
      <c r="B39" s="86"/>
      <c r="C39" s="75"/>
      <c r="D39" s="76"/>
      <c r="E39" s="77"/>
      <c r="F39" s="77"/>
      <c r="G39" s="78"/>
      <c r="H39" s="248"/>
      <c r="I39" s="249"/>
      <c r="J39" s="76"/>
      <c r="K39" s="76"/>
      <c r="L39" s="76"/>
      <c r="M39" s="79"/>
      <c r="N39" s="76"/>
      <c r="O39" s="80"/>
      <c r="P39" s="81"/>
      <c r="Q39" s="250"/>
      <c r="R39" s="250"/>
      <c r="S39" s="80"/>
      <c r="T39" s="81"/>
      <c r="U39" s="79"/>
      <c r="V39" s="79"/>
      <c r="W39" s="82"/>
      <c r="X39" s="83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73" t="e">
        <f>CONCATENATE(#REF!,H39)</f>
        <v>#REF!</v>
      </c>
    </row>
    <row r="40" spans="1:231" s="85" customFormat="1" ht="17.100000000000001" customHeight="1">
      <c r="A40" s="74">
        <v>29</v>
      </c>
      <c r="B40" s="86"/>
      <c r="C40" s="75"/>
      <c r="D40" s="76"/>
      <c r="E40" s="77"/>
      <c r="F40" s="77"/>
      <c r="G40" s="78"/>
      <c r="H40" s="248"/>
      <c r="I40" s="249"/>
      <c r="J40" s="76"/>
      <c r="K40" s="76"/>
      <c r="L40" s="76"/>
      <c r="M40" s="79"/>
      <c r="N40" s="76"/>
      <c r="O40" s="80"/>
      <c r="P40" s="81"/>
      <c r="Q40" s="250"/>
      <c r="R40" s="250"/>
      <c r="S40" s="80"/>
      <c r="T40" s="81"/>
      <c r="U40" s="79"/>
      <c r="V40" s="79"/>
      <c r="W40" s="82"/>
      <c r="X40" s="83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84"/>
      <c r="GA40" s="84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73" t="e">
        <f>CONCATENATE(#REF!,H40)</f>
        <v>#REF!</v>
      </c>
    </row>
    <row r="41" spans="1:231" s="85" customFormat="1" ht="17.100000000000001" customHeight="1">
      <c r="A41" s="74">
        <v>30</v>
      </c>
      <c r="B41" s="86"/>
      <c r="C41" s="75"/>
      <c r="D41" s="76"/>
      <c r="E41" s="77"/>
      <c r="F41" s="77"/>
      <c r="G41" s="78"/>
      <c r="H41" s="248"/>
      <c r="I41" s="249"/>
      <c r="J41" s="76"/>
      <c r="K41" s="76"/>
      <c r="L41" s="76"/>
      <c r="M41" s="79"/>
      <c r="N41" s="76"/>
      <c r="O41" s="80"/>
      <c r="P41" s="81"/>
      <c r="Q41" s="250"/>
      <c r="R41" s="250"/>
      <c r="S41" s="80"/>
      <c r="T41" s="81"/>
      <c r="U41" s="79"/>
      <c r="V41" s="79"/>
      <c r="W41" s="82"/>
      <c r="X41" s="83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84"/>
      <c r="GU41" s="84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73" t="e">
        <f>CONCATENATE(#REF!,H41)</f>
        <v>#REF!</v>
      </c>
    </row>
    <row r="42" spans="1:231" s="85" customFormat="1" ht="17.100000000000001" customHeight="1">
      <c r="A42" s="74"/>
      <c r="B42" s="86"/>
      <c r="C42" s="75"/>
      <c r="D42" s="76"/>
      <c r="E42" s="77"/>
      <c r="F42" s="77"/>
      <c r="G42" s="78"/>
      <c r="H42" s="248"/>
      <c r="I42" s="249"/>
      <c r="J42" s="76"/>
      <c r="K42" s="76"/>
      <c r="L42" s="76"/>
      <c r="M42" s="79"/>
      <c r="N42" s="76"/>
      <c r="O42" s="80"/>
      <c r="P42" s="81"/>
      <c r="Q42" s="250"/>
      <c r="R42" s="250"/>
      <c r="S42" s="80"/>
      <c r="T42" s="81"/>
      <c r="U42" s="79"/>
      <c r="V42" s="79"/>
      <c r="W42" s="82"/>
      <c r="X42" s="83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/>
      <c r="HS42" s="84"/>
      <c r="HT42" s="84"/>
      <c r="HU42" s="84"/>
      <c r="HV42" s="84"/>
      <c r="HW42" s="73" t="e">
        <f>CONCATENATE(#REF!,H42)</f>
        <v>#REF!</v>
      </c>
    </row>
    <row r="43" spans="1:231" s="85" customFormat="1" ht="17.100000000000001" customHeight="1">
      <c r="A43" s="74"/>
      <c r="B43" s="86"/>
      <c r="C43" s="75"/>
      <c r="D43" s="76"/>
      <c r="E43" s="77"/>
      <c r="F43" s="77"/>
      <c r="G43" s="78"/>
      <c r="H43" s="248"/>
      <c r="I43" s="249"/>
      <c r="J43" s="76"/>
      <c r="K43" s="76"/>
      <c r="L43" s="76"/>
      <c r="M43" s="79"/>
      <c r="N43" s="76"/>
      <c r="O43" s="80"/>
      <c r="P43" s="81"/>
      <c r="Q43" s="250"/>
      <c r="R43" s="250"/>
      <c r="S43" s="80"/>
      <c r="T43" s="81"/>
      <c r="U43" s="79"/>
      <c r="V43" s="79"/>
      <c r="W43" s="82"/>
      <c r="X43" s="83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73" t="e">
        <f>CONCATENATE(#REF!,H43)</f>
        <v>#REF!</v>
      </c>
    </row>
    <row r="44" spans="1:231" s="85" customFormat="1" ht="17.100000000000001" customHeight="1">
      <c r="A44" s="74"/>
      <c r="B44" s="86"/>
      <c r="C44" s="75"/>
      <c r="D44" s="76"/>
      <c r="E44" s="77"/>
      <c r="F44" s="77"/>
      <c r="G44" s="78"/>
      <c r="H44" s="248"/>
      <c r="I44" s="249"/>
      <c r="J44" s="76"/>
      <c r="K44" s="76"/>
      <c r="L44" s="76"/>
      <c r="M44" s="79"/>
      <c r="N44" s="76"/>
      <c r="O44" s="80"/>
      <c r="P44" s="81"/>
      <c r="Q44" s="250"/>
      <c r="R44" s="250"/>
      <c r="S44" s="80"/>
      <c r="T44" s="81"/>
      <c r="U44" s="79"/>
      <c r="V44" s="79"/>
      <c r="W44" s="82"/>
      <c r="X44" s="83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73" t="e">
        <f>CONCATENATE(#REF!,H44)</f>
        <v>#REF!</v>
      </c>
    </row>
    <row r="45" spans="1:231" s="85" customFormat="1" ht="17.100000000000001" customHeight="1">
      <c r="A45" s="74"/>
      <c r="B45" s="86"/>
      <c r="C45" s="75"/>
      <c r="D45" s="76"/>
      <c r="E45" s="77"/>
      <c r="F45" s="77"/>
      <c r="G45" s="78"/>
      <c r="H45" s="248"/>
      <c r="I45" s="249"/>
      <c r="J45" s="76"/>
      <c r="K45" s="76"/>
      <c r="L45" s="76"/>
      <c r="M45" s="79"/>
      <c r="N45" s="76"/>
      <c r="O45" s="80"/>
      <c r="P45" s="81"/>
      <c r="Q45" s="250"/>
      <c r="R45" s="250"/>
      <c r="S45" s="80"/>
      <c r="T45" s="81"/>
      <c r="U45" s="79"/>
      <c r="V45" s="79"/>
      <c r="W45" s="82"/>
      <c r="X45" s="83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73" t="e">
        <f>CONCATENATE(#REF!,H45)</f>
        <v>#REF!</v>
      </c>
    </row>
    <row r="46" spans="1:231" s="85" customFormat="1" ht="17.100000000000001" customHeight="1">
      <c r="A46" s="74"/>
      <c r="B46" s="86"/>
      <c r="C46" s="75"/>
      <c r="D46" s="76"/>
      <c r="E46" s="77"/>
      <c r="F46" s="77"/>
      <c r="G46" s="78"/>
      <c r="H46" s="248"/>
      <c r="I46" s="249"/>
      <c r="J46" s="76"/>
      <c r="K46" s="76"/>
      <c r="L46" s="76"/>
      <c r="M46" s="79"/>
      <c r="N46" s="76"/>
      <c r="O46" s="80"/>
      <c r="P46" s="81"/>
      <c r="Q46" s="250"/>
      <c r="R46" s="250"/>
      <c r="S46" s="80"/>
      <c r="T46" s="81"/>
      <c r="U46" s="79"/>
      <c r="V46" s="79"/>
      <c r="W46" s="82"/>
      <c r="X46" s="83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73" t="e">
        <f>CONCATENATE(#REF!,H46)</f>
        <v>#REF!</v>
      </c>
    </row>
    <row r="47" spans="1:231" s="85" customFormat="1" ht="17.100000000000001" customHeight="1">
      <c r="A47" s="74"/>
      <c r="B47" s="86"/>
      <c r="C47" s="75"/>
      <c r="D47" s="76"/>
      <c r="E47" s="77"/>
      <c r="F47" s="77"/>
      <c r="G47" s="78"/>
      <c r="H47" s="248"/>
      <c r="I47" s="249"/>
      <c r="J47" s="76"/>
      <c r="K47" s="76"/>
      <c r="L47" s="76"/>
      <c r="M47" s="79"/>
      <c r="N47" s="76"/>
      <c r="O47" s="80"/>
      <c r="P47" s="81"/>
      <c r="Q47" s="250"/>
      <c r="R47" s="250"/>
      <c r="S47" s="80"/>
      <c r="T47" s="81"/>
      <c r="U47" s="79"/>
      <c r="V47" s="79"/>
      <c r="W47" s="82"/>
      <c r="X47" s="83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73" t="e">
        <f>CONCATENATE(#REF!,H47)</f>
        <v>#REF!</v>
      </c>
    </row>
    <row r="48" spans="1:231" s="85" customFormat="1" ht="17.100000000000001" customHeight="1">
      <c r="A48" s="74"/>
      <c r="B48" s="86"/>
      <c r="C48" s="75"/>
      <c r="D48" s="76"/>
      <c r="E48" s="77"/>
      <c r="F48" s="77"/>
      <c r="G48" s="78"/>
      <c r="H48" s="248"/>
      <c r="I48" s="249"/>
      <c r="J48" s="76"/>
      <c r="K48" s="76"/>
      <c r="L48" s="76"/>
      <c r="M48" s="79"/>
      <c r="N48" s="76"/>
      <c r="O48" s="80"/>
      <c r="P48" s="81"/>
      <c r="Q48" s="250"/>
      <c r="R48" s="250"/>
      <c r="S48" s="80"/>
      <c r="T48" s="81"/>
      <c r="U48" s="79"/>
      <c r="V48" s="79"/>
      <c r="W48" s="82"/>
      <c r="X48" s="83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73" t="e">
        <f>CONCATENATE(#REF!,H48)</f>
        <v>#REF!</v>
      </c>
    </row>
    <row r="49" spans="1:231" s="85" customFormat="1" ht="17.100000000000001" customHeight="1">
      <c r="A49" s="74"/>
      <c r="B49" s="86"/>
      <c r="C49" s="75"/>
      <c r="D49" s="76"/>
      <c r="E49" s="77"/>
      <c r="F49" s="77"/>
      <c r="G49" s="78"/>
      <c r="H49" s="248"/>
      <c r="I49" s="249"/>
      <c r="J49" s="76"/>
      <c r="K49" s="76"/>
      <c r="L49" s="76"/>
      <c r="M49" s="79"/>
      <c r="N49" s="76"/>
      <c r="O49" s="80"/>
      <c r="P49" s="81"/>
      <c r="Q49" s="250"/>
      <c r="R49" s="250"/>
      <c r="S49" s="80"/>
      <c r="T49" s="81"/>
      <c r="U49" s="79"/>
      <c r="V49" s="79"/>
      <c r="W49" s="82"/>
      <c r="X49" s="83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73" t="e">
        <f>CONCATENATE(#REF!,H49)</f>
        <v>#REF!</v>
      </c>
    </row>
    <row r="50" spans="1:231" s="85" customFormat="1" ht="17.100000000000001" customHeight="1">
      <c r="A50" s="74"/>
      <c r="B50" s="86"/>
      <c r="C50" s="75"/>
      <c r="D50" s="76"/>
      <c r="E50" s="77"/>
      <c r="F50" s="77"/>
      <c r="G50" s="78"/>
      <c r="H50" s="248"/>
      <c r="I50" s="249"/>
      <c r="J50" s="76"/>
      <c r="K50" s="76"/>
      <c r="L50" s="76"/>
      <c r="M50" s="79"/>
      <c r="N50" s="76"/>
      <c r="O50" s="80"/>
      <c r="P50" s="81"/>
      <c r="Q50" s="250"/>
      <c r="R50" s="250"/>
      <c r="S50" s="80"/>
      <c r="T50" s="81"/>
      <c r="U50" s="79"/>
      <c r="V50" s="79"/>
      <c r="W50" s="82"/>
      <c r="X50" s="83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73" t="e">
        <f>CONCATENATE(#REF!,H50)</f>
        <v>#REF!</v>
      </c>
    </row>
    <row r="51" spans="1:231" s="85" customFormat="1" ht="17.100000000000001" customHeight="1">
      <c r="A51" s="74"/>
      <c r="B51" s="86"/>
      <c r="C51" s="75"/>
      <c r="D51" s="76"/>
      <c r="E51" s="77"/>
      <c r="F51" s="77"/>
      <c r="G51" s="78"/>
      <c r="H51" s="248"/>
      <c r="I51" s="249"/>
      <c r="J51" s="76"/>
      <c r="K51" s="76"/>
      <c r="L51" s="76"/>
      <c r="M51" s="79"/>
      <c r="N51" s="76"/>
      <c r="O51" s="80"/>
      <c r="P51" s="81"/>
      <c r="Q51" s="250"/>
      <c r="R51" s="250"/>
      <c r="S51" s="80"/>
      <c r="T51" s="81"/>
      <c r="U51" s="79"/>
      <c r="V51" s="79"/>
      <c r="W51" s="82"/>
      <c r="X51" s="83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73" t="e">
        <f>CONCATENATE(#REF!,H51)</f>
        <v>#REF!</v>
      </c>
    </row>
    <row r="52" spans="1:231" s="85" customFormat="1" ht="17.100000000000001" customHeight="1">
      <c r="A52" s="74"/>
      <c r="B52" s="86"/>
      <c r="C52" s="75"/>
      <c r="D52" s="76"/>
      <c r="E52" s="77"/>
      <c r="F52" s="77"/>
      <c r="G52" s="78"/>
      <c r="H52" s="248"/>
      <c r="I52" s="249"/>
      <c r="J52" s="76"/>
      <c r="K52" s="76"/>
      <c r="L52" s="76"/>
      <c r="M52" s="79"/>
      <c r="N52" s="76"/>
      <c r="O52" s="80"/>
      <c r="P52" s="81"/>
      <c r="Q52" s="250"/>
      <c r="R52" s="250"/>
      <c r="S52" s="80"/>
      <c r="T52" s="81"/>
      <c r="U52" s="79"/>
      <c r="V52" s="79"/>
      <c r="W52" s="82"/>
      <c r="X52" s="83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73" t="e">
        <f>CONCATENATE(#REF!,H52)</f>
        <v>#REF!</v>
      </c>
    </row>
    <row r="53" spans="1:231" s="85" customFormat="1" ht="17.100000000000001" customHeight="1">
      <c r="A53" s="74"/>
      <c r="B53" s="86"/>
      <c r="C53" s="75"/>
      <c r="D53" s="76"/>
      <c r="E53" s="77"/>
      <c r="F53" s="77"/>
      <c r="G53" s="78"/>
      <c r="H53" s="248"/>
      <c r="I53" s="249"/>
      <c r="J53" s="251"/>
      <c r="K53" s="75"/>
      <c r="L53" s="76"/>
      <c r="M53" s="81"/>
      <c r="N53" s="79"/>
      <c r="O53" s="80"/>
      <c r="P53" s="81"/>
      <c r="Q53" s="76"/>
      <c r="R53" s="250"/>
      <c r="S53" s="80"/>
      <c r="T53" s="81"/>
      <c r="U53" s="76"/>
      <c r="V53" s="79"/>
      <c r="W53" s="82"/>
      <c r="X53" s="83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73" t="e">
        <f>CONCATENATE(#REF!,H53)</f>
        <v>#REF!</v>
      </c>
    </row>
    <row r="54" spans="1:231" s="85" customFormat="1" ht="17.100000000000001" customHeight="1">
      <c r="A54" s="74"/>
      <c r="B54" s="86"/>
      <c r="C54" s="75"/>
      <c r="D54" s="76"/>
      <c r="E54" s="77"/>
      <c r="F54" s="77"/>
      <c r="G54" s="78"/>
      <c r="H54" s="248"/>
      <c r="I54" s="249"/>
      <c r="J54" s="251"/>
      <c r="K54" s="75"/>
      <c r="L54" s="76"/>
      <c r="M54" s="81"/>
      <c r="N54" s="79"/>
      <c r="O54" s="80"/>
      <c r="P54" s="81"/>
      <c r="Q54" s="76"/>
      <c r="R54" s="250"/>
      <c r="S54" s="80"/>
      <c r="T54" s="81"/>
      <c r="U54" s="76"/>
      <c r="V54" s="79"/>
      <c r="W54" s="82"/>
      <c r="X54" s="83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73" t="e">
        <f>CONCATENATE(#REF!,H54)</f>
        <v>#REF!</v>
      </c>
    </row>
    <row r="55" spans="1:231" s="85" customFormat="1" ht="17.100000000000001" customHeight="1">
      <c r="A55" s="74"/>
      <c r="B55" s="86"/>
      <c r="C55" s="75"/>
      <c r="D55" s="76"/>
      <c r="E55" s="77"/>
      <c r="F55" s="77"/>
      <c r="G55" s="78"/>
      <c r="H55" s="248"/>
      <c r="I55" s="249"/>
      <c r="J55" s="251"/>
      <c r="K55" s="75"/>
      <c r="L55" s="76"/>
      <c r="M55" s="81"/>
      <c r="N55" s="79"/>
      <c r="O55" s="80"/>
      <c r="P55" s="81"/>
      <c r="Q55" s="76"/>
      <c r="R55" s="250"/>
      <c r="S55" s="80"/>
      <c r="T55" s="81"/>
      <c r="U55" s="76"/>
      <c r="V55" s="79"/>
      <c r="W55" s="82"/>
      <c r="X55" s="83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73" t="e">
        <f>CONCATENATE(#REF!,H55)</f>
        <v>#REF!</v>
      </c>
    </row>
    <row r="56" spans="1:231" s="85" customFormat="1" ht="17.100000000000001" customHeight="1">
      <c r="A56" s="74"/>
      <c r="B56" s="86"/>
      <c r="C56" s="75"/>
      <c r="D56" s="76"/>
      <c r="E56" s="77"/>
      <c r="F56" s="77"/>
      <c r="G56" s="78"/>
      <c r="H56" s="248"/>
      <c r="I56" s="249"/>
      <c r="J56" s="251"/>
      <c r="K56" s="75"/>
      <c r="L56" s="76"/>
      <c r="M56" s="81"/>
      <c r="N56" s="79"/>
      <c r="O56" s="80"/>
      <c r="P56" s="81"/>
      <c r="Q56" s="76"/>
      <c r="R56" s="250"/>
      <c r="S56" s="80"/>
      <c r="T56" s="81"/>
      <c r="U56" s="76"/>
      <c r="V56" s="79"/>
      <c r="W56" s="82"/>
      <c r="X56" s="83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73" t="e">
        <f>CONCATENATE(#REF!,H56)</f>
        <v>#REF!</v>
      </c>
    </row>
    <row r="57" spans="1:231" s="85" customFormat="1" ht="17.100000000000001" customHeight="1">
      <c r="A57" s="74"/>
      <c r="B57" s="86"/>
      <c r="C57" s="75"/>
      <c r="D57" s="76"/>
      <c r="E57" s="77"/>
      <c r="F57" s="77"/>
      <c r="G57" s="78"/>
      <c r="H57" s="248"/>
      <c r="I57" s="249"/>
      <c r="J57" s="251"/>
      <c r="K57" s="75"/>
      <c r="L57" s="76"/>
      <c r="M57" s="81"/>
      <c r="N57" s="79"/>
      <c r="O57" s="80"/>
      <c r="P57" s="81"/>
      <c r="Q57" s="76"/>
      <c r="R57" s="250"/>
      <c r="S57" s="80"/>
      <c r="T57" s="81"/>
      <c r="U57" s="76"/>
      <c r="V57" s="79"/>
      <c r="W57" s="82"/>
      <c r="X57" s="83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73" t="e">
        <f>CONCATENATE(#REF!,H57)</f>
        <v>#REF!</v>
      </c>
    </row>
    <row r="58" spans="1:231" s="85" customFormat="1" ht="17.100000000000001" customHeight="1">
      <c r="A58" s="74"/>
      <c r="B58" s="86"/>
      <c r="C58" s="75"/>
      <c r="D58" s="76"/>
      <c r="E58" s="77"/>
      <c r="F58" s="77"/>
      <c r="G58" s="78"/>
      <c r="H58" s="248"/>
      <c r="I58" s="249"/>
      <c r="J58" s="251"/>
      <c r="K58" s="75"/>
      <c r="L58" s="76"/>
      <c r="M58" s="81"/>
      <c r="N58" s="79"/>
      <c r="O58" s="80"/>
      <c r="P58" s="81"/>
      <c r="Q58" s="76"/>
      <c r="R58" s="250"/>
      <c r="S58" s="80"/>
      <c r="T58" s="81"/>
      <c r="U58" s="76"/>
      <c r="V58" s="79"/>
      <c r="W58" s="82"/>
      <c r="X58" s="83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73" t="e">
        <f>CONCATENATE(#REF!,H58)</f>
        <v>#REF!</v>
      </c>
    </row>
    <row r="59" spans="1:231" s="85" customFormat="1" ht="17.100000000000001" customHeight="1">
      <c r="A59" s="74"/>
      <c r="B59" s="86"/>
      <c r="C59" s="75"/>
      <c r="D59" s="76"/>
      <c r="E59" s="77"/>
      <c r="F59" s="77"/>
      <c r="G59" s="78"/>
      <c r="H59" s="248"/>
      <c r="I59" s="249"/>
      <c r="J59" s="251"/>
      <c r="K59" s="75"/>
      <c r="L59" s="76"/>
      <c r="M59" s="81"/>
      <c r="N59" s="79"/>
      <c r="O59" s="80"/>
      <c r="P59" s="81"/>
      <c r="Q59" s="76"/>
      <c r="R59" s="250"/>
      <c r="S59" s="80"/>
      <c r="T59" s="81"/>
      <c r="U59" s="76"/>
      <c r="V59" s="79"/>
      <c r="W59" s="82"/>
      <c r="X59" s="83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73" t="e">
        <f>CONCATENATE(#REF!,H59)</f>
        <v>#REF!</v>
      </c>
    </row>
    <row r="60" spans="1:231" s="85" customFormat="1" ht="17.100000000000001" customHeight="1">
      <c r="A60" s="74"/>
      <c r="B60" s="86"/>
      <c r="C60" s="75"/>
      <c r="D60" s="76"/>
      <c r="E60" s="77"/>
      <c r="F60" s="77"/>
      <c r="G60" s="78"/>
      <c r="H60" s="248"/>
      <c r="I60" s="249"/>
      <c r="J60" s="251"/>
      <c r="K60" s="75"/>
      <c r="L60" s="76"/>
      <c r="M60" s="81"/>
      <c r="N60" s="79"/>
      <c r="O60" s="80"/>
      <c r="P60" s="81"/>
      <c r="Q60" s="76"/>
      <c r="R60" s="250"/>
      <c r="S60" s="80"/>
      <c r="T60" s="81"/>
      <c r="U60" s="76"/>
      <c r="V60" s="79"/>
      <c r="W60" s="82"/>
      <c r="X60" s="83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73" t="e">
        <f>CONCATENATE(#REF!,H60)</f>
        <v>#REF!</v>
      </c>
    </row>
    <row r="61" spans="1:231" s="85" customFormat="1" ht="17.100000000000001" customHeight="1">
      <c r="A61" s="74"/>
      <c r="B61" s="86"/>
      <c r="C61" s="75"/>
      <c r="D61" s="76"/>
      <c r="E61" s="77"/>
      <c r="F61" s="77"/>
      <c r="G61" s="78"/>
      <c r="H61" s="248"/>
      <c r="I61" s="249"/>
      <c r="J61" s="251"/>
      <c r="K61" s="75"/>
      <c r="L61" s="76"/>
      <c r="M61" s="81"/>
      <c r="N61" s="79"/>
      <c r="O61" s="80"/>
      <c r="P61" s="81"/>
      <c r="Q61" s="76"/>
      <c r="R61" s="250"/>
      <c r="S61" s="80"/>
      <c r="T61" s="81"/>
      <c r="U61" s="76"/>
      <c r="V61" s="79"/>
      <c r="W61" s="82"/>
      <c r="X61" s="83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73" t="e">
        <f>CONCATENATE(#REF!,H61)</f>
        <v>#REF!</v>
      </c>
    </row>
    <row r="62" spans="1:231" s="85" customFormat="1" ht="17.100000000000001" customHeight="1">
      <c r="A62" s="74"/>
      <c r="B62" s="86"/>
      <c r="C62" s="75"/>
      <c r="D62" s="76"/>
      <c r="E62" s="77"/>
      <c r="F62" s="77"/>
      <c r="G62" s="78"/>
      <c r="H62" s="248"/>
      <c r="I62" s="249"/>
      <c r="J62" s="251"/>
      <c r="K62" s="75"/>
      <c r="L62" s="76"/>
      <c r="M62" s="81"/>
      <c r="N62" s="79"/>
      <c r="O62" s="80"/>
      <c r="P62" s="81"/>
      <c r="Q62" s="76"/>
      <c r="R62" s="250"/>
      <c r="S62" s="80"/>
      <c r="T62" s="81"/>
      <c r="U62" s="76"/>
      <c r="V62" s="79"/>
      <c r="W62" s="82"/>
      <c r="X62" s="83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73" t="e">
        <f>CONCATENATE(#REF!,H62)</f>
        <v>#REF!</v>
      </c>
    </row>
    <row r="63" spans="1:231" s="85" customFormat="1" ht="17.100000000000001" customHeight="1">
      <c r="A63" s="74"/>
      <c r="B63" s="86"/>
      <c r="C63" s="75"/>
      <c r="D63" s="76"/>
      <c r="E63" s="77"/>
      <c r="F63" s="77"/>
      <c r="G63" s="78"/>
      <c r="H63" s="248"/>
      <c r="I63" s="249"/>
      <c r="J63" s="251"/>
      <c r="K63" s="75"/>
      <c r="L63" s="76"/>
      <c r="M63" s="81"/>
      <c r="N63" s="79"/>
      <c r="O63" s="80"/>
      <c r="P63" s="81"/>
      <c r="Q63" s="76"/>
      <c r="R63" s="250"/>
      <c r="S63" s="80"/>
      <c r="T63" s="81"/>
      <c r="U63" s="76"/>
      <c r="V63" s="79"/>
      <c r="W63" s="82"/>
      <c r="X63" s="83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73" t="e">
        <f>CONCATENATE(#REF!,H63)</f>
        <v>#REF!</v>
      </c>
    </row>
    <row r="64" spans="1:231" s="85" customFormat="1" ht="17.100000000000001" customHeight="1">
      <c r="A64" s="74"/>
      <c r="B64" s="86"/>
      <c r="C64" s="75"/>
      <c r="D64" s="76"/>
      <c r="E64" s="77"/>
      <c r="F64" s="77"/>
      <c r="G64" s="78"/>
      <c r="H64" s="248"/>
      <c r="I64" s="249"/>
      <c r="J64" s="251"/>
      <c r="K64" s="75"/>
      <c r="L64" s="76"/>
      <c r="M64" s="81"/>
      <c r="N64" s="79"/>
      <c r="O64" s="80"/>
      <c r="P64" s="81"/>
      <c r="Q64" s="76"/>
      <c r="R64" s="250"/>
      <c r="S64" s="80"/>
      <c r="T64" s="81"/>
      <c r="U64" s="76"/>
      <c r="V64" s="79"/>
      <c r="W64" s="82"/>
      <c r="X64" s="83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  <c r="FU64" s="84"/>
      <c r="FV64" s="84"/>
      <c r="FW64" s="84"/>
      <c r="FX64" s="84"/>
      <c r="FY64" s="84"/>
      <c r="FZ64" s="84"/>
      <c r="GA64" s="84"/>
      <c r="GB64" s="84"/>
      <c r="GC64" s="84"/>
      <c r="GD64" s="84"/>
      <c r="GE64" s="84"/>
      <c r="GF64" s="84"/>
      <c r="GG64" s="84"/>
      <c r="GH64" s="84"/>
      <c r="GI64" s="84"/>
      <c r="GJ64" s="84"/>
      <c r="GK64" s="84"/>
      <c r="GL64" s="84"/>
      <c r="GM64" s="84"/>
      <c r="GN64" s="84"/>
      <c r="GO64" s="84"/>
      <c r="GP64" s="84"/>
      <c r="GQ64" s="84"/>
      <c r="GR64" s="84"/>
      <c r="GS64" s="84"/>
      <c r="GT64" s="84"/>
      <c r="GU64" s="84"/>
      <c r="GV64" s="84"/>
      <c r="GW64" s="84"/>
      <c r="GX64" s="84"/>
      <c r="GY64" s="84"/>
      <c r="GZ64" s="84"/>
      <c r="HA64" s="84"/>
      <c r="HB64" s="84"/>
      <c r="HC64" s="84"/>
      <c r="HD64" s="84"/>
      <c r="HE64" s="84"/>
      <c r="HF64" s="84"/>
      <c r="HG64" s="84"/>
      <c r="HH64" s="84"/>
      <c r="HI64" s="84"/>
      <c r="HJ64" s="84"/>
      <c r="HK64" s="84"/>
      <c r="HL64" s="84"/>
      <c r="HM64" s="84"/>
      <c r="HN64" s="84"/>
      <c r="HO64" s="84"/>
      <c r="HP64" s="84"/>
      <c r="HQ64" s="84"/>
      <c r="HR64" s="84"/>
      <c r="HS64" s="84"/>
      <c r="HT64" s="84"/>
      <c r="HU64" s="84"/>
      <c r="HV64" s="84"/>
      <c r="HW64" s="73" t="e">
        <f>CONCATENATE(#REF!,H64)</f>
        <v>#REF!</v>
      </c>
    </row>
    <row r="65" spans="1:231" s="85" customFormat="1" ht="17.100000000000001" customHeight="1">
      <c r="A65" s="74"/>
      <c r="B65" s="86"/>
      <c r="C65" s="75"/>
      <c r="D65" s="76"/>
      <c r="E65" s="77"/>
      <c r="F65" s="77"/>
      <c r="G65" s="78"/>
      <c r="H65" s="248"/>
      <c r="I65" s="249"/>
      <c r="J65" s="251"/>
      <c r="K65" s="75"/>
      <c r="L65" s="76"/>
      <c r="M65" s="81"/>
      <c r="N65" s="79"/>
      <c r="O65" s="80"/>
      <c r="P65" s="81"/>
      <c r="Q65" s="76"/>
      <c r="R65" s="250"/>
      <c r="S65" s="80"/>
      <c r="T65" s="81"/>
      <c r="U65" s="76"/>
      <c r="V65" s="79"/>
      <c r="W65" s="82"/>
      <c r="X65" s="83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84"/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84"/>
      <c r="GX65" s="84"/>
      <c r="GY65" s="84"/>
      <c r="GZ65" s="84"/>
      <c r="HA65" s="84"/>
      <c r="HB65" s="84"/>
      <c r="HC65" s="84"/>
      <c r="HD65" s="84"/>
      <c r="HE65" s="84"/>
      <c r="HF65" s="84"/>
      <c r="HG65" s="84"/>
      <c r="HH65" s="84"/>
      <c r="HI65" s="84"/>
      <c r="HJ65" s="84"/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73" t="e">
        <f>CONCATENATE(#REF!,H65)</f>
        <v>#REF!</v>
      </c>
    </row>
    <row r="66" spans="1:231">
      <c r="A66" s="252"/>
      <c r="B66" s="253"/>
      <c r="C66" s="254"/>
      <c r="D66" s="254"/>
      <c r="E66" s="255"/>
      <c r="F66" s="255"/>
      <c r="G66" s="256"/>
      <c r="H66" s="257"/>
      <c r="I66" s="258"/>
      <c r="J66" s="254"/>
      <c r="K66" s="254"/>
      <c r="L66" s="254"/>
      <c r="M66" s="259"/>
      <c r="N66" s="254"/>
      <c r="O66" s="254"/>
      <c r="P66" s="254"/>
      <c r="Q66" s="259"/>
      <c r="R66" s="254"/>
      <c r="S66" s="254"/>
      <c r="T66" s="254"/>
      <c r="U66" s="259"/>
      <c r="V66" s="260"/>
      <c r="W66" s="261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HW66" s="73" t="e">
        <f>CONCATENATE(#REF!,H66)</f>
        <v>#REF!</v>
      </c>
    </row>
    <row r="67" spans="1:231">
      <c r="A67" s="252"/>
      <c r="B67" s="253"/>
      <c r="C67" s="254"/>
      <c r="D67" s="254"/>
      <c r="E67" s="255"/>
      <c r="F67" s="255"/>
      <c r="G67" s="256"/>
      <c r="H67" s="257"/>
      <c r="I67" s="258"/>
      <c r="J67" s="254"/>
      <c r="K67" s="254"/>
      <c r="L67" s="254"/>
      <c r="M67" s="259"/>
      <c r="N67" s="254"/>
      <c r="O67" s="254"/>
      <c r="P67" s="254"/>
      <c r="Q67" s="259"/>
      <c r="R67" s="254"/>
      <c r="S67" s="254"/>
      <c r="T67" s="254"/>
      <c r="U67" s="259"/>
      <c r="V67" s="260"/>
      <c r="W67" s="261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HW67" s="73" t="e">
        <f>CONCATENATE(#REF!,H67)</f>
        <v>#REF!</v>
      </c>
    </row>
    <row r="68" spans="1:231">
      <c r="A68" s="252"/>
      <c r="B68" s="253"/>
      <c r="C68" s="254"/>
      <c r="D68" s="254"/>
      <c r="E68" s="255"/>
      <c r="F68" s="255"/>
      <c r="G68" s="256"/>
      <c r="H68" s="257"/>
      <c r="I68" s="258"/>
      <c r="J68" s="254"/>
      <c r="K68" s="254"/>
      <c r="L68" s="254"/>
      <c r="M68" s="259"/>
      <c r="N68" s="254"/>
      <c r="O68" s="254"/>
      <c r="P68" s="254"/>
      <c r="Q68" s="259"/>
      <c r="R68" s="254"/>
      <c r="S68" s="254"/>
      <c r="T68" s="254"/>
      <c r="U68" s="259"/>
      <c r="V68" s="260"/>
      <c r="W68" s="261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HW68" s="73" t="e">
        <f>CONCATENATE(#REF!,H68)</f>
        <v>#REF!</v>
      </c>
    </row>
    <row r="69" spans="1:231">
      <c r="A69" s="252"/>
      <c r="B69" s="253"/>
      <c r="C69" s="254"/>
      <c r="D69" s="254"/>
      <c r="E69" s="255"/>
      <c r="F69" s="255"/>
      <c r="G69" s="256"/>
      <c r="H69" s="257"/>
      <c r="I69" s="258"/>
      <c r="J69" s="254"/>
      <c r="K69" s="254"/>
      <c r="L69" s="254"/>
      <c r="M69" s="259"/>
      <c r="N69" s="254"/>
      <c r="O69" s="254"/>
      <c r="P69" s="254"/>
      <c r="Q69" s="259"/>
      <c r="R69" s="254"/>
      <c r="S69" s="254"/>
      <c r="T69" s="254"/>
      <c r="U69" s="259"/>
      <c r="V69" s="260"/>
      <c r="W69" s="261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HW69" s="73" t="e">
        <f>CONCATENATE(#REF!,H69)</f>
        <v>#REF!</v>
      </c>
    </row>
    <row r="70" spans="1:231">
      <c r="A70" s="252"/>
      <c r="B70" s="253"/>
      <c r="C70" s="254"/>
      <c r="D70" s="254"/>
      <c r="E70" s="255"/>
      <c r="F70" s="255"/>
      <c r="G70" s="256"/>
      <c r="H70" s="257"/>
      <c r="I70" s="258"/>
      <c r="J70" s="254"/>
      <c r="K70" s="254"/>
      <c r="L70" s="254"/>
      <c r="M70" s="259"/>
      <c r="N70" s="254"/>
      <c r="O70" s="254"/>
      <c r="P70" s="254"/>
      <c r="Q70" s="259"/>
      <c r="R70" s="254"/>
      <c r="S70" s="254"/>
      <c r="T70" s="254"/>
      <c r="U70" s="259"/>
      <c r="V70" s="260"/>
      <c r="W70" s="261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HW70" s="73" t="e">
        <f>CONCATENATE(#REF!,H70)</f>
        <v>#REF!</v>
      </c>
    </row>
    <row r="71" spans="1:231" ht="13.8">
      <c r="A71" s="262"/>
      <c r="B71" s="263"/>
      <c r="C71" s="264"/>
      <c r="D71" s="264"/>
      <c r="E71" s="264"/>
      <c r="F71" s="264"/>
      <c r="G71" s="265"/>
      <c r="H71" s="266"/>
      <c r="I71" s="258"/>
      <c r="J71" s="264"/>
      <c r="K71" s="264"/>
      <c r="L71" s="264"/>
      <c r="M71" s="264"/>
      <c r="N71" s="264"/>
      <c r="O71" s="264"/>
      <c r="P71" s="264"/>
      <c r="Q71" s="265"/>
      <c r="R71" s="264"/>
      <c r="S71" s="264"/>
      <c r="T71" s="264"/>
      <c r="U71" s="267"/>
      <c r="V71" s="268"/>
      <c r="W71" s="269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HW71" s="73" t="e">
        <f>CONCATENATE(#REF!,H71)</f>
        <v>#REF!</v>
      </c>
    </row>
    <row r="72" spans="1:231" ht="16.8">
      <c r="A72" s="270"/>
      <c r="B72" s="271"/>
      <c r="C72" s="272"/>
      <c r="D72" s="273"/>
      <c r="E72" s="274"/>
      <c r="F72" s="274"/>
      <c r="G72" s="275"/>
      <c r="H72" s="276"/>
      <c r="I72" s="258"/>
      <c r="J72" s="277"/>
      <c r="K72" s="278"/>
      <c r="L72" s="278"/>
      <c r="M72" s="279"/>
      <c r="N72" s="277"/>
      <c r="O72" s="278"/>
      <c r="P72" s="278"/>
      <c r="Q72" s="279"/>
      <c r="R72" s="277"/>
      <c r="S72" s="278"/>
      <c r="T72" s="278"/>
      <c r="U72" s="279"/>
      <c r="V72" s="280"/>
      <c r="W72" s="280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HW72" s="73" t="e">
        <f>CONCATENATE(#REF!,H72)</f>
        <v>#REF!</v>
      </c>
    </row>
    <row r="73" spans="1:231" thickBot="1">
      <c r="A73" s="281"/>
      <c r="B73" s="282"/>
      <c r="C73" s="283"/>
      <c r="D73" s="284"/>
      <c r="E73" s="285"/>
      <c r="F73" s="285"/>
      <c r="G73" s="286"/>
      <c r="H73" s="287"/>
      <c r="I73" s="258"/>
      <c r="J73" s="288"/>
      <c r="K73" s="289"/>
      <c r="L73" s="289"/>
      <c r="M73" s="290"/>
      <c r="N73" s="288"/>
      <c r="O73" s="289"/>
      <c r="P73" s="289"/>
      <c r="Q73" s="290"/>
      <c r="R73" s="288"/>
      <c r="S73" s="289"/>
      <c r="T73" s="289"/>
      <c r="U73" s="290"/>
      <c r="V73" s="291"/>
      <c r="W73" s="291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HW73" s="73" t="e">
        <f>CONCATENATE(#REF!,H73)</f>
        <v>#REF!</v>
      </c>
    </row>
    <row r="74" spans="1:231" thickTop="1">
      <c r="A74" s="292"/>
      <c r="B74" s="293"/>
      <c r="C74" s="294"/>
      <c r="D74" s="295"/>
      <c r="E74" s="296"/>
      <c r="F74" s="296"/>
      <c r="G74" s="297"/>
      <c r="H74" s="298"/>
      <c r="I74" s="258"/>
      <c r="J74" s="299"/>
      <c r="K74" s="300"/>
      <c r="L74" s="300"/>
      <c r="M74" s="301"/>
      <c r="N74" s="299"/>
      <c r="O74" s="300"/>
      <c r="P74" s="300"/>
      <c r="Q74" s="301"/>
      <c r="R74" s="299"/>
      <c r="S74" s="300"/>
      <c r="T74" s="300"/>
      <c r="U74" s="301"/>
      <c r="V74" s="302"/>
      <c r="W74" s="302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HW74" s="73" t="e">
        <f>CONCATENATE(#REF!,H74)</f>
        <v>#REF!</v>
      </c>
    </row>
    <row r="75" spans="1:231" ht="16.8">
      <c r="A75" s="270"/>
      <c r="B75" s="271"/>
      <c r="C75" s="272"/>
      <c r="D75" s="273"/>
      <c r="E75" s="274"/>
      <c r="F75" s="274"/>
      <c r="G75" s="275"/>
      <c r="H75" s="276"/>
      <c r="I75" s="258"/>
      <c r="J75" s="277"/>
      <c r="K75" s="278"/>
      <c r="L75" s="278"/>
      <c r="M75" s="279"/>
      <c r="N75" s="277"/>
      <c r="O75" s="278"/>
      <c r="P75" s="278"/>
      <c r="Q75" s="279"/>
      <c r="R75" s="277"/>
      <c r="S75" s="278"/>
      <c r="T75" s="278"/>
      <c r="U75" s="279"/>
      <c r="V75" s="280"/>
      <c r="W75" s="280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HW75" s="73" t="e">
        <f>CONCATENATE(#REF!,H75)</f>
        <v>#REF!</v>
      </c>
    </row>
    <row r="76" spans="1:231" ht="16.8">
      <c r="A76" s="270"/>
      <c r="B76" s="271"/>
      <c r="C76" s="272"/>
      <c r="D76" s="273"/>
      <c r="E76" s="274"/>
      <c r="F76" s="274"/>
      <c r="G76" s="275"/>
      <c r="H76" s="276"/>
      <c r="I76" s="258"/>
      <c r="J76" s="277"/>
      <c r="K76" s="278"/>
      <c r="L76" s="278"/>
      <c r="M76" s="279"/>
      <c r="N76" s="277"/>
      <c r="O76" s="278"/>
      <c r="P76" s="278"/>
      <c r="Q76" s="279"/>
      <c r="R76" s="277"/>
      <c r="S76" s="278"/>
      <c r="T76" s="278"/>
      <c r="U76" s="279"/>
      <c r="V76" s="280"/>
      <c r="W76" s="280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HW76" s="73" t="e">
        <f>CONCATENATE(#REF!,H76)</f>
        <v>#REF!</v>
      </c>
    </row>
    <row r="77" spans="1:231" ht="16.8">
      <c r="A77" s="270"/>
      <c r="B77" s="271"/>
      <c r="C77" s="272"/>
      <c r="D77" s="273"/>
      <c r="E77" s="274"/>
      <c r="F77" s="274"/>
      <c r="G77" s="275"/>
      <c r="H77" s="276"/>
      <c r="I77" s="258"/>
      <c r="J77" s="277"/>
      <c r="K77" s="278"/>
      <c r="L77" s="278"/>
      <c r="M77" s="279"/>
      <c r="N77" s="277"/>
      <c r="O77" s="278"/>
      <c r="P77" s="278"/>
      <c r="Q77" s="279"/>
      <c r="R77" s="277"/>
      <c r="S77" s="278"/>
      <c r="T77" s="278"/>
      <c r="U77" s="279"/>
      <c r="V77" s="280"/>
      <c r="W77" s="280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HW77" s="73" t="e">
        <f>CONCATENATE(#REF!,H77)</f>
        <v>#REF!</v>
      </c>
    </row>
    <row r="78" spans="1:231" thickBot="1">
      <c r="A78" s="281"/>
      <c r="B78" s="282"/>
      <c r="C78" s="283"/>
      <c r="D78" s="284"/>
      <c r="E78" s="285"/>
      <c r="F78" s="285"/>
      <c r="G78" s="286"/>
      <c r="H78" s="287"/>
      <c r="I78" s="258"/>
      <c r="J78" s="288"/>
      <c r="K78" s="289"/>
      <c r="L78" s="289"/>
      <c r="M78" s="290"/>
      <c r="N78" s="288"/>
      <c r="O78" s="289"/>
      <c r="P78" s="289"/>
      <c r="Q78" s="290"/>
      <c r="R78" s="288"/>
      <c r="S78" s="289"/>
      <c r="T78" s="289"/>
      <c r="U78" s="290"/>
      <c r="V78" s="291"/>
      <c r="W78" s="291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HW78" s="73" t="e">
        <f>CONCATENATE(#REF!,H78)</f>
        <v>#REF!</v>
      </c>
    </row>
    <row r="79" spans="1:231" thickTop="1">
      <c r="A79" s="292"/>
      <c r="B79" s="293"/>
      <c r="C79" s="294"/>
      <c r="D79" s="295"/>
      <c r="E79" s="296"/>
      <c r="F79" s="296"/>
      <c r="G79" s="297"/>
      <c r="H79" s="298"/>
      <c r="I79" s="258"/>
      <c r="J79" s="299"/>
      <c r="K79" s="300"/>
      <c r="L79" s="300"/>
      <c r="M79" s="301"/>
      <c r="N79" s="299"/>
      <c r="O79" s="300"/>
      <c r="P79" s="300"/>
      <c r="Q79" s="301"/>
      <c r="R79" s="299"/>
      <c r="S79" s="300"/>
      <c r="T79" s="300"/>
      <c r="U79" s="301"/>
      <c r="V79" s="302"/>
      <c r="W79" s="302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HW79" s="73" t="e">
        <f>CONCATENATE(#REF!,H79)</f>
        <v>#REF!</v>
      </c>
    </row>
    <row r="80" spans="1:231" ht="16.8">
      <c r="A80" s="270"/>
      <c r="B80" s="271"/>
      <c r="C80" s="272"/>
      <c r="D80" s="273"/>
      <c r="E80" s="274"/>
      <c r="F80" s="274"/>
      <c r="G80" s="275"/>
      <c r="H80" s="276"/>
      <c r="I80" s="258"/>
      <c r="J80" s="277"/>
      <c r="K80" s="278"/>
      <c r="L80" s="278"/>
      <c r="M80" s="279"/>
      <c r="N80" s="277"/>
      <c r="O80" s="278"/>
      <c r="P80" s="278"/>
      <c r="Q80" s="279"/>
      <c r="R80" s="277"/>
      <c r="S80" s="278"/>
      <c r="T80" s="278"/>
      <c r="U80" s="279"/>
      <c r="V80" s="280"/>
      <c r="W80" s="280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HW80" s="73" t="e">
        <f>CONCATENATE(#REF!,H80)</f>
        <v>#REF!</v>
      </c>
    </row>
    <row r="81" spans="1:231" ht="16.8">
      <c r="A81" s="270"/>
      <c r="B81" s="271"/>
      <c r="C81" s="272"/>
      <c r="D81" s="273"/>
      <c r="E81" s="274"/>
      <c r="F81" s="274"/>
      <c r="G81" s="275"/>
      <c r="H81" s="276"/>
      <c r="I81" s="258"/>
      <c r="J81" s="277"/>
      <c r="K81" s="278"/>
      <c r="L81" s="278"/>
      <c r="M81" s="279"/>
      <c r="N81" s="277"/>
      <c r="O81" s="278"/>
      <c r="P81" s="278"/>
      <c r="Q81" s="279"/>
      <c r="R81" s="277"/>
      <c r="S81" s="278"/>
      <c r="T81" s="278"/>
      <c r="U81" s="279"/>
      <c r="V81" s="280"/>
      <c r="W81" s="280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HW81" s="73" t="e">
        <f>CONCATENATE(#REF!,H81)</f>
        <v>#REF!</v>
      </c>
    </row>
    <row r="82" spans="1:231" ht="16.8">
      <c r="A82" s="270"/>
      <c r="B82" s="271"/>
      <c r="C82" s="272"/>
      <c r="D82" s="273"/>
      <c r="E82" s="274"/>
      <c r="F82" s="274"/>
      <c r="G82" s="275"/>
      <c r="H82" s="276"/>
      <c r="I82" s="258"/>
      <c r="J82" s="277"/>
      <c r="K82" s="278"/>
      <c r="L82" s="278"/>
      <c r="M82" s="279"/>
      <c r="N82" s="277"/>
      <c r="O82" s="278"/>
      <c r="P82" s="278"/>
      <c r="Q82" s="279"/>
      <c r="R82" s="277"/>
      <c r="S82" s="278"/>
      <c r="T82" s="278"/>
      <c r="U82" s="279"/>
      <c r="V82" s="280"/>
      <c r="W82" s="280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HW82" s="73" t="e">
        <f>CONCATENATE(#REF!,H82)</f>
        <v>#REF!</v>
      </c>
    </row>
    <row r="83" spans="1:231" thickBot="1">
      <c r="A83" s="281"/>
      <c r="B83" s="282"/>
      <c r="C83" s="283"/>
      <c r="D83" s="284"/>
      <c r="E83" s="285"/>
      <c r="F83" s="285"/>
      <c r="G83" s="286"/>
      <c r="H83" s="287"/>
      <c r="I83" s="258"/>
      <c r="J83" s="288"/>
      <c r="K83" s="289"/>
      <c r="L83" s="289"/>
      <c r="M83" s="290"/>
      <c r="N83" s="288"/>
      <c r="O83" s="289"/>
      <c r="P83" s="289"/>
      <c r="Q83" s="290"/>
      <c r="R83" s="288"/>
      <c r="S83" s="289"/>
      <c r="T83" s="289"/>
      <c r="U83" s="290"/>
      <c r="V83" s="291"/>
      <c r="W83" s="291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HW83" s="73" t="e">
        <f>CONCATENATE(#REF!,H83)</f>
        <v>#REF!</v>
      </c>
    </row>
    <row r="84" spans="1:231" thickTop="1">
      <c r="A84" s="292"/>
      <c r="B84" s="293"/>
      <c r="C84" s="294"/>
      <c r="D84" s="295"/>
      <c r="E84" s="296"/>
      <c r="F84" s="296"/>
      <c r="G84" s="297"/>
      <c r="H84" s="298"/>
      <c r="I84" s="258"/>
      <c r="J84" s="299"/>
      <c r="K84" s="300"/>
      <c r="L84" s="300"/>
      <c r="M84" s="301"/>
      <c r="N84" s="299"/>
      <c r="O84" s="300"/>
      <c r="P84" s="300"/>
      <c r="Q84" s="301"/>
      <c r="R84" s="299"/>
      <c r="S84" s="300"/>
      <c r="T84" s="300"/>
      <c r="U84" s="301"/>
      <c r="V84" s="302"/>
      <c r="W84" s="302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HW84" s="73" t="e">
        <f>CONCATENATE(#REF!,H84)</f>
        <v>#REF!</v>
      </c>
    </row>
    <row r="85" spans="1:231" ht="16.8">
      <c r="A85" s="270"/>
      <c r="B85" s="271"/>
      <c r="C85" s="272"/>
      <c r="D85" s="273"/>
      <c r="E85" s="274"/>
      <c r="F85" s="274"/>
      <c r="G85" s="275"/>
      <c r="H85" s="276"/>
      <c r="I85" s="258"/>
      <c r="J85" s="277"/>
      <c r="K85" s="278"/>
      <c r="L85" s="278"/>
      <c r="M85" s="279"/>
      <c r="N85" s="277"/>
      <c r="O85" s="278"/>
      <c r="P85" s="278"/>
      <c r="Q85" s="279"/>
      <c r="R85" s="277"/>
      <c r="S85" s="278"/>
      <c r="T85" s="278"/>
      <c r="U85" s="279"/>
      <c r="V85" s="280"/>
      <c r="W85" s="280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HW85" s="73" t="e">
        <f>CONCATENATE(#REF!,H85)</f>
        <v>#REF!</v>
      </c>
    </row>
    <row r="86" spans="1:231" ht="16.8">
      <c r="A86" s="270"/>
      <c r="B86" s="271"/>
      <c r="C86" s="272"/>
      <c r="D86" s="273"/>
      <c r="E86" s="274"/>
      <c r="F86" s="274"/>
      <c r="G86" s="275"/>
      <c r="H86" s="276"/>
      <c r="I86" s="258"/>
      <c r="J86" s="277"/>
      <c r="K86" s="278"/>
      <c r="L86" s="278"/>
      <c r="M86" s="279"/>
      <c r="N86" s="277"/>
      <c r="O86" s="278"/>
      <c r="P86" s="278"/>
      <c r="Q86" s="279"/>
      <c r="R86" s="277"/>
      <c r="S86" s="278"/>
      <c r="T86" s="278"/>
      <c r="U86" s="279"/>
      <c r="V86" s="280"/>
      <c r="W86" s="280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HW86" s="73" t="e">
        <f>CONCATENATE(#REF!,H86)</f>
        <v>#REF!</v>
      </c>
    </row>
    <row r="87" spans="1:231" ht="16.8">
      <c r="A87" s="270"/>
      <c r="B87" s="271"/>
      <c r="C87" s="272"/>
      <c r="D87" s="273"/>
      <c r="E87" s="274"/>
      <c r="F87" s="274"/>
      <c r="G87" s="275"/>
      <c r="H87" s="276"/>
      <c r="I87" s="258"/>
      <c r="J87" s="277"/>
      <c r="K87" s="278"/>
      <c r="L87" s="278"/>
      <c r="M87" s="279"/>
      <c r="N87" s="277"/>
      <c r="O87" s="278"/>
      <c r="P87" s="278"/>
      <c r="Q87" s="279"/>
      <c r="R87" s="277"/>
      <c r="S87" s="278"/>
      <c r="T87" s="278"/>
      <c r="U87" s="279"/>
      <c r="V87" s="280"/>
      <c r="W87" s="280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HW87" s="73" t="e">
        <f>CONCATENATE(#REF!,H87)</f>
        <v>#REF!</v>
      </c>
    </row>
    <row r="88" spans="1:231" thickBot="1">
      <c r="A88" s="281"/>
      <c r="B88" s="282"/>
      <c r="C88" s="283"/>
      <c r="D88" s="284"/>
      <c r="E88" s="285"/>
      <c r="F88" s="285"/>
      <c r="G88" s="286"/>
      <c r="H88" s="287"/>
      <c r="I88" s="258"/>
      <c r="J88" s="288"/>
      <c r="K88" s="289"/>
      <c r="L88" s="289"/>
      <c r="M88" s="290"/>
      <c r="N88" s="288"/>
      <c r="O88" s="289"/>
      <c r="P88" s="289"/>
      <c r="Q88" s="290"/>
      <c r="R88" s="288"/>
      <c r="S88" s="289"/>
      <c r="T88" s="289"/>
      <c r="U88" s="290"/>
      <c r="V88" s="291"/>
      <c r="W88" s="291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HW88" s="73" t="e">
        <f>CONCATENATE(#REF!,H88)</f>
        <v>#REF!</v>
      </c>
    </row>
    <row r="89" spans="1:231" ht="18" thickTop="1" thickBot="1">
      <c r="A89" s="292"/>
      <c r="B89" s="293"/>
      <c r="C89" s="294"/>
      <c r="D89" s="295"/>
      <c r="E89" s="296"/>
      <c r="F89" s="296"/>
      <c r="G89" s="297"/>
      <c r="H89" s="303"/>
      <c r="I89" s="304"/>
      <c r="J89" s="299"/>
      <c r="K89" s="300"/>
      <c r="L89" s="300"/>
      <c r="M89" s="301"/>
      <c r="N89" s="299"/>
      <c r="O89" s="300"/>
      <c r="P89" s="300"/>
      <c r="Q89" s="301"/>
      <c r="R89" s="299"/>
      <c r="S89" s="300"/>
      <c r="T89" s="300"/>
      <c r="U89" s="301"/>
      <c r="V89" s="302"/>
      <c r="W89" s="302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HW89" s="73" t="e">
        <f>CONCATENATE(#REF!,H89)</f>
        <v>#REF!</v>
      </c>
    </row>
    <row r="90" spans="1:231" thickBot="1">
      <c r="A90" s="270"/>
      <c r="B90" s="271"/>
      <c r="C90" s="272"/>
      <c r="D90" s="273"/>
      <c r="E90" s="274"/>
      <c r="F90" s="274"/>
      <c r="G90" s="275"/>
      <c r="H90" s="305"/>
      <c r="I90" s="304"/>
      <c r="J90" s="277"/>
      <c r="K90" s="278"/>
      <c r="L90" s="278"/>
      <c r="M90" s="279"/>
      <c r="N90" s="277"/>
      <c r="O90" s="278"/>
      <c r="P90" s="278"/>
      <c r="Q90" s="279"/>
      <c r="R90" s="277"/>
      <c r="S90" s="278"/>
      <c r="T90" s="278"/>
      <c r="U90" s="279"/>
      <c r="V90" s="280"/>
      <c r="W90" s="280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HW90" s="73" t="e">
        <f>CONCATENATE(#REF!,H90)</f>
        <v>#REF!</v>
      </c>
    </row>
    <row r="91" spans="1:231" thickBot="1">
      <c r="A91" s="270"/>
      <c r="B91" s="271"/>
      <c r="C91" s="272"/>
      <c r="D91" s="273"/>
      <c r="E91" s="274"/>
      <c r="F91" s="274"/>
      <c r="G91" s="275"/>
      <c r="H91" s="305"/>
      <c r="I91" s="304"/>
      <c r="J91" s="277"/>
      <c r="K91" s="278"/>
      <c r="L91" s="278"/>
      <c r="M91" s="279"/>
      <c r="N91" s="277"/>
      <c r="O91" s="278"/>
      <c r="P91" s="278"/>
      <c r="Q91" s="279"/>
      <c r="R91" s="277"/>
      <c r="S91" s="278"/>
      <c r="T91" s="278"/>
      <c r="U91" s="279"/>
      <c r="V91" s="280"/>
      <c r="W91" s="280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HW91" s="73" t="e">
        <f>CONCATENATE(#REF!,H91)</f>
        <v>#REF!</v>
      </c>
    </row>
    <row r="92" spans="1:231" thickBot="1">
      <c r="A92" s="270"/>
      <c r="B92" s="271"/>
      <c r="C92" s="272"/>
      <c r="D92" s="273"/>
      <c r="E92" s="274"/>
      <c r="F92" s="274"/>
      <c r="G92" s="275"/>
      <c r="H92" s="305"/>
      <c r="I92" s="304"/>
      <c r="J92" s="277"/>
      <c r="K92" s="278"/>
      <c r="L92" s="278"/>
      <c r="M92" s="279"/>
      <c r="N92" s="277"/>
      <c r="O92" s="278"/>
      <c r="P92" s="278"/>
      <c r="Q92" s="279"/>
      <c r="R92" s="277"/>
      <c r="S92" s="278"/>
      <c r="T92" s="278"/>
      <c r="U92" s="279"/>
      <c r="V92" s="280"/>
      <c r="W92" s="280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HW92" s="73" t="e">
        <f>CONCATENATE(#REF!,H92)</f>
        <v>#REF!</v>
      </c>
    </row>
    <row r="93" spans="1:231" thickBot="1">
      <c r="A93" s="281"/>
      <c r="B93" s="282"/>
      <c r="C93" s="283"/>
      <c r="D93" s="284"/>
      <c r="E93" s="285"/>
      <c r="F93" s="285"/>
      <c r="G93" s="286"/>
      <c r="H93" s="306"/>
      <c r="I93" s="304"/>
      <c r="J93" s="288"/>
      <c r="K93" s="289"/>
      <c r="L93" s="289"/>
      <c r="M93" s="290"/>
      <c r="N93" s="288"/>
      <c r="O93" s="289"/>
      <c r="P93" s="289"/>
      <c r="Q93" s="290"/>
      <c r="R93" s="288"/>
      <c r="S93" s="289"/>
      <c r="T93" s="289"/>
      <c r="U93" s="290"/>
      <c r="V93" s="291"/>
      <c r="W93" s="291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HW93" s="73" t="e">
        <f>CONCATENATE(#REF!,H93)</f>
        <v>#REF!</v>
      </c>
    </row>
    <row r="94" spans="1:231" ht="18" thickTop="1" thickBot="1">
      <c r="A94" s="292"/>
      <c r="B94" s="293"/>
      <c r="C94" s="294"/>
      <c r="D94" s="295"/>
      <c r="E94" s="296"/>
      <c r="F94" s="296"/>
      <c r="G94" s="297"/>
      <c r="H94" s="303"/>
      <c r="I94" s="304"/>
      <c r="J94" s="299"/>
      <c r="K94" s="300"/>
      <c r="L94" s="300"/>
      <c r="M94" s="301"/>
      <c r="N94" s="299"/>
      <c r="O94" s="300"/>
      <c r="P94" s="300"/>
      <c r="Q94" s="301"/>
      <c r="R94" s="299"/>
      <c r="S94" s="300"/>
      <c r="T94" s="300"/>
      <c r="U94" s="301"/>
      <c r="V94" s="302"/>
      <c r="W94" s="302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HW94" s="73" t="e">
        <f>CONCATENATE(#REF!,H94)</f>
        <v>#REF!</v>
      </c>
    </row>
    <row r="95" spans="1:231" thickBot="1">
      <c r="A95" s="270"/>
      <c r="B95" s="271"/>
      <c r="C95" s="272"/>
      <c r="D95" s="273"/>
      <c r="E95" s="274"/>
      <c r="F95" s="274"/>
      <c r="G95" s="275"/>
      <c r="H95" s="305"/>
      <c r="I95" s="304"/>
      <c r="J95" s="277"/>
      <c r="K95" s="278"/>
      <c r="L95" s="278"/>
      <c r="M95" s="279"/>
      <c r="N95" s="277"/>
      <c r="O95" s="278"/>
      <c r="P95" s="278"/>
      <c r="Q95" s="279"/>
      <c r="R95" s="277"/>
      <c r="S95" s="278"/>
      <c r="T95" s="278"/>
      <c r="U95" s="279"/>
      <c r="V95" s="280"/>
      <c r="W95" s="280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HW95" s="73" t="e">
        <f>CONCATENATE(#REF!,H95)</f>
        <v>#REF!</v>
      </c>
    </row>
    <row r="96" spans="1:231" thickBot="1">
      <c r="A96" s="270"/>
      <c r="B96" s="271"/>
      <c r="C96" s="272"/>
      <c r="D96" s="273"/>
      <c r="E96" s="274"/>
      <c r="F96" s="274"/>
      <c r="G96" s="275"/>
      <c r="H96" s="305"/>
      <c r="I96" s="304"/>
      <c r="J96" s="277"/>
      <c r="K96" s="278"/>
      <c r="L96" s="278"/>
      <c r="M96" s="279"/>
      <c r="N96" s="277"/>
      <c r="O96" s="278"/>
      <c r="P96" s="278"/>
      <c r="Q96" s="279"/>
      <c r="R96" s="277"/>
      <c r="S96" s="278"/>
      <c r="T96" s="278"/>
      <c r="U96" s="279"/>
      <c r="V96" s="280"/>
      <c r="W96" s="280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HW96" s="73" t="e">
        <f>CONCATENATE(#REF!,H96)</f>
        <v>#REF!</v>
      </c>
    </row>
    <row r="97" spans="1:231" thickBot="1">
      <c r="A97" s="270"/>
      <c r="B97" s="271"/>
      <c r="C97" s="272"/>
      <c r="D97" s="273"/>
      <c r="E97" s="274"/>
      <c r="F97" s="274"/>
      <c r="G97" s="275"/>
      <c r="H97" s="305"/>
      <c r="I97" s="304"/>
      <c r="J97" s="277"/>
      <c r="K97" s="278"/>
      <c r="L97" s="278"/>
      <c r="M97" s="279"/>
      <c r="N97" s="277"/>
      <c r="O97" s="278"/>
      <c r="P97" s="278"/>
      <c r="Q97" s="279"/>
      <c r="R97" s="277"/>
      <c r="S97" s="278"/>
      <c r="T97" s="278"/>
      <c r="U97" s="279"/>
      <c r="V97" s="280"/>
      <c r="W97" s="280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HW97" s="73" t="e">
        <f>CONCATENATE(#REF!,H97)</f>
        <v>#REF!</v>
      </c>
    </row>
    <row r="98" spans="1:231" thickBot="1">
      <c r="A98" s="281"/>
      <c r="B98" s="282"/>
      <c r="C98" s="283"/>
      <c r="D98" s="284"/>
      <c r="E98" s="285"/>
      <c r="F98" s="285"/>
      <c r="G98" s="286"/>
      <c r="H98" s="306"/>
      <c r="I98" s="304"/>
      <c r="J98" s="288"/>
      <c r="K98" s="289"/>
      <c r="L98" s="289"/>
      <c r="M98" s="290"/>
      <c r="N98" s="288"/>
      <c r="O98" s="289"/>
      <c r="P98" s="289"/>
      <c r="Q98" s="290"/>
      <c r="R98" s="288"/>
      <c r="S98" s="289"/>
      <c r="T98" s="289"/>
      <c r="U98" s="290"/>
      <c r="V98" s="291"/>
      <c r="W98" s="291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HW98" s="73" t="e">
        <f>CONCATENATE(#REF!,H98)</f>
        <v>#REF!</v>
      </c>
    </row>
    <row r="99" spans="1:231" ht="18" thickTop="1" thickBot="1">
      <c r="A99" s="292"/>
      <c r="B99" s="293"/>
      <c r="C99" s="294"/>
      <c r="D99" s="295"/>
      <c r="E99" s="296"/>
      <c r="F99" s="296"/>
      <c r="G99" s="297"/>
      <c r="H99" s="303"/>
      <c r="I99" s="304"/>
      <c r="J99" s="299"/>
      <c r="K99" s="300"/>
      <c r="L99" s="300"/>
      <c r="M99" s="301"/>
      <c r="N99" s="299"/>
      <c r="O99" s="300"/>
      <c r="P99" s="300"/>
      <c r="Q99" s="301"/>
      <c r="R99" s="299"/>
      <c r="S99" s="300"/>
      <c r="T99" s="300"/>
      <c r="U99" s="301"/>
      <c r="V99" s="302"/>
      <c r="W99" s="302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HW99" s="73" t="e">
        <f>CONCATENATE(#REF!,H99)</f>
        <v>#REF!</v>
      </c>
    </row>
    <row r="100" spans="1:231" thickBot="1">
      <c r="A100" s="270"/>
      <c r="B100" s="271"/>
      <c r="C100" s="272"/>
      <c r="D100" s="273"/>
      <c r="E100" s="274"/>
      <c r="F100" s="274"/>
      <c r="G100" s="275"/>
      <c r="H100" s="305"/>
      <c r="I100" s="304"/>
      <c r="J100" s="277"/>
      <c r="K100" s="278"/>
      <c r="L100" s="278"/>
      <c r="M100" s="279"/>
      <c r="N100" s="277"/>
      <c r="O100" s="278"/>
      <c r="P100" s="278"/>
      <c r="Q100" s="279"/>
      <c r="R100" s="277"/>
      <c r="S100" s="278"/>
      <c r="T100" s="278"/>
      <c r="U100" s="279"/>
      <c r="V100" s="280"/>
      <c r="W100" s="280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HW100" s="73" t="e">
        <f>CONCATENATE(#REF!,H100)</f>
        <v>#REF!</v>
      </c>
    </row>
    <row r="101" spans="1:231" thickBot="1">
      <c r="A101" s="270"/>
      <c r="B101" s="271"/>
      <c r="C101" s="272"/>
      <c r="D101" s="273"/>
      <c r="E101" s="274"/>
      <c r="F101" s="274"/>
      <c r="G101" s="275"/>
      <c r="H101" s="305"/>
      <c r="I101" s="304"/>
      <c r="J101" s="277"/>
      <c r="K101" s="278"/>
      <c r="L101" s="278"/>
      <c r="M101" s="279"/>
      <c r="N101" s="277"/>
      <c r="O101" s="278"/>
      <c r="P101" s="278"/>
      <c r="Q101" s="279"/>
      <c r="R101" s="277"/>
      <c r="S101" s="278"/>
      <c r="T101" s="278"/>
      <c r="U101" s="279"/>
      <c r="V101" s="280"/>
      <c r="W101" s="280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HW101" s="73" t="e">
        <f>CONCATENATE(#REF!,H101)</f>
        <v>#REF!</v>
      </c>
    </row>
    <row r="102" spans="1:231" thickBot="1">
      <c r="A102" s="270"/>
      <c r="B102" s="271"/>
      <c r="C102" s="272"/>
      <c r="D102" s="273"/>
      <c r="E102" s="274"/>
      <c r="F102" s="274"/>
      <c r="G102" s="275"/>
      <c r="H102" s="305"/>
      <c r="I102" s="304"/>
      <c r="J102" s="277"/>
      <c r="K102" s="278"/>
      <c r="L102" s="278"/>
      <c r="M102" s="279"/>
      <c r="N102" s="277"/>
      <c r="O102" s="278"/>
      <c r="P102" s="278"/>
      <c r="Q102" s="279"/>
      <c r="R102" s="277"/>
      <c r="S102" s="278"/>
      <c r="T102" s="278"/>
      <c r="U102" s="279"/>
      <c r="V102" s="280"/>
      <c r="W102" s="280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HW102" s="73" t="e">
        <f>CONCATENATE(#REF!,H102)</f>
        <v>#REF!</v>
      </c>
    </row>
    <row r="103" spans="1:231" thickBot="1">
      <c r="A103" s="281"/>
      <c r="B103" s="282"/>
      <c r="C103" s="283"/>
      <c r="D103" s="284"/>
      <c r="E103" s="285"/>
      <c r="F103" s="285"/>
      <c r="G103" s="286"/>
      <c r="H103" s="306"/>
      <c r="I103" s="304"/>
      <c r="J103" s="288"/>
      <c r="K103" s="289"/>
      <c r="L103" s="289"/>
      <c r="M103" s="290"/>
      <c r="N103" s="288"/>
      <c r="O103" s="289"/>
      <c r="P103" s="289"/>
      <c r="Q103" s="290"/>
      <c r="R103" s="288"/>
      <c r="S103" s="289"/>
      <c r="T103" s="289"/>
      <c r="U103" s="290"/>
      <c r="V103" s="291"/>
      <c r="W103" s="291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HW103" s="73" t="e">
        <f>CONCATENATE(#REF!,H103)</f>
        <v>#REF!</v>
      </c>
    </row>
    <row r="104" spans="1:231" ht="18" thickTop="1" thickBot="1">
      <c r="A104" s="292"/>
      <c r="B104" s="293"/>
      <c r="C104" s="294"/>
      <c r="D104" s="295"/>
      <c r="E104" s="296"/>
      <c r="F104" s="296"/>
      <c r="G104" s="297"/>
      <c r="H104" s="303"/>
      <c r="I104" s="304"/>
      <c r="J104" s="299"/>
      <c r="K104" s="300"/>
      <c r="L104" s="300"/>
      <c r="M104" s="301"/>
      <c r="N104" s="299"/>
      <c r="O104" s="300"/>
      <c r="P104" s="300"/>
      <c r="Q104" s="301"/>
      <c r="R104" s="299"/>
      <c r="S104" s="300"/>
      <c r="T104" s="300"/>
      <c r="U104" s="301"/>
      <c r="V104" s="302"/>
      <c r="W104" s="302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HW104" s="73" t="e">
        <f>CONCATENATE(#REF!,H104)</f>
        <v>#REF!</v>
      </c>
    </row>
    <row r="105" spans="1:231" thickBot="1">
      <c r="A105" s="270"/>
      <c r="B105" s="271"/>
      <c r="C105" s="272"/>
      <c r="D105" s="273"/>
      <c r="E105" s="274"/>
      <c r="F105" s="274"/>
      <c r="G105" s="275"/>
      <c r="H105" s="305"/>
      <c r="I105" s="304"/>
      <c r="J105" s="277"/>
      <c r="K105" s="278"/>
      <c r="L105" s="278"/>
      <c r="M105" s="279"/>
      <c r="N105" s="277"/>
      <c r="O105" s="278"/>
      <c r="P105" s="278"/>
      <c r="Q105" s="279"/>
      <c r="R105" s="277"/>
      <c r="S105" s="278"/>
      <c r="T105" s="278"/>
      <c r="U105" s="279"/>
      <c r="V105" s="280"/>
      <c r="W105" s="280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HW105" s="73" t="e">
        <f>CONCATENATE(#REF!,H105)</f>
        <v>#REF!</v>
      </c>
    </row>
    <row r="106" spans="1:231" thickBot="1">
      <c r="A106" s="270"/>
      <c r="B106" s="271"/>
      <c r="C106" s="272"/>
      <c r="D106" s="273"/>
      <c r="E106" s="274"/>
      <c r="F106" s="274"/>
      <c r="G106" s="275"/>
      <c r="H106" s="305"/>
      <c r="I106" s="304"/>
      <c r="J106" s="277"/>
      <c r="K106" s="278"/>
      <c r="L106" s="278"/>
      <c r="M106" s="279"/>
      <c r="N106" s="277"/>
      <c r="O106" s="278"/>
      <c r="P106" s="278"/>
      <c r="Q106" s="279"/>
      <c r="R106" s="277"/>
      <c r="S106" s="278"/>
      <c r="T106" s="278"/>
      <c r="U106" s="279"/>
      <c r="V106" s="280"/>
      <c r="W106" s="280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HW106" s="73" t="e">
        <f>CONCATENATE(#REF!,H106)</f>
        <v>#REF!</v>
      </c>
    </row>
    <row r="107" spans="1:231" thickBot="1">
      <c r="A107" s="270"/>
      <c r="B107" s="271"/>
      <c r="C107" s="272"/>
      <c r="D107" s="273"/>
      <c r="E107" s="274"/>
      <c r="F107" s="274"/>
      <c r="G107" s="275"/>
      <c r="H107" s="305"/>
      <c r="I107" s="304"/>
      <c r="J107" s="277"/>
      <c r="K107" s="278"/>
      <c r="L107" s="278"/>
      <c r="M107" s="279"/>
      <c r="N107" s="277"/>
      <c r="O107" s="278"/>
      <c r="P107" s="278"/>
      <c r="Q107" s="279"/>
      <c r="R107" s="277"/>
      <c r="S107" s="278"/>
      <c r="T107" s="278"/>
      <c r="U107" s="279"/>
      <c r="V107" s="280"/>
      <c r="W107" s="280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HW107" s="73" t="e">
        <f>CONCATENATE(#REF!,H107)</f>
        <v>#REF!</v>
      </c>
    </row>
    <row r="108" spans="1:231" thickBot="1">
      <c r="A108" s="281"/>
      <c r="B108" s="282"/>
      <c r="C108" s="283"/>
      <c r="D108" s="284"/>
      <c r="E108" s="285"/>
      <c r="F108" s="285"/>
      <c r="G108" s="286"/>
      <c r="H108" s="306"/>
      <c r="I108" s="304"/>
      <c r="J108" s="288"/>
      <c r="K108" s="289"/>
      <c r="L108" s="289"/>
      <c r="M108" s="290"/>
      <c r="N108" s="288"/>
      <c r="O108" s="289"/>
      <c r="P108" s="289"/>
      <c r="Q108" s="290"/>
      <c r="R108" s="288"/>
      <c r="S108" s="289"/>
      <c r="T108" s="289"/>
      <c r="U108" s="290"/>
      <c r="V108" s="291"/>
      <c r="W108" s="291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HW108" s="73" t="e">
        <f>CONCATENATE(#REF!,H108)</f>
        <v>#REF!</v>
      </c>
    </row>
    <row r="109" spans="1:231" ht="18" thickTop="1" thickBot="1">
      <c r="A109" s="292"/>
      <c r="B109" s="293"/>
      <c r="C109" s="294"/>
      <c r="D109" s="295"/>
      <c r="E109" s="296"/>
      <c r="F109" s="296"/>
      <c r="G109" s="297"/>
      <c r="H109" s="303"/>
      <c r="I109" s="304"/>
      <c r="J109" s="299"/>
      <c r="K109" s="300"/>
      <c r="L109" s="300"/>
      <c r="M109" s="301"/>
      <c r="N109" s="299"/>
      <c r="O109" s="300"/>
      <c r="P109" s="300"/>
      <c r="Q109" s="301"/>
      <c r="R109" s="299"/>
      <c r="S109" s="300"/>
      <c r="T109" s="300"/>
      <c r="U109" s="301"/>
      <c r="V109" s="302"/>
      <c r="W109" s="302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HW109" s="73" t="e">
        <f>CONCATENATE(#REF!,H109)</f>
        <v>#REF!</v>
      </c>
    </row>
    <row r="110" spans="1:231" thickBot="1">
      <c r="A110" s="270"/>
      <c r="B110" s="271"/>
      <c r="C110" s="272"/>
      <c r="D110" s="273"/>
      <c r="E110" s="274"/>
      <c r="F110" s="274"/>
      <c r="G110" s="275"/>
      <c r="H110" s="305"/>
      <c r="I110" s="304"/>
      <c r="J110" s="277"/>
      <c r="K110" s="278"/>
      <c r="L110" s="278"/>
      <c r="M110" s="279"/>
      <c r="N110" s="277"/>
      <c r="O110" s="278"/>
      <c r="P110" s="278"/>
      <c r="Q110" s="279"/>
      <c r="R110" s="277"/>
      <c r="S110" s="278"/>
      <c r="T110" s="278"/>
      <c r="U110" s="279"/>
      <c r="V110" s="280"/>
      <c r="W110" s="280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HW110" s="73" t="e">
        <f>CONCATENATE(#REF!,H110)</f>
        <v>#REF!</v>
      </c>
    </row>
    <row r="111" spans="1:231" thickBot="1">
      <c r="A111" s="270"/>
      <c r="B111" s="271"/>
      <c r="C111" s="272"/>
      <c r="D111" s="273"/>
      <c r="E111" s="274"/>
      <c r="F111" s="274"/>
      <c r="G111" s="275"/>
      <c r="H111" s="305"/>
      <c r="I111" s="304"/>
      <c r="J111" s="277"/>
      <c r="K111" s="278"/>
      <c r="L111" s="278"/>
      <c r="M111" s="279"/>
      <c r="N111" s="277"/>
      <c r="O111" s="278"/>
      <c r="P111" s="278"/>
      <c r="Q111" s="279"/>
      <c r="R111" s="277"/>
      <c r="S111" s="278"/>
      <c r="T111" s="278"/>
      <c r="U111" s="279"/>
      <c r="V111" s="280"/>
      <c r="W111" s="280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HW111" s="73" t="e">
        <f>CONCATENATE(#REF!,H111)</f>
        <v>#REF!</v>
      </c>
    </row>
    <row r="112" spans="1:231" thickBot="1">
      <c r="A112" s="270"/>
      <c r="B112" s="271"/>
      <c r="C112" s="272"/>
      <c r="D112" s="273"/>
      <c r="E112" s="274"/>
      <c r="F112" s="274"/>
      <c r="G112" s="275"/>
      <c r="H112" s="305"/>
      <c r="I112" s="304"/>
      <c r="J112" s="277"/>
      <c r="K112" s="278"/>
      <c r="L112" s="278"/>
      <c r="M112" s="279"/>
      <c r="N112" s="277"/>
      <c r="O112" s="278"/>
      <c r="P112" s="278"/>
      <c r="Q112" s="279"/>
      <c r="R112" s="277"/>
      <c r="S112" s="278"/>
      <c r="T112" s="278"/>
      <c r="U112" s="279"/>
      <c r="V112" s="280"/>
      <c r="W112" s="280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HW112" s="73" t="e">
        <f>CONCATENATE(#REF!,H112)</f>
        <v>#REF!</v>
      </c>
    </row>
    <row r="113" spans="1:231" thickBot="1">
      <c r="A113" s="281"/>
      <c r="B113" s="282"/>
      <c r="C113" s="283"/>
      <c r="D113" s="284"/>
      <c r="E113" s="285"/>
      <c r="F113" s="285"/>
      <c r="G113" s="286"/>
      <c r="H113" s="306"/>
      <c r="I113" s="304"/>
      <c r="J113" s="288"/>
      <c r="K113" s="289"/>
      <c r="L113" s="289"/>
      <c r="M113" s="290"/>
      <c r="N113" s="288"/>
      <c r="O113" s="289"/>
      <c r="P113" s="289"/>
      <c r="Q113" s="290"/>
      <c r="R113" s="288"/>
      <c r="S113" s="289"/>
      <c r="T113" s="289"/>
      <c r="U113" s="290"/>
      <c r="V113" s="291"/>
      <c r="W113" s="291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HW113" s="73" t="e">
        <f>CONCATENATE(#REF!,H113)</f>
        <v>#REF!</v>
      </c>
    </row>
    <row r="114" spans="1:231" ht="18" thickTop="1" thickBot="1">
      <c r="A114" s="292"/>
      <c r="B114" s="293"/>
      <c r="C114" s="294"/>
      <c r="D114" s="295"/>
      <c r="E114" s="296"/>
      <c r="F114" s="296"/>
      <c r="G114" s="297"/>
      <c r="H114" s="303"/>
      <c r="I114" s="304"/>
      <c r="J114" s="299"/>
      <c r="K114" s="300"/>
      <c r="L114" s="300"/>
      <c r="M114" s="301"/>
      <c r="N114" s="299"/>
      <c r="O114" s="300"/>
      <c r="P114" s="300"/>
      <c r="Q114" s="301"/>
      <c r="R114" s="299"/>
      <c r="S114" s="300"/>
      <c r="T114" s="300"/>
      <c r="U114" s="301"/>
      <c r="V114" s="302"/>
      <c r="W114" s="302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HW114" s="73" t="e">
        <f>CONCATENATE(#REF!,H114)</f>
        <v>#REF!</v>
      </c>
    </row>
    <row r="115" spans="1:231" thickBot="1">
      <c r="A115" s="270"/>
      <c r="B115" s="271"/>
      <c r="C115" s="272"/>
      <c r="D115" s="273"/>
      <c r="E115" s="274"/>
      <c r="F115" s="274"/>
      <c r="G115" s="275"/>
      <c r="H115" s="305"/>
      <c r="I115" s="304"/>
      <c r="J115" s="277"/>
      <c r="K115" s="278"/>
      <c r="L115" s="278"/>
      <c r="M115" s="279"/>
      <c r="N115" s="277"/>
      <c r="O115" s="278"/>
      <c r="P115" s="278"/>
      <c r="Q115" s="279"/>
      <c r="R115" s="277"/>
      <c r="S115" s="278"/>
      <c r="T115" s="278"/>
      <c r="U115" s="279"/>
      <c r="V115" s="280"/>
      <c r="W115" s="280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HW115" s="73" t="e">
        <f>CONCATENATE(#REF!,H115)</f>
        <v>#REF!</v>
      </c>
    </row>
    <row r="116" spans="1:231" thickBot="1">
      <c r="A116" s="270"/>
      <c r="B116" s="271"/>
      <c r="C116" s="272"/>
      <c r="D116" s="273"/>
      <c r="E116" s="274"/>
      <c r="F116" s="274"/>
      <c r="G116" s="275"/>
      <c r="H116" s="305"/>
      <c r="I116" s="304"/>
      <c r="J116" s="277"/>
      <c r="K116" s="278"/>
      <c r="L116" s="278"/>
      <c r="M116" s="279"/>
      <c r="N116" s="277"/>
      <c r="O116" s="278"/>
      <c r="P116" s="278"/>
      <c r="Q116" s="279"/>
      <c r="R116" s="277"/>
      <c r="S116" s="278"/>
      <c r="T116" s="278"/>
      <c r="U116" s="279"/>
      <c r="V116" s="280"/>
      <c r="W116" s="280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HW116" s="73" t="e">
        <f>CONCATENATE(#REF!,H116)</f>
        <v>#REF!</v>
      </c>
    </row>
    <row r="117" spans="1:231" thickBot="1">
      <c r="A117" s="270"/>
      <c r="B117" s="271"/>
      <c r="C117" s="272"/>
      <c r="D117" s="273"/>
      <c r="E117" s="274"/>
      <c r="F117" s="274"/>
      <c r="G117" s="275"/>
      <c r="H117" s="305"/>
      <c r="I117" s="304"/>
      <c r="J117" s="277"/>
      <c r="K117" s="278"/>
      <c r="L117" s="278"/>
      <c r="M117" s="279"/>
      <c r="N117" s="277"/>
      <c r="O117" s="278"/>
      <c r="P117" s="278"/>
      <c r="Q117" s="279"/>
      <c r="R117" s="277"/>
      <c r="S117" s="278"/>
      <c r="T117" s="278"/>
      <c r="U117" s="279"/>
      <c r="V117" s="280"/>
      <c r="W117" s="280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HW117" s="73" t="e">
        <f>CONCATENATE(#REF!,H117)</f>
        <v>#REF!</v>
      </c>
    </row>
    <row r="118" spans="1:231" thickBot="1">
      <c r="A118" s="281"/>
      <c r="B118" s="282"/>
      <c r="C118" s="283"/>
      <c r="D118" s="284"/>
      <c r="E118" s="285"/>
      <c r="F118" s="285"/>
      <c r="G118" s="286"/>
      <c r="H118" s="306"/>
      <c r="I118" s="304"/>
      <c r="J118" s="288"/>
      <c r="K118" s="289"/>
      <c r="L118" s="289"/>
      <c r="M118" s="290"/>
      <c r="N118" s="288"/>
      <c r="O118" s="289"/>
      <c r="P118" s="289"/>
      <c r="Q118" s="290"/>
      <c r="R118" s="288"/>
      <c r="S118" s="289"/>
      <c r="T118" s="289"/>
      <c r="U118" s="290"/>
      <c r="V118" s="291"/>
      <c r="W118" s="291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HW118" s="73" t="e">
        <f>CONCATENATE(#REF!,H118)</f>
        <v>#REF!</v>
      </c>
    </row>
    <row r="119" spans="1:231" ht="18" thickTop="1" thickBot="1">
      <c r="A119" s="292"/>
      <c r="B119" s="293"/>
      <c r="C119" s="294"/>
      <c r="D119" s="295"/>
      <c r="E119" s="296"/>
      <c r="F119" s="296"/>
      <c r="G119" s="297"/>
      <c r="H119" s="303"/>
      <c r="I119" s="304"/>
      <c r="J119" s="299"/>
      <c r="K119" s="300"/>
      <c r="L119" s="300"/>
      <c r="M119" s="301"/>
      <c r="N119" s="299"/>
      <c r="O119" s="300"/>
      <c r="P119" s="300"/>
      <c r="Q119" s="301"/>
      <c r="R119" s="299"/>
      <c r="S119" s="300"/>
      <c r="T119" s="300"/>
      <c r="U119" s="301"/>
      <c r="V119" s="302"/>
      <c r="W119" s="302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HW119" s="73" t="e">
        <f>CONCATENATE(#REF!,H119)</f>
        <v>#REF!</v>
      </c>
    </row>
    <row r="120" spans="1:231" thickBot="1">
      <c r="A120" s="270"/>
      <c r="B120" s="271"/>
      <c r="C120" s="272"/>
      <c r="D120" s="273"/>
      <c r="E120" s="274"/>
      <c r="F120" s="274"/>
      <c r="G120" s="275"/>
      <c r="H120" s="305"/>
      <c r="I120" s="304"/>
      <c r="J120" s="277"/>
      <c r="K120" s="278"/>
      <c r="L120" s="278"/>
      <c r="M120" s="279"/>
      <c r="N120" s="277"/>
      <c r="O120" s="278"/>
      <c r="P120" s="278"/>
      <c r="Q120" s="279"/>
      <c r="R120" s="277"/>
      <c r="S120" s="278"/>
      <c r="T120" s="278"/>
      <c r="U120" s="279"/>
      <c r="V120" s="280"/>
      <c r="W120" s="280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HW120" s="73" t="e">
        <f>CONCATENATE(#REF!,H120)</f>
        <v>#REF!</v>
      </c>
    </row>
    <row r="121" spans="1:231" thickBot="1">
      <c r="A121" s="270"/>
      <c r="B121" s="271"/>
      <c r="C121" s="272"/>
      <c r="D121" s="273"/>
      <c r="E121" s="274"/>
      <c r="F121" s="274"/>
      <c r="G121" s="275"/>
      <c r="H121" s="305"/>
      <c r="I121" s="304"/>
      <c r="J121" s="277"/>
      <c r="K121" s="278"/>
      <c r="L121" s="278"/>
      <c r="M121" s="279"/>
      <c r="N121" s="277"/>
      <c r="O121" s="278"/>
      <c r="P121" s="278"/>
      <c r="Q121" s="279"/>
      <c r="R121" s="277"/>
      <c r="S121" s="278"/>
      <c r="T121" s="278"/>
      <c r="U121" s="279"/>
      <c r="V121" s="280"/>
      <c r="W121" s="280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HW121" s="73" t="e">
        <f>CONCATENATE(#REF!,H121)</f>
        <v>#REF!</v>
      </c>
    </row>
    <row r="122" spans="1:231" thickBot="1">
      <c r="A122" s="270"/>
      <c r="B122" s="271"/>
      <c r="C122" s="272"/>
      <c r="D122" s="273"/>
      <c r="E122" s="274"/>
      <c r="F122" s="274"/>
      <c r="G122" s="275"/>
      <c r="H122" s="305"/>
      <c r="I122" s="304"/>
      <c r="J122" s="277"/>
      <c r="K122" s="278"/>
      <c r="L122" s="278"/>
      <c r="M122" s="279"/>
      <c r="N122" s="277"/>
      <c r="O122" s="278"/>
      <c r="P122" s="278"/>
      <c r="Q122" s="279"/>
      <c r="R122" s="277"/>
      <c r="S122" s="278"/>
      <c r="T122" s="278"/>
      <c r="U122" s="279"/>
      <c r="V122" s="280"/>
      <c r="W122" s="280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HW122" s="73" t="e">
        <f>CONCATENATE(#REF!,H122)</f>
        <v>#REF!</v>
      </c>
    </row>
    <row r="123" spans="1:231" thickBot="1">
      <c r="A123" s="281"/>
      <c r="B123" s="282"/>
      <c r="C123" s="283"/>
      <c r="D123" s="284"/>
      <c r="E123" s="285"/>
      <c r="F123" s="285"/>
      <c r="G123" s="286"/>
      <c r="H123" s="306"/>
      <c r="I123" s="304"/>
      <c r="J123" s="288"/>
      <c r="K123" s="289"/>
      <c r="L123" s="289"/>
      <c r="M123" s="290"/>
      <c r="N123" s="288"/>
      <c r="O123" s="289"/>
      <c r="P123" s="289"/>
      <c r="Q123" s="290"/>
      <c r="R123" s="288"/>
      <c r="S123" s="289"/>
      <c r="T123" s="289"/>
      <c r="U123" s="290"/>
      <c r="V123" s="291"/>
      <c r="W123" s="291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HW123" s="73" t="e">
        <f>CONCATENATE(#REF!,H123)</f>
        <v>#REF!</v>
      </c>
    </row>
    <row r="124" spans="1:231" ht="18" thickTop="1" thickBot="1">
      <c r="A124" s="292"/>
      <c r="B124" s="293"/>
      <c r="C124" s="294"/>
      <c r="D124" s="295"/>
      <c r="E124" s="296"/>
      <c r="F124" s="296"/>
      <c r="G124" s="297"/>
      <c r="H124" s="303"/>
      <c r="I124" s="304"/>
      <c r="J124" s="299"/>
      <c r="K124" s="300"/>
      <c r="L124" s="300"/>
      <c r="M124" s="301"/>
      <c r="N124" s="299"/>
      <c r="O124" s="300"/>
      <c r="P124" s="300"/>
      <c r="Q124" s="301"/>
      <c r="R124" s="299"/>
      <c r="S124" s="300"/>
      <c r="T124" s="300"/>
      <c r="U124" s="301"/>
      <c r="V124" s="302"/>
      <c r="W124" s="302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HW124" s="73" t="e">
        <f>CONCATENATE(#REF!,H124)</f>
        <v>#REF!</v>
      </c>
    </row>
    <row r="125" spans="1:231" thickBot="1">
      <c r="A125" s="270"/>
      <c r="B125" s="271"/>
      <c r="C125" s="272"/>
      <c r="D125" s="273"/>
      <c r="E125" s="274"/>
      <c r="F125" s="274"/>
      <c r="G125" s="275"/>
      <c r="H125" s="305"/>
      <c r="I125" s="304"/>
      <c r="J125" s="277"/>
      <c r="K125" s="278"/>
      <c r="L125" s="278"/>
      <c r="M125" s="279"/>
      <c r="N125" s="277"/>
      <c r="O125" s="278"/>
      <c r="P125" s="278"/>
      <c r="Q125" s="279"/>
      <c r="R125" s="277"/>
      <c r="S125" s="278"/>
      <c r="T125" s="278"/>
      <c r="U125" s="279"/>
      <c r="V125" s="280"/>
      <c r="W125" s="280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HW125" s="73" t="e">
        <f>CONCATENATE(#REF!,H125)</f>
        <v>#REF!</v>
      </c>
    </row>
    <row r="126" spans="1:231" thickBot="1">
      <c r="A126" s="270"/>
      <c r="B126" s="271"/>
      <c r="C126" s="272"/>
      <c r="D126" s="273"/>
      <c r="E126" s="274"/>
      <c r="F126" s="274"/>
      <c r="G126" s="275"/>
      <c r="H126" s="305"/>
      <c r="I126" s="304"/>
      <c r="J126" s="277"/>
      <c r="K126" s="278"/>
      <c r="L126" s="278"/>
      <c r="M126" s="279"/>
      <c r="N126" s="277"/>
      <c r="O126" s="278"/>
      <c r="P126" s="278"/>
      <c r="Q126" s="279"/>
      <c r="R126" s="277"/>
      <c r="S126" s="278"/>
      <c r="T126" s="278"/>
      <c r="U126" s="279"/>
      <c r="V126" s="280"/>
      <c r="W126" s="280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HW126" s="73" t="e">
        <f>CONCATENATE(#REF!,H126)</f>
        <v>#REF!</v>
      </c>
    </row>
    <row r="127" spans="1:231" thickBot="1">
      <c r="A127" s="270"/>
      <c r="B127" s="271"/>
      <c r="C127" s="272"/>
      <c r="D127" s="273"/>
      <c r="E127" s="274"/>
      <c r="F127" s="274"/>
      <c r="G127" s="275"/>
      <c r="H127" s="305"/>
      <c r="I127" s="304"/>
      <c r="J127" s="277"/>
      <c r="K127" s="278"/>
      <c r="L127" s="278"/>
      <c r="M127" s="279"/>
      <c r="N127" s="277"/>
      <c r="O127" s="278"/>
      <c r="P127" s="278"/>
      <c r="Q127" s="279"/>
      <c r="R127" s="277"/>
      <c r="S127" s="278"/>
      <c r="T127" s="278"/>
      <c r="U127" s="279"/>
      <c r="V127" s="280"/>
      <c r="W127" s="280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HW127" s="73" t="e">
        <f>CONCATENATE(#REF!,H127)</f>
        <v>#REF!</v>
      </c>
    </row>
    <row r="128" spans="1:231" thickBot="1">
      <c r="A128" s="281"/>
      <c r="B128" s="282"/>
      <c r="C128" s="283"/>
      <c r="D128" s="284"/>
      <c r="E128" s="285"/>
      <c r="F128" s="285"/>
      <c r="G128" s="286"/>
      <c r="H128" s="306"/>
      <c r="I128" s="304"/>
      <c r="J128" s="288"/>
      <c r="K128" s="289"/>
      <c r="L128" s="289"/>
      <c r="M128" s="290"/>
      <c r="N128" s="288"/>
      <c r="O128" s="289"/>
      <c r="P128" s="289"/>
      <c r="Q128" s="290"/>
      <c r="R128" s="288"/>
      <c r="S128" s="289"/>
      <c r="T128" s="289"/>
      <c r="U128" s="290"/>
      <c r="V128" s="291"/>
      <c r="W128" s="291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HW128" s="73" t="e">
        <f>CONCATENATE(#REF!,H128)</f>
        <v>#REF!</v>
      </c>
    </row>
    <row r="129" spans="1:231" ht="18" thickTop="1" thickBot="1">
      <c r="A129" s="292"/>
      <c r="B129" s="293"/>
      <c r="C129" s="294"/>
      <c r="D129" s="295"/>
      <c r="E129" s="296"/>
      <c r="F129" s="296"/>
      <c r="G129" s="297"/>
      <c r="H129" s="303"/>
      <c r="I129" s="304"/>
      <c r="J129" s="299"/>
      <c r="K129" s="300"/>
      <c r="L129" s="300"/>
      <c r="M129" s="301"/>
      <c r="N129" s="299"/>
      <c r="O129" s="300"/>
      <c r="P129" s="300"/>
      <c r="Q129" s="301"/>
      <c r="R129" s="299"/>
      <c r="S129" s="300"/>
      <c r="T129" s="300"/>
      <c r="U129" s="301"/>
      <c r="V129" s="302"/>
      <c r="W129" s="302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HW129" s="73" t="e">
        <f>CONCATENATE(#REF!,H129)</f>
        <v>#REF!</v>
      </c>
    </row>
    <row r="130" spans="1:231" thickBot="1">
      <c r="A130" s="270"/>
      <c r="B130" s="271"/>
      <c r="C130" s="272"/>
      <c r="D130" s="273"/>
      <c r="E130" s="274"/>
      <c r="F130" s="274"/>
      <c r="G130" s="275"/>
      <c r="H130" s="305"/>
      <c r="I130" s="304"/>
      <c r="J130" s="277"/>
      <c r="K130" s="278"/>
      <c r="L130" s="278"/>
      <c r="M130" s="279"/>
      <c r="N130" s="277"/>
      <c r="O130" s="278"/>
      <c r="P130" s="278"/>
      <c r="Q130" s="279"/>
      <c r="R130" s="277"/>
      <c r="S130" s="278"/>
      <c r="T130" s="278"/>
      <c r="U130" s="279"/>
      <c r="V130" s="280"/>
      <c r="W130" s="280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HW130" s="73" t="e">
        <f>CONCATENATE(#REF!,H130)</f>
        <v>#REF!</v>
      </c>
    </row>
    <row r="131" spans="1:231" thickBot="1">
      <c r="A131" s="270"/>
      <c r="B131" s="271"/>
      <c r="C131" s="272"/>
      <c r="D131" s="273"/>
      <c r="E131" s="274"/>
      <c r="F131" s="274"/>
      <c r="G131" s="275"/>
      <c r="H131" s="305"/>
      <c r="I131" s="304"/>
      <c r="J131" s="277"/>
      <c r="K131" s="278"/>
      <c r="L131" s="278"/>
      <c r="M131" s="279"/>
      <c r="N131" s="277"/>
      <c r="O131" s="278"/>
      <c r="P131" s="278"/>
      <c r="Q131" s="279"/>
      <c r="R131" s="277"/>
      <c r="S131" s="278"/>
      <c r="T131" s="278"/>
      <c r="U131" s="279"/>
      <c r="V131" s="280"/>
      <c r="W131" s="280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HW131" s="73" t="e">
        <f>CONCATENATE(#REF!,H131)</f>
        <v>#REF!</v>
      </c>
    </row>
    <row r="132" spans="1:231" thickBot="1">
      <c r="A132" s="270"/>
      <c r="B132" s="271"/>
      <c r="C132" s="272"/>
      <c r="D132" s="273"/>
      <c r="E132" s="274"/>
      <c r="F132" s="274"/>
      <c r="G132" s="275"/>
      <c r="H132" s="305"/>
      <c r="I132" s="304"/>
      <c r="J132" s="278"/>
      <c r="K132" s="278"/>
      <c r="L132" s="279"/>
      <c r="M132" s="277"/>
      <c r="N132" s="278"/>
      <c r="O132" s="278"/>
      <c r="P132" s="279"/>
      <c r="Q132" s="277"/>
      <c r="R132" s="278"/>
      <c r="S132" s="278"/>
      <c r="T132" s="279"/>
      <c r="U132" s="280"/>
      <c r="V132" s="280"/>
      <c r="W132" s="85"/>
      <c r="X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HW132" s="73" t="e">
        <f>CONCATENATE(#REF!,H132)</f>
        <v>#REF!</v>
      </c>
    </row>
    <row r="133" spans="1:231" thickBot="1">
      <c r="A133" s="281"/>
      <c r="B133" s="282"/>
      <c r="C133" s="283"/>
      <c r="D133" s="284"/>
      <c r="E133" s="285"/>
      <c r="F133" s="285"/>
      <c r="G133" s="286"/>
      <c r="H133" s="306"/>
      <c r="I133" s="304"/>
      <c r="J133" s="289"/>
      <c r="K133" s="289"/>
      <c r="L133" s="290"/>
      <c r="M133" s="288"/>
      <c r="N133" s="289"/>
      <c r="O133" s="289"/>
      <c r="P133" s="290"/>
      <c r="Q133" s="288"/>
      <c r="R133" s="289"/>
      <c r="S133" s="289"/>
      <c r="T133" s="290"/>
      <c r="U133" s="291"/>
      <c r="V133" s="291"/>
      <c r="W133" s="85"/>
      <c r="X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HW133" s="73" t="e">
        <f>CONCATENATE(#REF!,H133)</f>
        <v>#REF!</v>
      </c>
    </row>
    <row r="134" spans="1:231" ht="18" thickTop="1" thickBot="1">
      <c r="A134" s="292"/>
      <c r="B134" s="293"/>
      <c r="C134" s="294"/>
      <c r="D134" s="295"/>
      <c r="E134" s="296"/>
      <c r="F134" s="296"/>
      <c r="G134" s="297"/>
      <c r="H134" s="303"/>
      <c r="I134" s="304"/>
      <c r="J134" s="300"/>
      <c r="K134" s="300"/>
      <c r="L134" s="301"/>
      <c r="M134" s="299"/>
      <c r="N134" s="300"/>
      <c r="O134" s="300"/>
      <c r="P134" s="301"/>
      <c r="Q134" s="299"/>
      <c r="R134" s="300"/>
      <c r="S134" s="300"/>
      <c r="T134" s="301"/>
      <c r="U134" s="302"/>
      <c r="V134" s="302"/>
      <c r="W134" s="85"/>
      <c r="X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HW134" s="73" t="e">
        <f>CONCATENATE(#REF!,H134)</f>
        <v>#REF!</v>
      </c>
    </row>
    <row r="135" spans="1:231" thickBot="1">
      <c r="A135" s="270"/>
      <c r="B135" s="271"/>
      <c r="C135" s="272"/>
      <c r="D135" s="273"/>
      <c r="E135" s="274"/>
      <c r="F135" s="274"/>
      <c r="G135" s="275"/>
      <c r="H135" s="305"/>
      <c r="I135" s="304"/>
      <c r="J135" s="278"/>
      <c r="K135" s="278"/>
      <c r="L135" s="279"/>
      <c r="M135" s="277"/>
      <c r="N135" s="278"/>
      <c r="O135" s="278"/>
      <c r="P135" s="279"/>
      <c r="Q135" s="277"/>
      <c r="R135" s="278"/>
      <c r="S135" s="278"/>
      <c r="T135" s="279"/>
      <c r="U135" s="280"/>
      <c r="V135" s="280"/>
      <c r="W135" s="85"/>
      <c r="X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HW135" s="73" t="e">
        <f>CONCATENATE(#REF!,H135)</f>
        <v>#REF!</v>
      </c>
    </row>
    <row r="136" spans="1:231" thickBot="1">
      <c r="A136" s="270"/>
      <c r="B136" s="271"/>
      <c r="C136" s="272"/>
      <c r="D136" s="273"/>
      <c r="E136" s="274"/>
      <c r="F136" s="274"/>
      <c r="G136" s="275"/>
      <c r="H136" s="305"/>
      <c r="I136" s="304"/>
      <c r="J136" s="278"/>
      <c r="K136" s="278"/>
      <c r="L136" s="279"/>
      <c r="M136" s="277"/>
      <c r="N136" s="278"/>
      <c r="O136" s="278"/>
      <c r="P136" s="279"/>
      <c r="Q136" s="277"/>
      <c r="R136" s="278"/>
      <c r="S136" s="278"/>
      <c r="T136" s="279"/>
      <c r="U136" s="280"/>
      <c r="V136" s="280"/>
      <c r="W136" s="85"/>
      <c r="X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HW136" s="73" t="e">
        <f>CONCATENATE(#REF!,H136)</f>
        <v>#REF!</v>
      </c>
    </row>
    <row r="137" spans="1:231" thickBot="1">
      <c r="A137" s="270"/>
      <c r="B137" s="271"/>
      <c r="C137" s="272"/>
      <c r="D137" s="273"/>
      <c r="E137" s="274"/>
      <c r="F137" s="274"/>
      <c r="G137" s="275"/>
      <c r="H137" s="305"/>
      <c r="I137" s="304"/>
      <c r="J137" s="278"/>
      <c r="K137" s="278"/>
      <c r="L137" s="279"/>
      <c r="M137" s="277"/>
      <c r="N137" s="278"/>
      <c r="O137" s="278"/>
      <c r="P137" s="279"/>
      <c r="Q137" s="277"/>
      <c r="R137" s="278"/>
      <c r="S137" s="278"/>
      <c r="T137" s="279"/>
      <c r="U137" s="280"/>
      <c r="V137" s="280"/>
      <c r="W137" s="85"/>
      <c r="X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HW137" s="73" t="e">
        <f>CONCATENATE(#REF!,H137)</f>
        <v>#REF!</v>
      </c>
    </row>
    <row r="138" spans="1:231" thickBot="1">
      <c r="A138" s="281"/>
      <c r="B138" s="282"/>
      <c r="C138" s="283"/>
      <c r="D138" s="284"/>
      <c r="E138" s="285"/>
      <c r="F138" s="285"/>
      <c r="G138" s="286"/>
      <c r="H138" s="306"/>
      <c r="I138" s="304"/>
      <c r="J138" s="289"/>
      <c r="K138" s="289"/>
      <c r="L138" s="290"/>
      <c r="M138" s="288"/>
      <c r="N138" s="289"/>
      <c r="O138" s="289"/>
      <c r="P138" s="290"/>
      <c r="Q138" s="288"/>
      <c r="R138" s="289"/>
      <c r="S138" s="289"/>
      <c r="T138" s="290"/>
      <c r="U138" s="291"/>
      <c r="V138" s="291"/>
      <c r="W138" s="85"/>
      <c r="X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HW138" s="73" t="e">
        <f>CONCATENATE(#REF!,H138)</f>
        <v>#REF!</v>
      </c>
    </row>
    <row r="139" spans="1:231" ht="18" thickTop="1" thickBot="1">
      <c r="A139" s="292"/>
      <c r="B139" s="293"/>
      <c r="C139" s="294"/>
      <c r="D139" s="295"/>
      <c r="E139" s="296"/>
      <c r="F139" s="296"/>
      <c r="G139" s="297"/>
      <c r="H139" s="303"/>
      <c r="I139" s="304"/>
      <c r="J139" s="300"/>
      <c r="K139" s="300"/>
      <c r="L139" s="301"/>
      <c r="M139" s="299"/>
      <c r="N139" s="300"/>
      <c r="O139" s="300"/>
      <c r="P139" s="301"/>
      <c r="Q139" s="299"/>
      <c r="R139" s="300"/>
      <c r="S139" s="300"/>
      <c r="T139" s="301"/>
      <c r="U139" s="302"/>
      <c r="V139" s="302"/>
      <c r="W139" s="85"/>
      <c r="X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HW139" s="73" t="e">
        <f>CONCATENATE(#REF!,H139)</f>
        <v>#REF!</v>
      </c>
    </row>
    <row r="140" spans="1:231" thickBot="1">
      <c r="A140" s="270"/>
      <c r="B140" s="271"/>
      <c r="C140" s="272"/>
      <c r="D140" s="273"/>
      <c r="E140" s="274"/>
      <c r="F140" s="274"/>
      <c r="G140" s="275"/>
      <c r="H140" s="305"/>
      <c r="I140" s="304"/>
      <c r="J140" s="278"/>
      <c r="K140" s="278"/>
      <c r="L140" s="279"/>
      <c r="M140" s="277"/>
      <c r="N140" s="278"/>
      <c r="O140" s="278"/>
      <c r="P140" s="279"/>
      <c r="Q140" s="277"/>
      <c r="R140" s="278"/>
      <c r="S140" s="278"/>
      <c r="T140" s="279"/>
      <c r="U140" s="280"/>
      <c r="V140" s="280"/>
      <c r="W140" s="66"/>
      <c r="HW140" s="73" t="e">
        <f>CONCATENATE(#REF!,H140)</f>
        <v>#REF!</v>
      </c>
    </row>
    <row r="141" spans="1:231" thickBot="1">
      <c r="A141" s="270"/>
      <c r="B141" s="271"/>
      <c r="C141" s="272"/>
      <c r="D141" s="273"/>
      <c r="E141" s="274"/>
      <c r="F141" s="274"/>
      <c r="G141" s="275"/>
      <c r="H141" s="305"/>
      <c r="I141" s="304"/>
      <c r="J141" s="278"/>
      <c r="K141" s="278"/>
      <c r="L141" s="279"/>
      <c r="M141" s="277"/>
      <c r="N141" s="278"/>
      <c r="O141" s="278"/>
      <c r="P141" s="279"/>
      <c r="Q141" s="277"/>
      <c r="R141" s="278"/>
      <c r="S141" s="278"/>
      <c r="T141" s="279"/>
      <c r="U141" s="280"/>
      <c r="V141" s="280"/>
      <c r="W141" s="66"/>
      <c r="HW141" s="73" t="e">
        <f>CONCATENATE(#REF!,H141)</f>
        <v>#REF!</v>
      </c>
    </row>
    <row r="142" spans="1:231" thickBot="1">
      <c r="A142" s="270"/>
      <c r="B142" s="271"/>
      <c r="C142" s="272"/>
      <c r="D142" s="273"/>
      <c r="E142" s="274"/>
      <c r="F142" s="274"/>
      <c r="G142" s="275"/>
      <c r="H142" s="305"/>
      <c r="I142" s="304"/>
      <c r="J142" s="278"/>
      <c r="K142" s="278"/>
      <c r="L142" s="279"/>
      <c r="M142" s="277"/>
      <c r="N142" s="278"/>
      <c r="O142" s="278"/>
      <c r="P142" s="279"/>
      <c r="Q142" s="277"/>
      <c r="R142" s="278"/>
      <c r="S142" s="278"/>
      <c r="T142" s="279"/>
      <c r="U142" s="280"/>
      <c r="V142" s="280"/>
      <c r="W142" s="66"/>
      <c r="HW142" s="73" t="e">
        <f>CONCATENATE(#REF!,H142)</f>
        <v>#REF!</v>
      </c>
    </row>
    <row r="143" spans="1:231" thickBot="1">
      <c r="A143" s="281"/>
      <c r="B143" s="282"/>
      <c r="C143" s="283"/>
      <c r="D143" s="284"/>
      <c r="E143" s="285"/>
      <c r="F143" s="285"/>
      <c r="G143" s="286"/>
      <c r="H143" s="306"/>
      <c r="I143" s="304"/>
      <c r="J143" s="289"/>
      <c r="K143" s="289"/>
      <c r="L143" s="290"/>
      <c r="M143" s="288"/>
      <c r="N143" s="289"/>
      <c r="O143" s="289"/>
      <c r="P143" s="290"/>
      <c r="Q143" s="288"/>
      <c r="R143" s="289"/>
      <c r="S143" s="289"/>
      <c r="T143" s="290"/>
      <c r="U143" s="291"/>
      <c r="V143" s="291"/>
      <c r="W143" s="66"/>
      <c r="HW143" s="73" t="e">
        <f>CONCATENATE(#REF!,H143)</f>
        <v>#REF!</v>
      </c>
    </row>
    <row r="144" spans="1:231" ht="18" thickTop="1" thickBot="1">
      <c r="A144" s="292"/>
      <c r="B144" s="293"/>
      <c r="C144" s="294"/>
      <c r="D144" s="295"/>
      <c r="E144" s="296"/>
      <c r="F144" s="296"/>
      <c r="G144" s="297"/>
      <c r="H144" s="303"/>
      <c r="I144" s="304"/>
      <c r="J144" s="300"/>
      <c r="K144" s="300"/>
      <c r="L144" s="301"/>
      <c r="M144" s="299"/>
      <c r="N144" s="300"/>
      <c r="O144" s="300"/>
      <c r="P144" s="301"/>
      <c r="Q144" s="299"/>
      <c r="R144" s="300"/>
      <c r="S144" s="300"/>
      <c r="T144" s="301"/>
      <c r="U144" s="302"/>
      <c r="V144" s="302"/>
      <c r="W144" s="66"/>
      <c r="HW144" s="73" t="e">
        <f>CONCATENATE(#REF!,H144)</f>
        <v>#REF!</v>
      </c>
    </row>
    <row r="145" spans="1:231" thickBot="1">
      <c r="A145" s="270"/>
      <c r="B145" s="271"/>
      <c r="C145" s="272"/>
      <c r="D145" s="273"/>
      <c r="E145" s="274"/>
      <c r="F145" s="274"/>
      <c r="G145" s="275"/>
      <c r="H145" s="305"/>
      <c r="I145" s="304"/>
      <c r="J145" s="278"/>
      <c r="K145" s="278"/>
      <c r="L145" s="279"/>
      <c r="M145" s="277"/>
      <c r="N145" s="278"/>
      <c r="O145" s="278"/>
      <c r="P145" s="279"/>
      <c r="Q145" s="277"/>
      <c r="R145" s="278"/>
      <c r="S145" s="278"/>
      <c r="T145" s="279"/>
      <c r="U145" s="280"/>
      <c r="V145" s="280"/>
      <c r="W145" s="66"/>
      <c r="HW145" s="73" t="e">
        <f>CONCATENATE(#REF!,H145)</f>
        <v>#REF!</v>
      </c>
    </row>
    <row r="146" spans="1:231" thickBot="1">
      <c r="A146" s="270"/>
      <c r="B146" s="271"/>
      <c r="C146" s="272"/>
      <c r="D146" s="273"/>
      <c r="E146" s="274"/>
      <c r="F146" s="274"/>
      <c r="G146" s="275"/>
      <c r="H146" s="305"/>
      <c r="I146" s="304"/>
      <c r="J146" s="278"/>
      <c r="K146" s="278"/>
      <c r="L146" s="279"/>
      <c r="M146" s="277"/>
      <c r="N146" s="278"/>
      <c r="O146" s="278"/>
      <c r="P146" s="279"/>
      <c r="Q146" s="277"/>
      <c r="R146" s="278"/>
      <c r="S146" s="278"/>
      <c r="T146" s="279"/>
      <c r="U146" s="280"/>
      <c r="V146" s="280"/>
      <c r="W146" s="66"/>
      <c r="HW146" s="73" t="e">
        <f>CONCATENATE(#REF!,H146)</f>
        <v>#REF!</v>
      </c>
    </row>
    <row r="147" spans="1:231" thickBot="1">
      <c r="A147" s="270"/>
      <c r="B147" s="271"/>
      <c r="C147" s="272"/>
      <c r="D147" s="273"/>
      <c r="E147" s="274"/>
      <c r="F147" s="274"/>
      <c r="G147" s="275"/>
      <c r="H147" s="305"/>
      <c r="I147" s="304"/>
      <c r="J147" s="278"/>
      <c r="K147" s="278"/>
      <c r="L147" s="279"/>
      <c r="M147" s="277"/>
      <c r="N147" s="278"/>
      <c r="O147" s="278"/>
      <c r="P147" s="279"/>
      <c r="Q147" s="277"/>
      <c r="R147" s="278"/>
      <c r="S147" s="278"/>
      <c r="T147" s="279"/>
      <c r="U147" s="280"/>
      <c r="V147" s="280"/>
      <c r="W147" s="66"/>
      <c r="HW147" s="73" t="e">
        <f>CONCATENATE(#REF!,H147)</f>
        <v>#REF!</v>
      </c>
    </row>
    <row r="148" spans="1:231" thickBot="1">
      <c r="A148" s="281"/>
      <c r="B148" s="282"/>
      <c r="C148" s="283"/>
      <c r="D148" s="284"/>
      <c r="E148" s="285"/>
      <c r="F148" s="285"/>
      <c r="G148" s="286"/>
      <c r="H148" s="306"/>
      <c r="I148" s="304"/>
      <c r="J148" s="289"/>
      <c r="K148" s="289"/>
      <c r="L148" s="290"/>
      <c r="M148" s="288"/>
      <c r="N148" s="289"/>
      <c r="O148" s="289"/>
      <c r="P148" s="290"/>
      <c r="Q148" s="288"/>
      <c r="R148" s="289"/>
      <c r="S148" s="289"/>
      <c r="T148" s="290"/>
      <c r="U148" s="291"/>
      <c r="V148" s="291"/>
      <c r="W148" s="66"/>
      <c r="HW148" s="73" t="e">
        <f>CONCATENATE(#REF!,H148)</f>
        <v>#REF!</v>
      </c>
    </row>
    <row r="149" spans="1:231" ht="18" thickTop="1" thickBot="1">
      <c r="A149" s="292"/>
      <c r="B149" s="293"/>
      <c r="C149" s="294"/>
      <c r="D149" s="295"/>
      <c r="E149" s="296"/>
      <c r="F149" s="296"/>
      <c r="G149" s="297"/>
      <c r="H149" s="303"/>
      <c r="I149" s="304"/>
      <c r="J149" s="300"/>
      <c r="K149" s="300"/>
      <c r="L149" s="301"/>
      <c r="M149" s="299"/>
      <c r="N149" s="300"/>
      <c r="O149" s="300"/>
      <c r="P149" s="301"/>
      <c r="Q149" s="299"/>
      <c r="R149" s="300"/>
      <c r="S149" s="300"/>
      <c r="T149" s="301"/>
      <c r="U149" s="302"/>
      <c r="V149" s="302"/>
      <c r="W149" s="66"/>
      <c r="HW149" s="73" t="e">
        <f>CONCATENATE(#REF!,H149)</f>
        <v>#REF!</v>
      </c>
    </row>
    <row r="150" spans="1:231" ht="16.8">
      <c r="A150" s="270"/>
      <c r="B150" s="271"/>
      <c r="C150" s="272"/>
      <c r="D150" s="273"/>
      <c r="E150" s="274"/>
      <c r="F150" s="274"/>
      <c r="G150" s="275"/>
      <c r="H150" s="305"/>
      <c r="I150" s="304"/>
      <c r="J150" s="278"/>
      <c r="K150" s="278"/>
      <c r="L150" s="279"/>
      <c r="M150" s="277"/>
      <c r="N150" s="278"/>
      <c r="O150" s="278"/>
      <c r="P150" s="279"/>
      <c r="Q150" s="277"/>
      <c r="R150" s="278"/>
      <c r="S150" s="278"/>
      <c r="T150" s="279"/>
      <c r="U150" s="280"/>
      <c r="V150" s="280"/>
      <c r="W150" s="66"/>
      <c r="HW150" s="73" t="e">
        <f>CONCATENATE(#REF!,H150)</f>
        <v>#REF!</v>
      </c>
    </row>
    <row r="151" spans="1:231">
      <c r="W151" s="66"/>
      <c r="HW151" s="73" t="e">
        <f>CONCATENATE(#REF!,H151)</f>
        <v>#REF!</v>
      </c>
    </row>
    <row r="152" spans="1:231" ht="16.8">
      <c r="A152" s="270"/>
      <c r="B152" s="271"/>
      <c r="C152" s="272"/>
      <c r="D152" s="273"/>
      <c r="E152" s="274"/>
      <c r="F152" s="274"/>
      <c r="G152" s="275"/>
      <c r="H152" s="308"/>
      <c r="I152" s="309"/>
      <c r="J152" s="277"/>
      <c r="K152" s="278"/>
      <c r="L152" s="278"/>
      <c r="M152" s="279"/>
      <c r="N152" s="277"/>
      <c r="O152" s="278"/>
      <c r="P152" s="278"/>
      <c r="Q152" s="279"/>
      <c r="R152" s="277"/>
      <c r="S152" s="278"/>
      <c r="T152" s="278"/>
      <c r="U152" s="279"/>
      <c r="V152" s="280"/>
      <c r="W152" s="280"/>
      <c r="HW152" s="73" t="e">
        <f>CONCATENATE(#REF!,H152)</f>
        <v>#REF!</v>
      </c>
    </row>
    <row r="153" spans="1:231" thickBot="1">
      <c r="A153" s="281"/>
      <c r="B153" s="282"/>
      <c r="C153" s="283"/>
      <c r="D153" s="284"/>
      <c r="E153" s="285"/>
      <c r="F153" s="285"/>
      <c r="G153" s="286"/>
      <c r="H153" s="310"/>
      <c r="I153" s="311"/>
      <c r="J153" s="288"/>
      <c r="K153" s="289"/>
      <c r="L153" s="289"/>
      <c r="M153" s="290"/>
      <c r="N153" s="288"/>
      <c r="O153" s="289"/>
      <c r="P153" s="289"/>
      <c r="Q153" s="290"/>
      <c r="R153" s="288"/>
      <c r="S153" s="289"/>
      <c r="T153" s="289"/>
      <c r="U153" s="290"/>
      <c r="V153" s="291"/>
      <c r="W153" s="291"/>
      <c r="HW153" s="73" t="e">
        <f>CONCATENATE(#REF!,H153)</f>
        <v>#REF!</v>
      </c>
    </row>
    <row r="154" spans="1:231" ht="18" thickTop="1" thickBot="1">
      <c r="A154" s="292"/>
      <c r="B154" s="293"/>
      <c r="C154" s="294"/>
      <c r="D154" s="295"/>
      <c r="E154" s="296"/>
      <c r="F154" s="296"/>
      <c r="G154" s="297"/>
      <c r="H154" s="303"/>
      <c r="I154" s="304"/>
      <c r="J154" s="299"/>
      <c r="K154" s="300"/>
      <c r="L154" s="300"/>
      <c r="M154" s="301"/>
      <c r="N154" s="299"/>
      <c r="O154" s="300"/>
      <c r="P154" s="300"/>
      <c r="Q154" s="301"/>
      <c r="R154" s="299"/>
      <c r="S154" s="300"/>
      <c r="T154" s="300"/>
      <c r="U154" s="301"/>
      <c r="V154" s="302"/>
      <c r="W154" s="302"/>
      <c r="HW154" s="73" t="e">
        <f>CONCATENATE(#REF!,H154)</f>
        <v>#REF!</v>
      </c>
    </row>
    <row r="155" spans="1:231" thickBot="1">
      <c r="A155" s="270"/>
      <c r="B155" s="271"/>
      <c r="C155" s="272"/>
      <c r="D155" s="273"/>
      <c r="E155" s="274"/>
      <c r="F155" s="274"/>
      <c r="G155" s="275"/>
      <c r="H155" s="305"/>
      <c r="I155" s="304"/>
      <c r="J155" s="277"/>
      <c r="K155" s="278"/>
      <c r="L155" s="278"/>
      <c r="M155" s="279"/>
      <c r="N155" s="277"/>
      <c r="O155" s="278"/>
      <c r="P155" s="278"/>
      <c r="Q155" s="279"/>
      <c r="R155" s="277"/>
      <c r="S155" s="278"/>
      <c r="T155" s="278"/>
      <c r="U155" s="279"/>
      <c r="V155" s="280"/>
      <c r="W155" s="280"/>
      <c r="HW155" s="73" t="e">
        <f>CONCATENATE(#REF!,H155)</f>
        <v>#REF!</v>
      </c>
    </row>
    <row r="156" spans="1:231" thickBot="1">
      <c r="A156" s="292"/>
      <c r="B156" s="271"/>
      <c r="C156" s="272"/>
      <c r="D156" s="273"/>
      <c r="E156" s="274"/>
      <c r="F156" s="274"/>
      <c r="G156" s="275"/>
      <c r="H156" s="305"/>
      <c r="I156" s="304"/>
      <c r="J156" s="277"/>
      <c r="K156" s="278"/>
      <c r="L156" s="278"/>
      <c r="M156" s="279"/>
      <c r="N156" s="277"/>
      <c r="O156" s="278"/>
      <c r="P156" s="278"/>
      <c r="Q156" s="279"/>
      <c r="R156" s="277"/>
      <c r="S156" s="278"/>
      <c r="T156" s="278"/>
      <c r="U156" s="279"/>
      <c r="V156" s="280"/>
      <c r="W156" s="280"/>
      <c r="HW156" s="73" t="e">
        <f>CONCATENATE(#REF!,H156)</f>
        <v>#REF!</v>
      </c>
    </row>
    <row r="157" spans="1:231" thickBot="1">
      <c r="A157" s="270"/>
      <c r="B157" s="271"/>
      <c r="C157" s="272"/>
      <c r="D157" s="273"/>
      <c r="E157" s="274"/>
      <c r="F157" s="274"/>
      <c r="G157" s="275"/>
      <c r="H157" s="305"/>
      <c r="I157" s="304"/>
      <c r="J157" s="277"/>
      <c r="K157" s="278"/>
      <c r="L157" s="278"/>
      <c r="M157" s="279"/>
      <c r="N157" s="277"/>
      <c r="O157" s="278"/>
      <c r="P157" s="278"/>
      <c r="Q157" s="279"/>
      <c r="R157" s="277"/>
      <c r="S157" s="278"/>
      <c r="T157" s="278"/>
      <c r="U157" s="279"/>
      <c r="V157" s="280"/>
      <c r="W157" s="280"/>
      <c r="HW157" s="73" t="e">
        <f>CONCATENATE(#REF!,H157)</f>
        <v>#REF!</v>
      </c>
    </row>
    <row r="158" spans="1:231" thickBot="1">
      <c r="A158" s="292"/>
      <c r="B158" s="282"/>
      <c r="C158" s="283"/>
      <c r="D158" s="284"/>
      <c r="E158" s="285"/>
      <c r="F158" s="285"/>
      <c r="G158" s="286"/>
      <c r="H158" s="306"/>
      <c r="I158" s="304"/>
      <c r="J158" s="288"/>
      <c r="K158" s="289"/>
      <c r="L158" s="289"/>
      <c r="M158" s="290"/>
      <c r="N158" s="288"/>
      <c r="O158" s="289"/>
      <c r="P158" s="289"/>
      <c r="Q158" s="290"/>
      <c r="R158" s="288"/>
      <c r="S158" s="289"/>
      <c r="T158" s="289"/>
      <c r="U158" s="290"/>
      <c r="V158" s="291"/>
      <c r="W158" s="291"/>
      <c r="HW158" s="73" t="e">
        <f>CONCATENATE(#REF!,H158)</f>
        <v>#REF!</v>
      </c>
    </row>
    <row r="159" spans="1:231" ht="18" thickTop="1" thickBot="1">
      <c r="A159" s="270"/>
      <c r="B159" s="293"/>
      <c r="C159" s="294"/>
      <c r="D159" s="295"/>
      <c r="E159" s="296"/>
      <c r="F159" s="296"/>
      <c r="G159" s="297"/>
      <c r="H159" s="303"/>
      <c r="I159" s="304"/>
      <c r="J159" s="299"/>
      <c r="K159" s="300"/>
      <c r="L159" s="300"/>
      <c r="M159" s="301"/>
      <c r="N159" s="299"/>
      <c r="O159" s="300"/>
      <c r="P159" s="300"/>
      <c r="Q159" s="301"/>
      <c r="R159" s="299"/>
      <c r="S159" s="300"/>
      <c r="T159" s="300"/>
      <c r="U159" s="301"/>
      <c r="V159" s="302"/>
      <c r="W159" s="302"/>
      <c r="HW159" s="73" t="e">
        <f>CONCATENATE(#REF!,H159)</f>
        <v>#REF!</v>
      </c>
    </row>
    <row r="160" spans="1:231" thickBot="1">
      <c r="A160" s="292"/>
      <c r="B160" s="271"/>
      <c r="C160" s="272"/>
      <c r="D160" s="273"/>
      <c r="E160" s="274"/>
      <c r="F160" s="274"/>
      <c r="G160" s="275"/>
      <c r="H160" s="305"/>
      <c r="I160" s="304"/>
      <c r="J160" s="277"/>
      <c r="K160" s="278"/>
      <c r="L160" s="278"/>
      <c r="M160" s="279"/>
      <c r="N160" s="277"/>
      <c r="O160" s="278"/>
      <c r="P160" s="278"/>
      <c r="Q160" s="279"/>
      <c r="R160" s="277"/>
      <c r="S160" s="278"/>
      <c r="T160" s="278"/>
      <c r="U160" s="279"/>
      <c r="V160" s="280"/>
      <c r="W160" s="280"/>
      <c r="HW160" s="73" t="e">
        <f>CONCATENATE(#REF!,H160)</f>
        <v>#REF!</v>
      </c>
    </row>
    <row r="161" spans="1:231" thickBot="1">
      <c r="A161" s="270"/>
      <c r="B161" s="271"/>
      <c r="C161" s="272"/>
      <c r="D161" s="273"/>
      <c r="E161" s="274"/>
      <c r="F161" s="274"/>
      <c r="G161" s="275"/>
      <c r="H161" s="305"/>
      <c r="I161" s="304"/>
      <c r="J161" s="277"/>
      <c r="K161" s="278"/>
      <c r="L161" s="278"/>
      <c r="M161" s="279"/>
      <c r="N161" s="277"/>
      <c r="O161" s="278"/>
      <c r="P161" s="278"/>
      <c r="Q161" s="279"/>
      <c r="R161" s="277"/>
      <c r="S161" s="278"/>
      <c r="T161" s="278"/>
      <c r="U161" s="279"/>
      <c r="V161" s="280"/>
      <c r="W161" s="280"/>
      <c r="HW161" s="73" t="e">
        <f>CONCATENATE(#REF!,H161)</f>
        <v>#REF!</v>
      </c>
    </row>
    <row r="162" spans="1:231" thickBot="1">
      <c r="A162" s="292"/>
      <c r="B162" s="271"/>
      <c r="C162" s="272"/>
      <c r="D162" s="273"/>
      <c r="E162" s="274"/>
      <c r="F162" s="274"/>
      <c r="G162" s="275"/>
      <c r="H162" s="305"/>
      <c r="I162" s="304"/>
      <c r="J162" s="277"/>
      <c r="K162" s="278"/>
      <c r="L162" s="278"/>
      <c r="M162" s="279"/>
      <c r="N162" s="277"/>
      <c r="O162" s="278"/>
      <c r="P162" s="278"/>
      <c r="Q162" s="279"/>
      <c r="R162" s="277"/>
      <c r="S162" s="278"/>
      <c r="T162" s="278"/>
      <c r="U162" s="279"/>
      <c r="V162" s="280"/>
      <c r="W162" s="280"/>
      <c r="HW162" s="73" t="e">
        <f>CONCATENATE(#REF!,H162)</f>
        <v>#REF!</v>
      </c>
    </row>
    <row r="163" spans="1:231" thickBot="1">
      <c r="A163" s="270"/>
      <c r="B163" s="282"/>
      <c r="C163" s="283"/>
      <c r="D163" s="284"/>
      <c r="E163" s="285"/>
      <c r="F163" s="285"/>
      <c r="G163" s="286"/>
      <c r="H163" s="306"/>
      <c r="I163" s="304"/>
      <c r="J163" s="288"/>
      <c r="K163" s="289"/>
      <c r="L163" s="289"/>
      <c r="M163" s="290"/>
      <c r="N163" s="288"/>
      <c r="O163" s="289"/>
      <c r="P163" s="289"/>
      <c r="Q163" s="290"/>
      <c r="R163" s="288"/>
      <c r="S163" s="289"/>
      <c r="T163" s="289"/>
      <c r="U163" s="290"/>
      <c r="V163" s="291"/>
      <c r="W163" s="291"/>
      <c r="HW163" s="73" t="e">
        <f>CONCATENATE(#REF!,H163)</f>
        <v>#REF!</v>
      </c>
    </row>
    <row r="164" spans="1:231" ht="18" thickTop="1" thickBot="1">
      <c r="A164" s="292"/>
      <c r="B164" s="293"/>
      <c r="C164" s="294"/>
      <c r="D164" s="295"/>
      <c r="E164" s="296"/>
      <c r="F164" s="296"/>
      <c r="G164" s="297"/>
      <c r="H164" s="303"/>
      <c r="I164" s="304"/>
      <c r="J164" s="299"/>
      <c r="K164" s="300"/>
      <c r="L164" s="300"/>
      <c r="M164" s="301"/>
      <c r="N164" s="299"/>
      <c r="O164" s="300"/>
      <c r="P164" s="300"/>
      <c r="Q164" s="301"/>
      <c r="R164" s="299"/>
      <c r="S164" s="300"/>
      <c r="T164" s="300"/>
      <c r="U164" s="301"/>
      <c r="V164" s="302"/>
      <c r="W164" s="302"/>
      <c r="HW164" s="73" t="e">
        <f>CONCATENATE(#REF!,H164)</f>
        <v>#REF!</v>
      </c>
    </row>
    <row r="165" spans="1:231" thickBot="1">
      <c r="A165" s="270"/>
      <c r="B165" s="271"/>
      <c r="C165" s="272"/>
      <c r="D165" s="273"/>
      <c r="E165" s="274"/>
      <c r="F165" s="274"/>
      <c r="G165" s="275"/>
      <c r="H165" s="305"/>
      <c r="I165" s="304"/>
      <c r="J165" s="277"/>
      <c r="K165" s="278"/>
      <c r="L165" s="278"/>
      <c r="M165" s="279"/>
      <c r="N165" s="277"/>
      <c r="O165" s="278"/>
      <c r="P165" s="278"/>
      <c r="Q165" s="279"/>
      <c r="R165" s="277"/>
      <c r="S165" s="278"/>
      <c r="T165" s="278"/>
      <c r="U165" s="279"/>
      <c r="V165" s="280"/>
      <c r="W165" s="280"/>
      <c r="HW165" s="73" t="e">
        <f>CONCATENATE(#REF!,H165)</f>
        <v>#REF!</v>
      </c>
    </row>
    <row r="166" spans="1:231" thickBot="1">
      <c r="A166" s="292"/>
      <c r="B166" s="271"/>
      <c r="C166" s="272"/>
      <c r="D166" s="273"/>
      <c r="E166" s="274"/>
      <c r="F166" s="274"/>
      <c r="G166" s="275"/>
      <c r="H166" s="305"/>
      <c r="I166" s="304"/>
      <c r="J166" s="277"/>
      <c r="K166" s="278"/>
      <c r="L166" s="278"/>
      <c r="M166" s="279"/>
      <c r="N166" s="277"/>
      <c r="O166" s="278"/>
      <c r="P166" s="278"/>
      <c r="Q166" s="279"/>
      <c r="R166" s="277"/>
      <c r="S166" s="278"/>
      <c r="T166" s="278"/>
      <c r="U166" s="279"/>
      <c r="V166" s="280"/>
      <c r="W166" s="280"/>
      <c r="HW166" s="73" t="e">
        <f>CONCATENATE(#REF!,H166)</f>
        <v>#REF!</v>
      </c>
    </row>
    <row r="167" spans="1:231" thickBot="1">
      <c r="A167" s="270"/>
      <c r="B167" s="271"/>
      <c r="C167" s="272"/>
      <c r="D167" s="273"/>
      <c r="E167" s="274"/>
      <c r="F167" s="274"/>
      <c r="G167" s="275"/>
      <c r="H167" s="305"/>
      <c r="I167" s="304"/>
      <c r="J167" s="277"/>
      <c r="K167" s="278"/>
      <c r="L167" s="278"/>
      <c r="M167" s="279"/>
      <c r="N167" s="277"/>
      <c r="O167" s="278"/>
      <c r="P167" s="278"/>
      <c r="Q167" s="279"/>
      <c r="R167" s="277"/>
      <c r="S167" s="278"/>
      <c r="T167" s="278"/>
      <c r="U167" s="279"/>
      <c r="V167" s="280"/>
      <c r="W167" s="280"/>
      <c r="HW167" s="73" t="e">
        <f>CONCATENATE(#REF!,H167)</f>
        <v>#REF!</v>
      </c>
    </row>
    <row r="168" spans="1:231" thickBot="1">
      <c r="A168" s="292"/>
      <c r="B168" s="282"/>
      <c r="C168" s="283"/>
      <c r="D168" s="284"/>
      <c r="E168" s="285"/>
      <c r="F168" s="285"/>
      <c r="G168" s="286"/>
      <c r="H168" s="306"/>
      <c r="I168" s="304"/>
      <c r="J168" s="288"/>
      <c r="K168" s="289"/>
      <c r="L168" s="289"/>
      <c r="M168" s="290"/>
      <c r="N168" s="288"/>
      <c r="O168" s="289"/>
      <c r="P168" s="289"/>
      <c r="Q168" s="290"/>
      <c r="R168" s="288"/>
      <c r="S168" s="289"/>
      <c r="T168" s="289"/>
      <c r="U168" s="290"/>
      <c r="V168" s="291"/>
      <c r="W168" s="291"/>
      <c r="HW168" s="73" t="e">
        <f>CONCATENATE(#REF!,H168)</f>
        <v>#REF!</v>
      </c>
    </row>
    <row r="169" spans="1:231" thickTop="1">
      <c r="A169" s="270"/>
      <c r="B169" s="293"/>
      <c r="C169" s="294"/>
      <c r="D169" s="295"/>
      <c r="E169" s="296"/>
      <c r="F169" s="296"/>
      <c r="G169" s="297"/>
      <c r="H169" s="303"/>
      <c r="I169" s="304"/>
      <c r="J169" s="299"/>
      <c r="K169" s="300"/>
      <c r="L169" s="300"/>
      <c r="M169" s="301"/>
      <c r="N169" s="299"/>
      <c r="O169" s="300"/>
      <c r="P169" s="300"/>
      <c r="Q169" s="301"/>
      <c r="R169" s="299"/>
      <c r="S169" s="300"/>
      <c r="T169" s="300"/>
      <c r="U169" s="301"/>
      <c r="V169" s="302"/>
      <c r="W169" s="302"/>
      <c r="HW169" s="73" t="e">
        <f>CONCATENATE(#REF!,H169)</f>
        <v>#REF!</v>
      </c>
    </row>
    <row r="170" spans="1:231" ht="16.8">
      <c r="A170" s="270"/>
      <c r="B170" s="271"/>
      <c r="C170" s="272"/>
      <c r="D170" s="273"/>
      <c r="E170" s="274"/>
      <c r="F170" s="274"/>
      <c r="G170" s="275"/>
      <c r="H170" s="308"/>
      <c r="I170" s="309"/>
      <c r="J170" s="277"/>
      <c r="K170" s="278"/>
      <c r="L170" s="278"/>
      <c r="M170" s="279"/>
      <c r="N170" s="277"/>
      <c r="O170" s="278"/>
      <c r="P170" s="278"/>
      <c r="Q170" s="279"/>
      <c r="R170" s="277"/>
      <c r="S170" s="278"/>
      <c r="T170" s="278"/>
      <c r="U170" s="279"/>
      <c r="V170" s="280"/>
      <c r="W170" s="280"/>
      <c r="HW170" s="73" t="e">
        <f>CONCATENATE(#REF!,H170)</f>
        <v>#REF!</v>
      </c>
    </row>
    <row r="171" spans="1:231" ht="16.8">
      <c r="A171" s="270"/>
      <c r="B171" s="271"/>
      <c r="C171" s="272"/>
      <c r="D171" s="273"/>
      <c r="E171" s="274"/>
      <c r="F171" s="274"/>
      <c r="G171" s="275"/>
      <c r="H171" s="308"/>
      <c r="I171" s="309"/>
      <c r="J171" s="277"/>
      <c r="K171" s="278"/>
      <c r="L171" s="278"/>
      <c r="M171" s="279"/>
      <c r="N171" s="277"/>
      <c r="O171" s="278"/>
      <c r="P171" s="278"/>
      <c r="Q171" s="279"/>
      <c r="R171" s="277"/>
      <c r="S171" s="278"/>
      <c r="T171" s="278"/>
      <c r="U171" s="279"/>
      <c r="V171" s="280"/>
      <c r="W171" s="280"/>
      <c r="HW171" s="73" t="e">
        <f>CONCATENATE(#REF!,H171)</f>
        <v>#REF!</v>
      </c>
    </row>
    <row r="172" spans="1:231" ht="16.8">
      <c r="A172" s="270"/>
      <c r="B172" s="271"/>
      <c r="C172" s="272"/>
      <c r="D172" s="273"/>
      <c r="E172" s="274"/>
      <c r="F172" s="274"/>
      <c r="G172" s="275"/>
      <c r="H172" s="308"/>
      <c r="I172" s="309"/>
      <c r="J172" s="277"/>
      <c r="K172" s="278"/>
      <c r="L172" s="278"/>
      <c r="M172" s="279"/>
      <c r="N172" s="277"/>
      <c r="O172" s="278"/>
      <c r="P172" s="278"/>
      <c r="Q172" s="279"/>
      <c r="R172" s="277"/>
      <c r="S172" s="278"/>
      <c r="T172" s="278"/>
      <c r="U172" s="279"/>
      <c r="V172" s="280"/>
      <c r="W172" s="280"/>
      <c r="HW172" s="73" t="e">
        <f>CONCATENATE(#REF!,H172)</f>
        <v>#REF!</v>
      </c>
    </row>
    <row r="173" spans="1:231" thickBot="1">
      <c r="A173" s="281"/>
      <c r="B173" s="282"/>
      <c r="C173" s="283"/>
      <c r="D173" s="284"/>
      <c r="E173" s="285"/>
      <c r="F173" s="285"/>
      <c r="G173" s="286"/>
      <c r="H173" s="310"/>
      <c r="I173" s="311"/>
      <c r="J173" s="288"/>
      <c r="K173" s="289"/>
      <c r="L173" s="289"/>
      <c r="M173" s="290"/>
      <c r="N173" s="288"/>
      <c r="O173" s="289"/>
      <c r="P173" s="289"/>
      <c r="Q173" s="290"/>
      <c r="R173" s="288"/>
      <c r="S173" s="289"/>
      <c r="T173" s="289"/>
      <c r="U173" s="290"/>
      <c r="V173" s="291"/>
      <c r="W173" s="291"/>
      <c r="HW173" s="73" t="e">
        <f>CONCATENATE(#REF!,H173)</f>
        <v>#REF!</v>
      </c>
    </row>
    <row r="174" spans="1:231" thickTop="1">
      <c r="A174" s="292"/>
      <c r="B174" s="293"/>
      <c r="C174" s="294"/>
      <c r="D174" s="295"/>
      <c r="E174" s="296"/>
      <c r="F174" s="296"/>
      <c r="G174" s="297"/>
      <c r="H174" s="303"/>
      <c r="I174" s="304"/>
      <c r="J174" s="299"/>
      <c r="K174" s="300"/>
      <c r="L174" s="300"/>
      <c r="M174" s="301"/>
      <c r="N174" s="299"/>
      <c r="O174" s="300"/>
      <c r="P174" s="300"/>
      <c r="Q174" s="301"/>
      <c r="R174" s="299"/>
      <c r="S174" s="300"/>
      <c r="T174" s="300"/>
      <c r="U174" s="301"/>
      <c r="V174" s="302"/>
      <c r="W174" s="302"/>
      <c r="HW174" s="73" t="e">
        <f>CONCATENATE(#REF!,H174)</f>
        <v>#REF!</v>
      </c>
    </row>
    <row r="175" spans="1:231" ht="16.8">
      <c r="A175" s="270"/>
      <c r="B175" s="271"/>
      <c r="C175" s="272"/>
      <c r="D175" s="273"/>
      <c r="E175" s="274"/>
      <c r="F175" s="274"/>
      <c r="G175" s="275"/>
      <c r="H175" s="308"/>
      <c r="I175" s="309"/>
      <c r="J175" s="277"/>
      <c r="K175" s="278"/>
      <c r="L175" s="278"/>
      <c r="M175" s="279"/>
      <c r="N175" s="277"/>
      <c r="O175" s="278"/>
      <c r="P175" s="278"/>
      <c r="Q175" s="279"/>
      <c r="R175" s="277"/>
      <c r="S175" s="278"/>
      <c r="T175" s="278"/>
      <c r="U175" s="279"/>
      <c r="V175" s="280"/>
      <c r="W175" s="280"/>
      <c r="HW175" s="73" t="e">
        <f>CONCATENATE(#REF!,H175)</f>
        <v>#REF!</v>
      </c>
    </row>
    <row r="176" spans="1:231" ht="16.8">
      <c r="A176" s="270"/>
      <c r="B176" s="271"/>
      <c r="C176" s="272"/>
      <c r="D176" s="273"/>
      <c r="E176" s="274"/>
      <c r="F176" s="274"/>
      <c r="G176" s="275"/>
      <c r="H176" s="308"/>
      <c r="I176" s="309"/>
      <c r="J176" s="277"/>
      <c r="K176" s="278"/>
      <c r="L176" s="278"/>
      <c r="M176" s="279"/>
      <c r="N176" s="277"/>
      <c r="O176" s="278"/>
      <c r="P176" s="278"/>
      <c r="Q176" s="279"/>
      <c r="R176" s="277"/>
      <c r="S176" s="278"/>
      <c r="T176" s="278"/>
      <c r="U176" s="279"/>
      <c r="V176" s="280"/>
      <c r="W176" s="280"/>
      <c r="HW176" s="73" t="e">
        <f>CONCATENATE(#REF!,H176)</f>
        <v>#REF!</v>
      </c>
    </row>
    <row r="177" spans="1:231" ht="16.8">
      <c r="A177" s="270"/>
      <c r="B177" s="271"/>
      <c r="C177" s="272"/>
      <c r="D177" s="273"/>
      <c r="E177" s="274"/>
      <c r="F177" s="274"/>
      <c r="G177" s="275"/>
      <c r="H177" s="308"/>
      <c r="I177" s="309"/>
      <c r="J177" s="277"/>
      <c r="K177" s="278"/>
      <c r="L177" s="278"/>
      <c r="M177" s="279"/>
      <c r="N177" s="277"/>
      <c r="O177" s="278"/>
      <c r="P177" s="278"/>
      <c r="Q177" s="279"/>
      <c r="R177" s="277"/>
      <c r="S177" s="278"/>
      <c r="T177" s="278"/>
      <c r="U177" s="279"/>
      <c r="V177" s="280"/>
      <c r="W177" s="280"/>
      <c r="HW177" s="73" t="e">
        <f>CONCATENATE(#REF!,H177)</f>
        <v>#REF!</v>
      </c>
    </row>
    <row r="178" spans="1:231" thickBot="1">
      <c r="A178" s="281"/>
      <c r="B178" s="282"/>
      <c r="C178" s="283"/>
      <c r="D178" s="284"/>
      <c r="E178" s="285"/>
      <c r="F178" s="285"/>
      <c r="G178" s="286"/>
      <c r="H178" s="310"/>
      <c r="I178" s="311"/>
      <c r="J178" s="288"/>
      <c r="K178" s="289"/>
      <c r="L178" s="289"/>
      <c r="M178" s="290"/>
      <c r="N178" s="288"/>
      <c r="O178" s="289"/>
      <c r="P178" s="289"/>
      <c r="Q178" s="290"/>
      <c r="R178" s="288"/>
      <c r="S178" s="289"/>
      <c r="T178" s="289"/>
      <c r="U178" s="290"/>
      <c r="V178" s="291"/>
      <c r="W178" s="291"/>
      <c r="HW178" s="73" t="e">
        <f>CONCATENATE(#REF!,H178)</f>
        <v>#REF!</v>
      </c>
    </row>
    <row r="179" spans="1:231" thickTop="1">
      <c r="A179" s="292"/>
      <c r="B179" s="293"/>
      <c r="C179" s="294"/>
      <c r="D179" s="295"/>
      <c r="E179" s="296"/>
      <c r="F179" s="296"/>
      <c r="G179" s="297"/>
      <c r="H179" s="303"/>
      <c r="I179" s="304"/>
      <c r="J179" s="299"/>
      <c r="K179" s="300"/>
      <c r="L179" s="300"/>
      <c r="M179" s="301"/>
      <c r="N179" s="299"/>
      <c r="O179" s="300"/>
      <c r="P179" s="300"/>
      <c r="Q179" s="301"/>
      <c r="R179" s="299"/>
      <c r="S179" s="300"/>
      <c r="T179" s="300"/>
      <c r="U179" s="301"/>
      <c r="V179" s="302"/>
      <c r="W179" s="302"/>
      <c r="HW179" s="73" t="e">
        <f>CONCATENATE(#REF!,H179)</f>
        <v>#REF!</v>
      </c>
    </row>
    <row r="180" spans="1:231" ht="16.8">
      <c r="A180" s="270"/>
      <c r="B180" s="271"/>
      <c r="C180" s="272"/>
      <c r="D180" s="273"/>
      <c r="E180" s="274"/>
      <c r="F180" s="274"/>
      <c r="G180" s="275"/>
      <c r="H180" s="308"/>
      <c r="I180" s="309"/>
      <c r="J180" s="277"/>
      <c r="K180" s="278"/>
      <c r="L180" s="278"/>
      <c r="M180" s="279"/>
      <c r="N180" s="277"/>
      <c r="O180" s="278"/>
      <c r="P180" s="278"/>
      <c r="Q180" s="279"/>
      <c r="R180" s="277"/>
      <c r="S180" s="278"/>
      <c r="T180" s="278"/>
      <c r="U180" s="279"/>
      <c r="V180" s="280"/>
      <c r="W180" s="280"/>
      <c r="HW180" s="73" t="e">
        <f>CONCATENATE(#REF!,H180)</f>
        <v>#REF!</v>
      </c>
    </row>
    <row r="181" spans="1:231" ht="16.8">
      <c r="A181" s="270"/>
      <c r="B181" s="271"/>
      <c r="C181" s="272"/>
      <c r="D181" s="273"/>
      <c r="E181" s="274"/>
      <c r="F181" s="274"/>
      <c r="G181" s="275"/>
      <c r="H181" s="308"/>
      <c r="I181" s="309"/>
      <c r="J181" s="277"/>
      <c r="K181" s="278"/>
      <c r="L181" s="278"/>
      <c r="M181" s="279"/>
      <c r="N181" s="277"/>
      <c r="O181" s="278"/>
      <c r="P181" s="278"/>
      <c r="Q181" s="279"/>
      <c r="R181" s="277"/>
      <c r="S181" s="278"/>
      <c r="T181" s="278"/>
      <c r="U181" s="279"/>
      <c r="V181" s="280"/>
      <c r="W181" s="280"/>
      <c r="HW181" s="73" t="e">
        <f>CONCATENATE(#REF!,H181)</f>
        <v>#REF!</v>
      </c>
    </row>
    <row r="182" spans="1:231" ht="16.8">
      <c r="A182" s="270"/>
      <c r="B182" s="271"/>
      <c r="C182" s="272"/>
      <c r="D182" s="273"/>
      <c r="E182" s="274"/>
      <c r="F182" s="274"/>
      <c r="G182" s="275"/>
      <c r="H182" s="308"/>
      <c r="I182" s="309"/>
      <c r="J182" s="277"/>
      <c r="K182" s="278"/>
      <c r="L182" s="278"/>
      <c r="M182" s="279"/>
      <c r="N182" s="277"/>
      <c r="O182" s="278"/>
      <c r="P182" s="278"/>
      <c r="Q182" s="279"/>
      <c r="R182" s="277"/>
      <c r="S182" s="278"/>
      <c r="T182" s="278"/>
      <c r="U182" s="279"/>
      <c r="V182" s="280"/>
      <c r="W182" s="280"/>
      <c r="HW182" s="73" t="e">
        <f>CONCATENATE(#REF!,H182)</f>
        <v>#REF!</v>
      </c>
    </row>
    <row r="183" spans="1:231" thickBot="1">
      <c r="A183" s="281"/>
      <c r="B183" s="282"/>
      <c r="C183" s="283"/>
      <c r="D183" s="284"/>
      <c r="E183" s="285"/>
      <c r="F183" s="285"/>
      <c r="G183" s="286"/>
      <c r="H183" s="310"/>
      <c r="I183" s="311"/>
      <c r="J183" s="288"/>
      <c r="K183" s="289"/>
      <c r="L183" s="289"/>
      <c r="M183" s="290"/>
      <c r="N183" s="288"/>
      <c r="O183" s="289"/>
      <c r="P183" s="289"/>
      <c r="Q183" s="290"/>
      <c r="R183" s="288"/>
      <c r="S183" s="289"/>
      <c r="T183" s="289"/>
      <c r="U183" s="290"/>
      <c r="V183" s="291"/>
      <c r="W183" s="291"/>
      <c r="HW183" s="73" t="e">
        <f>CONCATENATE(#REF!,H183)</f>
        <v>#REF!</v>
      </c>
    </row>
    <row r="184" spans="1:231" thickTop="1">
      <c r="A184" s="292"/>
      <c r="B184" s="293"/>
      <c r="C184" s="294"/>
      <c r="D184" s="295"/>
      <c r="E184" s="296"/>
      <c r="F184" s="296"/>
      <c r="G184" s="297"/>
      <c r="H184" s="303"/>
      <c r="I184" s="304"/>
      <c r="J184" s="299"/>
      <c r="K184" s="300"/>
      <c r="L184" s="300"/>
      <c r="M184" s="301"/>
      <c r="N184" s="299"/>
      <c r="O184" s="300"/>
      <c r="P184" s="300"/>
      <c r="Q184" s="301"/>
      <c r="R184" s="299"/>
      <c r="S184" s="300"/>
      <c r="T184" s="300"/>
      <c r="U184" s="301"/>
      <c r="V184" s="302"/>
      <c r="W184" s="302"/>
      <c r="HW184" s="73" t="e">
        <f>CONCATENATE(#REF!,H184)</f>
        <v>#REF!</v>
      </c>
    </row>
    <row r="185" spans="1:231" ht="16.8">
      <c r="A185" s="270"/>
      <c r="B185" s="271"/>
      <c r="C185" s="272"/>
      <c r="D185" s="273"/>
      <c r="E185" s="274"/>
      <c r="F185" s="274"/>
      <c r="G185" s="275"/>
      <c r="H185" s="308"/>
      <c r="I185" s="309"/>
      <c r="J185" s="277"/>
      <c r="K185" s="278"/>
      <c r="L185" s="278"/>
      <c r="M185" s="279"/>
      <c r="N185" s="277"/>
      <c r="O185" s="278"/>
      <c r="P185" s="278"/>
      <c r="Q185" s="279"/>
      <c r="R185" s="277"/>
      <c r="S185" s="278"/>
      <c r="T185" s="278"/>
      <c r="U185" s="279"/>
      <c r="V185" s="280"/>
      <c r="W185" s="280"/>
      <c r="HW185" s="73" t="e">
        <f>CONCATENATE(#REF!,H185)</f>
        <v>#REF!</v>
      </c>
    </row>
    <row r="186" spans="1:231" ht="16.8">
      <c r="A186" s="270"/>
      <c r="B186" s="271"/>
      <c r="C186" s="272"/>
      <c r="D186" s="273"/>
      <c r="E186" s="274"/>
      <c r="F186" s="274"/>
      <c r="G186" s="275"/>
      <c r="H186" s="308"/>
      <c r="I186" s="309"/>
      <c r="J186" s="277"/>
      <c r="K186" s="278"/>
      <c r="L186" s="278"/>
      <c r="M186" s="279"/>
      <c r="N186" s="277"/>
      <c r="O186" s="278"/>
      <c r="P186" s="278"/>
      <c r="Q186" s="279"/>
      <c r="R186" s="277"/>
      <c r="S186" s="278"/>
      <c r="T186" s="278"/>
      <c r="U186" s="279"/>
      <c r="V186" s="280"/>
      <c r="W186" s="280"/>
      <c r="HW186" s="73" t="e">
        <f>CONCATENATE(#REF!,H186)</f>
        <v>#REF!</v>
      </c>
    </row>
    <row r="187" spans="1:231" ht="16.8">
      <c r="A187" s="270"/>
      <c r="B187" s="271"/>
      <c r="C187" s="272"/>
      <c r="D187" s="273"/>
      <c r="E187" s="274"/>
      <c r="F187" s="274"/>
      <c r="G187" s="275"/>
      <c r="H187" s="308"/>
      <c r="I187" s="309"/>
      <c r="J187" s="277"/>
      <c r="K187" s="278"/>
      <c r="L187" s="278"/>
      <c r="M187" s="279"/>
      <c r="N187" s="277"/>
      <c r="O187" s="278"/>
      <c r="P187" s="278"/>
      <c r="Q187" s="279"/>
      <c r="R187" s="277"/>
      <c r="S187" s="278"/>
      <c r="T187" s="278"/>
      <c r="U187" s="279"/>
      <c r="V187" s="280"/>
      <c r="W187" s="280"/>
      <c r="HW187" s="73" t="e">
        <f>CONCATENATE(#REF!,H187)</f>
        <v>#REF!</v>
      </c>
    </row>
    <row r="188" spans="1:231" thickBot="1">
      <c r="A188" s="281"/>
      <c r="B188" s="282"/>
      <c r="C188" s="283"/>
      <c r="D188" s="284"/>
      <c r="E188" s="285"/>
      <c r="F188" s="285"/>
      <c r="G188" s="286"/>
      <c r="H188" s="310"/>
      <c r="I188" s="311"/>
      <c r="J188" s="288"/>
      <c r="K188" s="289"/>
      <c r="L188" s="289"/>
      <c r="M188" s="290"/>
      <c r="N188" s="288"/>
      <c r="O188" s="289"/>
      <c r="P188" s="289"/>
      <c r="Q188" s="290"/>
      <c r="R188" s="288"/>
      <c r="S188" s="289"/>
      <c r="T188" s="289"/>
      <c r="U188" s="290"/>
      <c r="V188" s="291"/>
      <c r="W188" s="291"/>
      <c r="HW188" s="73" t="e">
        <f>CONCATENATE(#REF!,H188)</f>
        <v>#REF!</v>
      </c>
    </row>
    <row r="189" spans="1:231" thickTop="1">
      <c r="A189" s="292"/>
      <c r="B189" s="293"/>
      <c r="C189" s="294"/>
      <c r="D189" s="295"/>
      <c r="E189" s="296"/>
      <c r="F189" s="296"/>
      <c r="G189" s="297"/>
      <c r="H189" s="303"/>
      <c r="I189" s="304"/>
      <c r="J189" s="299"/>
      <c r="K189" s="300"/>
      <c r="L189" s="300"/>
      <c r="M189" s="301"/>
      <c r="N189" s="299"/>
      <c r="O189" s="300"/>
      <c r="P189" s="300"/>
      <c r="Q189" s="301"/>
      <c r="R189" s="299"/>
      <c r="S189" s="300"/>
      <c r="T189" s="300"/>
      <c r="U189" s="301"/>
      <c r="V189" s="302"/>
      <c r="W189" s="302"/>
      <c r="HW189" s="73" t="e">
        <f>CONCATENATE(#REF!,H189)</f>
        <v>#REF!</v>
      </c>
    </row>
    <row r="190" spans="1:231" ht="16.8">
      <c r="A190" s="270"/>
      <c r="B190" s="271"/>
      <c r="C190" s="272"/>
      <c r="D190" s="273"/>
      <c r="E190" s="274"/>
      <c r="F190" s="274"/>
      <c r="G190" s="275"/>
      <c r="H190" s="308"/>
      <c r="I190" s="309"/>
      <c r="J190" s="277"/>
      <c r="K190" s="278"/>
      <c r="L190" s="278"/>
      <c r="M190" s="279"/>
      <c r="N190" s="277"/>
      <c r="O190" s="278"/>
      <c r="P190" s="278"/>
      <c r="Q190" s="279"/>
      <c r="R190" s="277"/>
      <c r="S190" s="278"/>
      <c r="T190" s="278"/>
      <c r="U190" s="279"/>
      <c r="V190" s="280"/>
      <c r="W190" s="280"/>
      <c r="HW190" s="73" t="e">
        <f>CONCATENATE(#REF!,H190)</f>
        <v>#REF!</v>
      </c>
    </row>
    <row r="191" spans="1:231" ht="16.8">
      <c r="A191" s="270"/>
      <c r="B191" s="271"/>
      <c r="C191" s="272"/>
      <c r="D191" s="273"/>
      <c r="E191" s="274"/>
      <c r="F191" s="274"/>
      <c r="G191" s="275"/>
      <c r="H191" s="308"/>
      <c r="I191" s="309"/>
      <c r="J191" s="277"/>
      <c r="K191" s="278"/>
      <c r="L191" s="278"/>
      <c r="M191" s="279"/>
      <c r="N191" s="277"/>
      <c r="O191" s="278"/>
      <c r="P191" s="278"/>
      <c r="Q191" s="279"/>
      <c r="R191" s="277"/>
      <c r="S191" s="278"/>
      <c r="T191" s="278"/>
      <c r="U191" s="279"/>
      <c r="V191" s="280"/>
      <c r="W191" s="280"/>
      <c r="HW191" s="73" t="e">
        <f>CONCATENATE(#REF!,H191)</f>
        <v>#REF!</v>
      </c>
    </row>
    <row r="192" spans="1:231" ht="16.8">
      <c r="A192" s="270"/>
      <c r="B192" s="271"/>
      <c r="C192" s="272"/>
      <c r="D192" s="273"/>
      <c r="E192" s="274"/>
      <c r="F192" s="274"/>
      <c r="G192" s="275"/>
      <c r="H192" s="308"/>
      <c r="I192" s="309"/>
      <c r="J192" s="277"/>
      <c r="K192" s="278"/>
      <c r="L192" s="278"/>
      <c r="M192" s="279"/>
      <c r="N192" s="277"/>
      <c r="O192" s="278"/>
      <c r="P192" s="278"/>
      <c r="Q192" s="279"/>
      <c r="R192" s="277"/>
      <c r="S192" s="278"/>
      <c r="T192" s="278"/>
      <c r="U192" s="279"/>
      <c r="V192" s="280"/>
      <c r="W192" s="280"/>
      <c r="HW192" s="73" t="e">
        <f>CONCATENATE(#REF!,H192)</f>
        <v>#REF!</v>
      </c>
    </row>
    <row r="193" spans="1:231" thickBot="1">
      <c r="A193" s="281"/>
      <c r="B193" s="282"/>
      <c r="C193" s="283"/>
      <c r="D193" s="284"/>
      <c r="E193" s="285"/>
      <c r="F193" s="285"/>
      <c r="G193" s="286"/>
      <c r="H193" s="310"/>
      <c r="I193" s="311"/>
      <c r="J193" s="288"/>
      <c r="K193" s="289"/>
      <c r="L193" s="289"/>
      <c r="M193" s="290"/>
      <c r="N193" s="288"/>
      <c r="O193" s="289"/>
      <c r="P193" s="289"/>
      <c r="Q193" s="290"/>
      <c r="R193" s="288"/>
      <c r="S193" s="289"/>
      <c r="T193" s="289"/>
      <c r="U193" s="290"/>
      <c r="V193" s="291"/>
      <c r="W193" s="291"/>
      <c r="HW193" s="73" t="e">
        <f>CONCATENATE(#REF!,H193)</f>
        <v>#REF!</v>
      </c>
    </row>
    <row r="194" spans="1:231" thickTop="1">
      <c r="A194" s="292"/>
      <c r="B194" s="293"/>
      <c r="C194" s="294"/>
      <c r="D194" s="295"/>
      <c r="E194" s="296"/>
      <c r="F194" s="296"/>
      <c r="G194" s="297"/>
      <c r="H194" s="303"/>
      <c r="I194" s="304"/>
      <c r="J194" s="299"/>
      <c r="K194" s="300"/>
      <c r="L194" s="300"/>
      <c r="M194" s="301"/>
      <c r="N194" s="299"/>
      <c r="O194" s="300"/>
      <c r="P194" s="300"/>
      <c r="Q194" s="301"/>
      <c r="R194" s="299"/>
      <c r="S194" s="300"/>
      <c r="T194" s="300"/>
      <c r="U194" s="301"/>
      <c r="V194" s="302"/>
      <c r="W194" s="302"/>
      <c r="HW194" s="73" t="e">
        <f>CONCATENATE(#REF!,H194)</f>
        <v>#REF!</v>
      </c>
    </row>
    <row r="195" spans="1:231" ht="16.8">
      <c r="A195" s="270"/>
      <c r="B195" s="271"/>
      <c r="C195" s="272"/>
      <c r="D195" s="273"/>
      <c r="E195" s="274"/>
      <c r="F195" s="274"/>
      <c r="G195" s="275"/>
      <c r="H195" s="308"/>
      <c r="I195" s="309"/>
      <c r="J195" s="277"/>
      <c r="K195" s="278"/>
      <c r="L195" s="278"/>
      <c r="M195" s="279"/>
      <c r="N195" s="277"/>
      <c r="O195" s="278"/>
      <c r="P195" s="278"/>
      <c r="Q195" s="279"/>
      <c r="R195" s="277"/>
      <c r="S195" s="278"/>
      <c r="T195" s="278"/>
      <c r="U195" s="279"/>
      <c r="V195" s="280"/>
      <c r="W195" s="280"/>
      <c r="HW195" s="73" t="e">
        <f>CONCATENATE(#REF!,H195)</f>
        <v>#REF!</v>
      </c>
    </row>
    <row r="196" spans="1:231" ht="16.8">
      <c r="A196" s="270"/>
      <c r="B196" s="271"/>
      <c r="C196" s="272"/>
      <c r="D196" s="273"/>
      <c r="E196" s="274"/>
      <c r="F196" s="274"/>
      <c r="G196" s="275"/>
      <c r="H196" s="308"/>
      <c r="I196" s="309"/>
      <c r="J196" s="277"/>
      <c r="K196" s="278"/>
      <c r="L196" s="278"/>
      <c r="M196" s="279"/>
      <c r="N196" s="277"/>
      <c r="O196" s="278"/>
      <c r="P196" s="278"/>
      <c r="Q196" s="279"/>
      <c r="R196" s="277"/>
      <c r="S196" s="278"/>
      <c r="T196" s="278"/>
      <c r="U196" s="279"/>
      <c r="V196" s="280"/>
      <c r="W196" s="280"/>
      <c r="HW196" s="73" t="e">
        <f>CONCATENATE(#REF!,H196)</f>
        <v>#REF!</v>
      </c>
    </row>
    <row r="197" spans="1:231" ht="16.8">
      <c r="A197" s="270"/>
      <c r="B197" s="271"/>
      <c r="C197" s="272"/>
      <c r="D197" s="273"/>
      <c r="E197" s="274"/>
      <c r="F197" s="274"/>
      <c r="G197" s="275"/>
      <c r="H197" s="308"/>
      <c r="I197" s="309"/>
      <c r="J197" s="277"/>
      <c r="K197" s="278"/>
      <c r="L197" s="278"/>
      <c r="M197" s="279"/>
      <c r="N197" s="277"/>
      <c r="O197" s="278"/>
      <c r="P197" s="278"/>
      <c r="Q197" s="279"/>
      <c r="R197" s="277"/>
      <c r="S197" s="278"/>
      <c r="T197" s="278"/>
      <c r="U197" s="279"/>
      <c r="V197" s="280"/>
      <c r="W197" s="280"/>
      <c r="HW197" s="73" t="e">
        <f>CONCATENATE(#REF!,H197)</f>
        <v>#REF!</v>
      </c>
    </row>
    <row r="198" spans="1:231" thickBot="1">
      <c r="A198" s="281"/>
      <c r="B198" s="282"/>
      <c r="C198" s="283"/>
      <c r="D198" s="284"/>
      <c r="E198" s="285"/>
      <c r="F198" s="285"/>
      <c r="G198" s="286"/>
      <c r="H198" s="310"/>
      <c r="I198" s="311"/>
      <c r="J198" s="288"/>
      <c r="K198" s="289"/>
      <c r="L198" s="289"/>
      <c r="M198" s="290"/>
      <c r="N198" s="288"/>
      <c r="O198" s="289"/>
      <c r="P198" s="289"/>
      <c r="Q198" s="290"/>
      <c r="R198" s="288"/>
      <c r="S198" s="289"/>
      <c r="T198" s="289"/>
      <c r="U198" s="290"/>
      <c r="V198" s="291"/>
      <c r="W198" s="291"/>
      <c r="HW198" s="73" t="e">
        <f>CONCATENATE(#REF!,H198)</f>
        <v>#REF!</v>
      </c>
    </row>
    <row r="199" spans="1:231" thickTop="1">
      <c r="A199" s="292"/>
      <c r="B199" s="293"/>
      <c r="C199" s="294"/>
      <c r="D199" s="295"/>
      <c r="E199" s="296"/>
      <c r="F199" s="296"/>
      <c r="G199" s="297"/>
      <c r="H199" s="303"/>
      <c r="I199" s="304"/>
      <c r="J199" s="299"/>
      <c r="K199" s="300"/>
      <c r="L199" s="300"/>
      <c r="M199" s="301"/>
      <c r="N199" s="299"/>
      <c r="O199" s="300"/>
      <c r="P199" s="300"/>
      <c r="Q199" s="301"/>
      <c r="R199" s="299"/>
      <c r="S199" s="300"/>
      <c r="T199" s="300"/>
      <c r="U199" s="301"/>
      <c r="V199" s="302"/>
      <c r="W199" s="302"/>
      <c r="HW199" s="73" t="e">
        <f>CONCATENATE(#REF!,H199)</f>
        <v>#REF!</v>
      </c>
    </row>
    <row r="200" spans="1:231" ht="16.8">
      <c r="A200" s="270"/>
      <c r="B200" s="271"/>
      <c r="C200" s="272"/>
      <c r="D200" s="273"/>
      <c r="E200" s="274"/>
      <c r="F200" s="274"/>
      <c r="G200" s="275"/>
      <c r="H200" s="308"/>
      <c r="I200" s="309"/>
      <c r="J200" s="277"/>
      <c r="K200" s="278"/>
      <c r="L200" s="278"/>
      <c r="M200" s="279"/>
      <c r="N200" s="277"/>
      <c r="O200" s="278"/>
      <c r="P200" s="278"/>
      <c r="Q200" s="279"/>
      <c r="R200" s="277"/>
      <c r="S200" s="278"/>
      <c r="T200" s="278"/>
      <c r="U200" s="279"/>
      <c r="V200" s="280"/>
      <c r="W200" s="280"/>
      <c r="HW200" s="73" t="e">
        <f>CONCATENATE(#REF!,H200)</f>
        <v>#REF!</v>
      </c>
    </row>
    <row r="201" spans="1:231" ht="16.8">
      <c r="A201" s="270"/>
      <c r="B201" s="271"/>
      <c r="C201" s="272"/>
      <c r="D201" s="273"/>
      <c r="E201" s="274"/>
      <c r="F201" s="274"/>
      <c r="G201" s="275"/>
      <c r="H201" s="308"/>
      <c r="I201" s="309"/>
      <c r="J201" s="277"/>
      <c r="K201" s="278"/>
      <c r="L201" s="278"/>
      <c r="M201" s="279"/>
      <c r="N201" s="277"/>
      <c r="O201" s="278"/>
      <c r="P201" s="278"/>
      <c r="Q201" s="279"/>
      <c r="R201" s="277"/>
      <c r="S201" s="278"/>
      <c r="T201" s="278"/>
      <c r="U201" s="279"/>
      <c r="V201" s="280"/>
      <c r="W201" s="280"/>
      <c r="HW201" s="73" t="e">
        <f>CONCATENATE(#REF!,H201)</f>
        <v>#REF!</v>
      </c>
    </row>
    <row r="202" spans="1:231" ht="16.8">
      <c r="A202" s="270"/>
      <c r="B202" s="271"/>
      <c r="C202" s="272"/>
      <c r="D202" s="273"/>
      <c r="E202" s="274"/>
      <c r="F202" s="274"/>
      <c r="G202" s="275"/>
      <c r="H202" s="308"/>
      <c r="I202" s="309"/>
      <c r="J202" s="277"/>
      <c r="K202" s="278"/>
      <c r="L202" s="278"/>
      <c r="M202" s="279"/>
      <c r="N202" s="277"/>
      <c r="O202" s="278"/>
      <c r="P202" s="278"/>
      <c r="Q202" s="279"/>
      <c r="R202" s="277"/>
      <c r="S202" s="278"/>
      <c r="T202" s="278"/>
      <c r="U202" s="279"/>
      <c r="V202" s="280"/>
      <c r="W202" s="280"/>
      <c r="HW202" s="73" t="e">
        <f>CONCATENATE(#REF!,H202)</f>
        <v>#REF!</v>
      </c>
    </row>
    <row r="203" spans="1:231" thickBot="1">
      <c r="A203" s="281"/>
      <c r="B203" s="282"/>
      <c r="C203" s="283"/>
      <c r="D203" s="284"/>
      <c r="E203" s="285"/>
      <c r="F203" s="285"/>
      <c r="G203" s="286"/>
      <c r="H203" s="310"/>
      <c r="I203" s="311"/>
      <c r="J203" s="288"/>
      <c r="K203" s="289"/>
      <c r="L203" s="289"/>
      <c r="M203" s="290"/>
      <c r="N203" s="288"/>
      <c r="O203" s="289"/>
      <c r="P203" s="289"/>
      <c r="Q203" s="290"/>
      <c r="R203" s="288"/>
      <c r="S203" s="289"/>
      <c r="T203" s="289"/>
      <c r="U203" s="290"/>
      <c r="V203" s="291"/>
      <c r="W203" s="291"/>
      <c r="HW203" s="73" t="e">
        <f>CONCATENATE(#REF!,H203)</f>
        <v>#REF!</v>
      </c>
    </row>
    <row r="204" spans="1:231" thickTop="1">
      <c r="A204" s="292"/>
      <c r="B204" s="293"/>
      <c r="C204" s="294"/>
      <c r="D204" s="295"/>
      <c r="E204" s="296"/>
      <c r="F204" s="296"/>
      <c r="G204" s="297"/>
      <c r="H204" s="303"/>
      <c r="I204" s="304"/>
      <c r="J204" s="299"/>
      <c r="K204" s="300"/>
      <c r="L204" s="300"/>
      <c r="M204" s="301"/>
      <c r="N204" s="299"/>
      <c r="O204" s="300"/>
      <c r="P204" s="300"/>
      <c r="Q204" s="301"/>
      <c r="R204" s="299"/>
      <c r="S204" s="300"/>
      <c r="T204" s="300"/>
      <c r="U204" s="301"/>
      <c r="V204" s="302"/>
      <c r="W204" s="302"/>
      <c r="HW204" s="73" t="e">
        <f>CONCATENATE(#REF!,H204)</f>
        <v>#REF!</v>
      </c>
    </row>
    <row r="205" spans="1:231" ht="16.8">
      <c r="A205" s="270"/>
      <c r="B205" s="271"/>
      <c r="C205" s="272"/>
      <c r="D205" s="273"/>
      <c r="E205" s="274"/>
      <c r="F205" s="274"/>
      <c r="G205" s="275"/>
      <c r="H205" s="308"/>
      <c r="I205" s="309"/>
      <c r="J205" s="277"/>
      <c r="K205" s="278"/>
      <c r="L205" s="278"/>
      <c r="M205" s="279"/>
      <c r="N205" s="277"/>
      <c r="O205" s="278"/>
      <c r="P205" s="278"/>
      <c r="Q205" s="279"/>
      <c r="R205" s="277"/>
      <c r="S205" s="278"/>
      <c r="T205" s="278"/>
      <c r="U205" s="279"/>
      <c r="V205" s="280"/>
      <c r="W205" s="280"/>
      <c r="HW205" s="73" t="e">
        <f>CONCATENATE(#REF!,H205)</f>
        <v>#REF!</v>
      </c>
    </row>
    <row r="206" spans="1:231" ht="16.8">
      <c r="A206" s="270"/>
      <c r="B206" s="271"/>
      <c r="C206" s="272"/>
      <c r="D206" s="273"/>
      <c r="E206" s="274"/>
      <c r="F206" s="274"/>
      <c r="G206" s="275"/>
      <c r="H206" s="308"/>
      <c r="I206" s="309"/>
      <c r="J206" s="277"/>
      <c r="K206" s="278"/>
      <c r="L206" s="278"/>
      <c r="M206" s="279"/>
      <c r="N206" s="277"/>
      <c r="O206" s="278"/>
      <c r="P206" s="278"/>
      <c r="Q206" s="279"/>
      <c r="R206" s="277"/>
      <c r="S206" s="278"/>
      <c r="T206" s="278"/>
      <c r="U206" s="279"/>
      <c r="V206" s="280"/>
      <c r="W206" s="280"/>
      <c r="HW206" s="73" t="e">
        <f>CONCATENATE(#REF!,H206)</f>
        <v>#REF!</v>
      </c>
    </row>
    <row r="207" spans="1:231" ht="16.8">
      <c r="A207" s="270"/>
      <c r="B207" s="271"/>
      <c r="C207" s="272"/>
      <c r="D207" s="273"/>
      <c r="E207" s="274"/>
      <c r="F207" s="274"/>
      <c r="G207" s="275"/>
      <c r="H207" s="308"/>
      <c r="I207" s="309"/>
      <c r="J207" s="277"/>
      <c r="K207" s="278"/>
      <c r="L207" s="278"/>
      <c r="M207" s="279"/>
      <c r="N207" s="277"/>
      <c r="O207" s="278"/>
      <c r="P207" s="278"/>
      <c r="Q207" s="279"/>
      <c r="R207" s="277"/>
      <c r="S207" s="278"/>
      <c r="T207" s="278"/>
      <c r="U207" s="279"/>
      <c r="V207" s="280"/>
      <c r="W207" s="280"/>
      <c r="HW207" s="73" t="e">
        <f>CONCATENATE(#REF!,H207)</f>
        <v>#REF!</v>
      </c>
    </row>
    <row r="208" spans="1:231" thickBot="1">
      <c r="A208" s="281"/>
      <c r="B208" s="282"/>
      <c r="C208" s="283"/>
      <c r="D208" s="284"/>
      <c r="E208" s="285"/>
      <c r="F208" s="285"/>
      <c r="G208" s="286"/>
      <c r="H208" s="310"/>
      <c r="I208" s="311"/>
      <c r="J208" s="288"/>
      <c r="K208" s="289"/>
      <c r="L208" s="289"/>
      <c r="M208" s="290"/>
      <c r="N208" s="288"/>
      <c r="O208" s="289"/>
      <c r="P208" s="289"/>
      <c r="Q208" s="290"/>
      <c r="R208" s="288"/>
      <c r="S208" s="289"/>
      <c r="T208" s="289"/>
      <c r="U208" s="290"/>
      <c r="V208" s="291"/>
      <c r="W208" s="291"/>
      <c r="HW208" s="73" t="e">
        <f>CONCATENATE(#REF!,H208)</f>
        <v>#REF!</v>
      </c>
    </row>
    <row r="209" spans="1:231" thickTop="1">
      <c r="A209" s="292"/>
      <c r="B209" s="293"/>
      <c r="C209" s="294"/>
      <c r="D209" s="295"/>
      <c r="E209" s="296"/>
      <c r="F209" s="296"/>
      <c r="G209" s="297"/>
      <c r="H209" s="303"/>
      <c r="I209" s="304"/>
      <c r="J209" s="299"/>
      <c r="K209" s="300"/>
      <c r="L209" s="300"/>
      <c r="M209" s="301"/>
      <c r="N209" s="299"/>
      <c r="O209" s="300"/>
      <c r="P209" s="300"/>
      <c r="Q209" s="301"/>
      <c r="R209" s="299"/>
      <c r="S209" s="300"/>
      <c r="T209" s="300"/>
      <c r="U209" s="301"/>
      <c r="V209" s="302"/>
      <c r="W209" s="302"/>
      <c r="HW209" s="73" t="e">
        <f>CONCATENATE(#REF!,H209)</f>
        <v>#REF!</v>
      </c>
    </row>
    <row r="210" spans="1:231" ht="16.8">
      <c r="A210" s="270"/>
      <c r="B210" s="271"/>
      <c r="C210" s="272"/>
      <c r="D210" s="273"/>
      <c r="E210" s="274"/>
      <c r="F210" s="274"/>
      <c r="G210" s="275"/>
      <c r="H210" s="308"/>
      <c r="I210" s="309"/>
      <c r="J210" s="277"/>
      <c r="K210" s="278"/>
      <c r="L210" s="278"/>
      <c r="M210" s="279"/>
      <c r="N210" s="277"/>
      <c r="O210" s="278"/>
      <c r="P210" s="278"/>
      <c r="Q210" s="279"/>
      <c r="R210" s="277"/>
      <c r="S210" s="278"/>
      <c r="T210" s="278"/>
      <c r="U210" s="279"/>
      <c r="V210" s="280"/>
      <c r="W210" s="280"/>
      <c r="HW210" s="73" t="e">
        <f>CONCATENATE(#REF!,H210)</f>
        <v>#REF!</v>
      </c>
    </row>
    <row r="211" spans="1:231" ht="16.8">
      <c r="A211" s="270"/>
      <c r="B211" s="271"/>
      <c r="C211" s="272"/>
      <c r="D211" s="273"/>
      <c r="E211" s="274"/>
      <c r="F211" s="274"/>
      <c r="G211" s="275"/>
      <c r="H211" s="308"/>
      <c r="I211" s="309"/>
      <c r="J211" s="277"/>
      <c r="K211" s="278"/>
      <c r="L211" s="278"/>
      <c r="M211" s="279"/>
      <c r="N211" s="277"/>
      <c r="O211" s="278"/>
      <c r="P211" s="278"/>
      <c r="Q211" s="279"/>
      <c r="R211" s="277"/>
      <c r="S211" s="278"/>
      <c r="T211" s="278"/>
      <c r="U211" s="279"/>
      <c r="V211" s="280"/>
      <c r="W211" s="280"/>
      <c r="HW211" s="73" t="e">
        <f>CONCATENATE(#REF!,H211)</f>
        <v>#REF!</v>
      </c>
    </row>
    <row r="212" spans="1:231" ht="16.8">
      <c r="A212" s="270"/>
      <c r="B212" s="271"/>
      <c r="C212" s="272"/>
      <c r="D212" s="273"/>
      <c r="E212" s="274"/>
      <c r="F212" s="274"/>
      <c r="G212" s="275"/>
      <c r="H212" s="308"/>
      <c r="I212" s="309"/>
      <c r="J212" s="277"/>
      <c r="K212" s="278"/>
      <c r="L212" s="278"/>
      <c r="M212" s="279"/>
      <c r="N212" s="277"/>
      <c r="O212" s="278"/>
      <c r="P212" s="278"/>
      <c r="Q212" s="279"/>
      <c r="R212" s="277"/>
      <c r="S212" s="278"/>
      <c r="T212" s="278"/>
      <c r="U212" s="279"/>
      <c r="V212" s="280"/>
      <c r="W212" s="280"/>
      <c r="HW212" s="73" t="e">
        <f>CONCATENATE(#REF!,H212)</f>
        <v>#REF!</v>
      </c>
    </row>
    <row r="213" spans="1:231" thickBot="1">
      <c r="A213" s="281"/>
      <c r="B213" s="282"/>
      <c r="C213" s="283"/>
      <c r="D213" s="284"/>
      <c r="E213" s="285"/>
      <c r="F213" s="285"/>
      <c r="G213" s="286"/>
      <c r="H213" s="310"/>
      <c r="I213" s="311"/>
      <c r="J213" s="288"/>
      <c r="K213" s="289"/>
      <c r="L213" s="289"/>
      <c r="M213" s="290"/>
      <c r="N213" s="288"/>
      <c r="O213" s="289"/>
      <c r="P213" s="289"/>
      <c r="Q213" s="290"/>
      <c r="R213" s="288"/>
      <c r="S213" s="289"/>
      <c r="T213" s="289"/>
      <c r="U213" s="290"/>
      <c r="V213" s="291"/>
      <c r="W213" s="291"/>
      <c r="HW213" s="73" t="e">
        <f>CONCATENATE(#REF!,H213)</f>
        <v>#REF!</v>
      </c>
    </row>
    <row r="214" spans="1:231" thickTop="1">
      <c r="A214" s="292"/>
      <c r="B214" s="293"/>
      <c r="C214" s="294"/>
      <c r="D214" s="295"/>
      <c r="E214" s="296"/>
      <c r="F214" s="296"/>
      <c r="G214" s="297"/>
      <c r="H214" s="303"/>
      <c r="I214" s="304"/>
      <c r="J214" s="299"/>
      <c r="K214" s="300"/>
      <c r="L214" s="300"/>
      <c r="M214" s="301"/>
      <c r="N214" s="299"/>
      <c r="O214" s="300"/>
      <c r="P214" s="300"/>
      <c r="Q214" s="301"/>
      <c r="R214" s="299"/>
      <c r="S214" s="300"/>
      <c r="T214" s="300"/>
      <c r="U214" s="301"/>
      <c r="V214" s="302"/>
      <c r="W214" s="302"/>
      <c r="HW214" s="73" t="e">
        <f>CONCATENATE(#REF!,H214)</f>
        <v>#REF!</v>
      </c>
    </row>
    <row r="215" spans="1:231" ht="16.8">
      <c r="A215" s="270"/>
      <c r="B215" s="271"/>
      <c r="C215" s="272"/>
      <c r="D215" s="273"/>
      <c r="E215" s="274"/>
      <c r="F215" s="274"/>
      <c r="G215" s="275"/>
      <c r="H215" s="308"/>
      <c r="I215" s="309"/>
      <c r="J215" s="277"/>
      <c r="K215" s="278"/>
      <c r="L215" s="278"/>
      <c r="M215" s="279"/>
      <c r="N215" s="277"/>
      <c r="O215" s="278"/>
      <c r="P215" s="278"/>
      <c r="Q215" s="279"/>
      <c r="R215" s="277"/>
      <c r="S215" s="278"/>
      <c r="T215" s="278"/>
      <c r="U215" s="279"/>
      <c r="V215" s="280"/>
      <c r="W215" s="280"/>
      <c r="HW215" s="73" t="e">
        <f>CONCATENATE(#REF!,H215)</f>
        <v>#REF!</v>
      </c>
    </row>
    <row r="216" spans="1:231" ht="16.8">
      <c r="A216" s="270"/>
      <c r="B216" s="271"/>
      <c r="C216" s="272"/>
      <c r="D216" s="273"/>
      <c r="E216" s="274"/>
      <c r="F216" s="274"/>
      <c r="G216" s="275"/>
      <c r="H216" s="308"/>
      <c r="I216" s="309"/>
      <c r="J216" s="277"/>
      <c r="K216" s="278"/>
      <c r="L216" s="278"/>
      <c r="M216" s="279"/>
      <c r="N216" s="277"/>
      <c r="O216" s="278"/>
      <c r="P216" s="278"/>
      <c r="Q216" s="279"/>
      <c r="R216" s="277"/>
      <c r="S216" s="278"/>
      <c r="T216" s="278"/>
      <c r="U216" s="279"/>
      <c r="V216" s="280"/>
      <c r="W216" s="280"/>
      <c r="HW216" s="73" t="e">
        <f>CONCATENATE(#REF!,H216)</f>
        <v>#REF!</v>
      </c>
    </row>
    <row r="217" spans="1:231" ht="16.8">
      <c r="A217" s="270"/>
      <c r="B217" s="271"/>
      <c r="C217" s="272"/>
      <c r="D217" s="273"/>
      <c r="E217" s="274"/>
      <c r="F217" s="274"/>
      <c r="G217" s="275"/>
      <c r="H217" s="308"/>
      <c r="I217" s="309"/>
      <c r="J217" s="277"/>
      <c r="K217" s="278"/>
      <c r="L217" s="278"/>
      <c r="M217" s="279"/>
      <c r="N217" s="277"/>
      <c r="O217" s="278"/>
      <c r="P217" s="278"/>
      <c r="Q217" s="279"/>
      <c r="R217" s="277"/>
      <c r="S217" s="278"/>
      <c r="T217" s="278"/>
      <c r="U217" s="279"/>
      <c r="V217" s="280"/>
      <c r="W217" s="280"/>
      <c r="HW217" s="73" t="e">
        <f>CONCATENATE(#REF!,H217)</f>
        <v>#REF!</v>
      </c>
    </row>
    <row r="218" spans="1:231" thickBot="1">
      <c r="A218" s="281"/>
      <c r="B218" s="282"/>
      <c r="C218" s="283"/>
      <c r="D218" s="284"/>
      <c r="E218" s="285"/>
      <c r="F218" s="285"/>
      <c r="G218" s="286"/>
      <c r="H218" s="310"/>
      <c r="I218" s="311"/>
      <c r="J218" s="288"/>
      <c r="K218" s="289"/>
      <c r="L218" s="289"/>
      <c r="M218" s="290"/>
      <c r="N218" s="288"/>
      <c r="O218" s="289"/>
      <c r="P218" s="289"/>
      <c r="Q218" s="290"/>
      <c r="R218" s="288"/>
      <c r="S218" s="289"/>
      <c r="T218" s="289"/>
      <c r="U218" s="290"/>
      <c r="V218" s="291"/>
      <c r="W218" s="291"/>
      <c r="HW218" s="73" t="e">
        <f>CONCATENATE(#REF!,H218)</f>
        <v>#REF!</v>
      </c>
    </row>
    <row r="219" spans="1:231" thickTop="1">
      <c r="A219" s="292"/>
      <c r="B219" s="293"/>
      <c r="C219" s="294"/>
      <c r="D219" s="295"/>
      <c r="E219" s="296"/>
      <c r="F219" s="296"/>
      <c r="G219" s="297"/>
      <c r="H219" s="303"/>
      <c r="I219" s="304"/>
      <c r="J219" s="299"/>
      <c r="K219" s="300"/>
      <c r="L219" s="300"/>
      <c r="M219" s="301"/>
      <c r="N219" s="299"/>
      <c r="O219" s="300"/>
      <c r="P219" s="300"/>
      <c r="Q219" s="301"/>
      <c r="R219" s="299"/>
      <c r="S219" s="300"/>
      <c r="T219" s="300"/>
      <c r="U219" s="301"/>
      <c r="V219" s="302"/>
      <c r="W219" s="302"/>
      <c r="HW219" s="73" t="e">
        <f>CONCATENATE(#REF!,H219)</f>
        <v>#REF!</v>
      </c>
    </row>
    <row r="220" spans="1:231" ht="16.8">
      <c r="A220" s="270"/>
      <c r="B220" s="271"/>
      <c r="C220" s="272"/>
      <c r="D220" s="273"/>
      <c r="E220" s="274"/>
      <c r="F220" s="274"/>
      <c r="G220" s="275"/>
      <c r="H220" s="308"/>
      <c r="I220" s="309"/>
      <c r="J220" s="277"/>
      <c r="K220" s="278"/>
      <c r="L220" s="278"/>
      <c r="M220" s="279"/>
      <c r="N220" s="277"/>
      <c r="O220" s="278"/>
      <c r="P220" s="278"/>
      <c r="Q220" s="279"/>
      <c r="R220" s="277"/>
      <c r="S220" s="278"/>
      <c r="T220" s="278"/>
      <c r="U220" s="279"/>
      <c r="V220" s="280"/>
      <c r="W220" s="280"/>
      <c r="HW220" s="73" t="e">
        <f>CONCATENATE(#REF!,H220)</f>
        <v>#REF!</v>
      </c>
    </row>
    <row r="221" spans="1:231" ht="16.8">
      <c r="A221" s="270"/>
      <c r="B221" s="271"/>
      <c r="C221" s="272"/>
      <c r="D221" s="273"/>
      <c r="E221" s="274"/>
      <c r="F221" s="274"/>
      <c r="G221" s="275"/>
      <c r="H221" s="308"/>
      <c r="I221" s="309"/>
      <c r="J221" s="277"/>
      <c r="K221" s="278"/>
      <c r="L221" s="278"/>
      <c r="M221" s="279"/>
      <c r="N221" s="277"/>
      <c r="O221" s="278"/>
      <c r="P221" s="278"/>
      <c r="Q221" s="279"/>
      <c r="R221" s="277"/>
      <c r="S221" s="278"/>
      <c r="T221" s="278"/>
      <c r="U221" s="279"/>
      <c r="V221" s="280"/>
      <c r="W221" s="280"/>
      <c r="HW221" s="73" t="e">
        <f>CONCATENATE(#REF!,H221)</f>
        <v>#REF!</v>
      </c>
    </row>
    <row r="222" spans="1:231" ht="16.8">
      <c r="A222" s="270"/>
      <c r="B222" s="271"/>
      <c r="C222" s="272"/>
      <c r="D222" s="273"/>
      <c r="E222" s="274"/>
      <c r="F222" s="274"/>
      <c r="G222" s="275"/>
      <c r="H222" s="308"/>
      <c r="I222" s="309"/>
      <c r="J222" s="277"/>
      <c r="K222" s="278"/>
      <c r="L222" s="278"/>
      <c r="M222" s="279"/>
      <c r="N222" s="277"/>
      <c r="O222" s="278"/>
      <c r="P222" s="278"/>
      <c r="Q222" s="279"/>
      <c r="R222" s="277"/>
      <c r="S222" s="278"/>
      <c r="T222" s="278"/>
      <c r="U222" s="279"/>
      <c r="V222" s="280"/>
      <c r="W222" s="280"/>
      <c r="HW222" s="73" t="e">
        <f>CONCATENATE(#REF!,H222)</f>
        <v>#REF!</v>
      </c>
    </row>
    <row r="223" spans="1:231" thickBot="1">
      <c r="A223" s="281"/>
      <c r="B223" s="282"/>
      <c r="C223" s="283"/>
      <c r="D223" s="284"/>
      <c r="E223" s="285"/>
      <c r="F223" s="285"/>
      <c r="G223" s="286"/>
      <c r="H223" s="310"/>
      <c r="I223" s="311"/>
      <c r="J223" s="288"/>
      <c r="K223" s="289"/>
      <c r="L223" s="289"/>
      <c r="M223" s="290"/>
      <c r="N223" s="288"/>
      <c r="O223" s="289"/>
      <c r="P223" s="289"/>
      <c r="Q223" s="290"/>
      <c r="R223" s="288"/>
      <c r="S223" s="289"/>
      <c r="T223" s="289"/>
      <c r="U223" s="290"/>
      <c r="V223" s="291"/>
      <c r="W223" s="291"/>
      <c r="HW223" s="73" t="e">
        <f>CONCATENATE(#REF!,H223)</f>
        <v>#REF!</v>
      </c>
    </row>
    <row r="224" spans="1:231" thickTop="1">
      <c r="A224" s="292"/>
      <c r="B224" s="293"/>
      <c r="C224" s="294"/>
      <c r="D224" s="295"/>
      <c r="E224" s="296"/>
      <c r="F224" s="296"/>
      <c r="G224" s="297"/>
      <c r="H224" s="303"/>
      <c r="I224" s="304"/>
      <c r="J224" s="299"/>
      <c r="K224" s="300"/>
      <c r="L224" s="300"/>
      <c r="M224" s="301"/>
      <c r="N224" s="299"/>
      <c r="O224" s="300"/>
      <c r="P224" s="300"/>
      <c r="Q224" s="301"/>
      <c r="R224" s="299"/>
      <c r="S224" s="300"/>
      <c r="T224" s="300"/>
      <c r="U224" s="301"/>
      <c r="V224" s="302"/>
      <c r="W224" s="302"/>
      <c r="HW224" s="73" t="e">
        <f>CONCATENATE(#REF!,H224)</f>
        <v>#REF!</v>
      </c>
    </row>
    <row r="225" spans="1:231" ht="16.8">
      <c r="A225" s="270"/>
      <c r="B225" s="271"/>
      <c r="C225" s="272"/>
      <c r="D225" s="273"/>
      <c r="E225" s="274"/>
      <c r="F225" s="274"/>
      <c r="G225" s="275"/>
      <c r="H225" s="308"/>
      <c r="I225" s="309"/>
      <c r="J225" s="277"/>
      <c r="K225" s="278"/>
      <c r="L225" s="278"/>
      <c r="M225" s="279"/>
      <c r="N225" s="277"/>
      <c r="O225" s="278"/>
      <c r="P225" s="278"/>
      <c r="Q225" s="279"/>
      <c r="R225" s="277"/>
      <c r="S225" s="278"/>
      <c r="T225" s="278"/>
      <c r="U225" s="279"/>
      <c r="V225" s="280"/>
      <c r="W225" s="280"/>
      <c r="HW225" s="73" t="e">
        <f>CONCATENATE(#REF!,H225)</f>
        <v>#REF!</v>
      </c>
    </row>
    <row r="226" spans="1:231" ht="16.8">
      <c r="A226" s="270"/>
      <c r="B226" s="271"/>
      <c r="C226" s="272"/>
      <c r="D226" s="273"/>
      <c r="E226" s="274"/>
      <c r="F226" s="274"/>
      <c r="G226" s="275"/>
      <c r="H226" s="308"/>
      <c r="I226" s="309"/>
      <c r="J226" s="277"/>
      <c r="K226" s="278"/>
      <c r="L226" s="278"/>
      <c r="M226" s="279"/>
      <c r="N226" s="277"/>
      <c r="O226" s="278"/>
      <c r="P226" s="278"/>
      <c r="Q226" s="279"/>
      <c r="R226" s="277"/>
      <c r="S226" s="278"/>
      <c r="T226" s="278"/>
      <c r="U226" s="279"/>
      <c r="V226" s="280"/>
      <c r="W226" s="280"/>
      <c r="HW226" s="73" t="e">
        <f>CONCATENATE(#REF!,H226)</f>
        <v>#REF!</v>
      </c>
    </row>
    <row r="227" spans="1:231" ht="16.8">
      <c r="A227" s="270"/>
      <c r="B227" s="271"/>
      <c r="C227" s="272"/>
      <c r="D227" s="273"/>
      <c r="E227" s="274"/>
      <c r="F227" s="274"/>
      <c r="G227" s="275"/>
      <c r="H227" s="308"/>
      <c r="I227" s="309"/>
      <c r="J227" s="277"/>
      <c r="K227" s="278"/>
      <c r="L227" s="278"/>
      <c r="M227" s="279"/>
      <c r="N227" s="277"/>
      <c r="O227" s="278"/>
      <c r="P227" s="278"/>
      <c r="Q227" s="279"/>
      <c r="R227" s="277"/>
      <c r="S227" s="278"/>
      <c r="T227" s="278"/>
      <c r="U227" s="279"/>
      <c r="V227" s="280"/>
      <c r="W227" s="280"/>
      <c r="HW227" s="73" t="e">
        <f>CONCATENATE(#REF!,H227)</f>
        <v>#REF!</v>
      </c>
    </row>
    <row r="228" spans="1:231" thickBot="1">
      <c r="A228" s="281"/>
      <c r="B228" s="282"/>
      <c r="C228" s="283"/>
      <c r="D228" s="284"/>
      <c r="E228" s="285"/>
      <c r="F228" s="285"/>
      <c r="G228" s="286"/>
      <c r="H228" s="310"/>
      <c r="I228" s="311"/>
      <c r="J228" s="288"/>
      <c r="K228" s="289"/>
      <c r="L228" s="289"/>
      <c r="M228" s="290"/>
      <c r="N228" s="288"/>
      <c r="O228" s="289"/>
      <c r="P228" s="289"/>
      <c r="Q228" s="290"/>
      <c r="R228" s="288"/>
      <c r="S228" s="289"/>
      <c r="T228" s="289"/>
      <c r="U228" s="290"/>
      <c r="V228" s="291"/>
      <c r="W228" s="291"/>
      <c r="HW228" s="73" t="e">
        <f>CONCATENATE(#REF!,H228)</f>
        <v>#REF!</v>
      </c>
    </row>
    <row r="229" spans="1:231" thickTop="1">
      <c r="A229" s="292"/>
      <c r="B229" s="293"/>
      <c r="C229" s="294"/>
      <c r="D229" s="295"/>
      <c r="E229" s="296"/>
      <c r="F229" s="296"/>
      <c r="G229" s="297"/>
      <c r="H229" s="303"/>
      <c r="I229" s="304"/>
      <c r="J229" s="299"/>
      <c r="K229" s="300"/>
      <c r="L229" s="300"/>
      <c r="M229" s="301"/>
      <c r="N229" s="299"/>
      <c r="O229" s="300"/>
      <c r="P229" s="300"/>
      <c r="Q229" s="301"/>
      <c r="R229" s="299"/>
      <c r="S229" s="300"/>
      <c r="T229" s="300"/>
      <c r="U229" s="301"/>
      <c r="V229" s="302"/>
      <c r="W229" s="302"/>
      <c r="HW229" s="73" t="e">
        <f>CONCATENATE(#REF!,H229)</f>
        <v>#REF!</v>
      </c>
    </row>
    <row r="230" spans="1:231" ht="16.8">
      <c r="A230" s="270"/>
      <c r="B230" s="271"/>
      <c r="C230" s="272"/>
      <c r="D230" s="273"/>
      <c r="E230" s="274"/>
      <c r="F230" s="274"/>
      <c r="G230" s="275"/>
      <c r="H230" s="308"/>
      <c r="I230" s="309"/>
      <c r="J230" s="277"/>
      <c r="K230" s="278"/>
      <c r="L230" s="278"/>
      <c r="M230" s="279"/>
      <c r="N230" s="277"/>
      <c r="O230" s="278"/>
      <c r="P230" s="278"/>
      <c r="Q230" s="279"/>
      <c r="R230" s="277"/>
      <c r="S230" s="278"/>
      <c r="T230" s="278"/>
      <c r="U230" s="279"/>
      <c r="V230" s="280"/>
      <c r="W230" s="280"/>
      <c r="HW230" s="73" t="e">
        <f>CONCATENATE(#REF!,H230)</f>
        <v>#REF!</v>
      </c>
    </row>
    <row r="231" spans="1:231" ht="16.8">
      <c r="A231" s="270"/>
      <c r="B231" s="271"/>
      <c r="C231" s="272"/>
      <c r="D231" s="273"/>
      <c r="E231" s="274"/>
      <c r="F231" s="274"/>
      <c r="G231" s="275"/>
      <c r="H231" s="308"/>
      <c r="I231" s="309"/>
      <c r="J231" s="277"/>
      <c r="K231" s="278"/>
      <c r="L231" s="278"/>
      <c r="M231" s="279"/>
      <c r="N231" s="277"/>
      <c r="O231" s="278"/>
      <c r="P231" s="278"/>
      <c r="Q231" s="279"/>
      <c r="R231" s="277"/>
      <c r="S231" s="278"/>
      <c r="T231" s="278"/>
      <c r="U231" s="279"/>
      <c r="V231" s="280"/>
      <c r="W231" s="280"/>
      <c r="HW231" s="73" t="e">
        <f>CONCATENATE(#REF!,H231)</f>
        <v>#REF!</v>
      </c>
    </row>
    <row r="232" spans="1:231" ht="16.8">
      <c r="A232" s="270"/>
      <c r="B232" s="271"/>
      <c r="C232" s="272"/>
      <c r="D232" s="273"/>
      <c r="E232" s="274"/>
      <c r="F232" s="274"/>
      <c r="G232" s="275"/>
      <c r="H232" s="308"/>
      <c r="I232" s="309"/>
      <c r="J232" s="277"/>
      <c r="K232" s="278"/>
      <c r="L232" s="278"/>
      <c r="M232" s="279"/>
      <c r="N232" s="277"/>
      <c r="O232" s="278"/>
      <c r="P232" s="278"/>
      <c r="Q232" s="279"/>
      <c r="R232" s="277"/>
      <c r="S232" s="278"/>
      <c r="T232" s="278"/>
      <c r="U232" s="279"/>
      <c r="V232" s="280"/>
      <c r="W232" s="280"/>
      <c r="HW232" s="73" t="e">
        <f>CONCATENATE(#REF!,H232)</f>
        <v>#REF!</v>
      </c>
    </row>
    <row r="233" spans="1:231" thickBot="1">
      <c r="A233" s="281"/>
      <c r="B233" s="282"/>
      <c r="C233" s="283"/>
      <c r="D233" s="284"/>
      <c r="E233" s="285"/>
      <c r="F233" s="285"/>
      <c r="G233" s="286"/>
      <c r="H233" s="310"/>
      <c r="I233" s="311"/>
      <c r="J233" s="288"/>
      <c r="K233" s="289"/>
      <c r="L233" s="289"/>
      <c r="M233" s="290"/>
      <c r="N233" s="288"/>
      <c r="O233" s="289"/>
      <c r="P233" s="289"/>
      <c r="Q233" s="290"/>
      <c r="R233" s="288"/>
      <c r="S233" s="289"/>
      <c r="T233" s="289"/>
      <c r="U233" s="290"/>
      <c r="V233" s="291"/>
      <c r="W233" s="291"/>
      <c r="HW233" s="73" t="e">
        <f>CONCATENATE(#REF!,H233)</f>
        <v>#REF!</v>
      </c>
    </row>
    <row r="234" spans="1:231" thickTop="1">
      <c r="A234" s="292"/>
      <c r="B234" s="293"/>
      <c r="C234" s="294"/>
      <c r="D234" s="295"/>
      <c r="E234" s="296"/>
      <c r="F234" s="296"/>
      <c r="G234" s="297"/>
      <c r="H234" s="303"/>
      <c r="I234" s="304"/>
      <c r="J234" s="299"/>
      <c r="K234" s="300"/>
      <c r="L234" s="300"/>
      <c r="M234" s="301"/>
      <c r="N234" s="299"/>
      <c r="O234" s="300"/>
      <c r="P234" s="300"/>
      <c r="Q234" s="301"/>
      <c r="R234" s="299"/>
      <c r="S234" s="300"/>
      <c r="T234" s="300"/>
      <c r="U234" s="301"/>
      <c r="V234" s="302"/>
      <c r="W234" s="302"/>
      <c r="HW234" s="73" t="e">
        <f>CONCATENATE(#REF!,H234)</f>
        <v>#REF!</v>
      </c>
    </row>
    <row r="235" spans="1:231" ht="16.8">
      <c r="A235" s="270"/>
      <c r="B235" s="271"/>
      <c r="C235" s="272"/>
      <c r="D235" s="273"/>
      <c r="E235" s="274"/>
      <c r="F235" s="274"/>
      <c r="G235" s="275"/>
      <c r="H235" s="308"/>
      <c r="I235" s="309"/>
      <c r="J235" s="277"/>
      <c r="K235" s="278"/>
      <c r="L235" s="278"/>
      <c r="M235" s="279"/>
      <c r="N235" s="277"/>
      <c r="O235" s="278"/>
      <c r="P235" s="278"/>
      <c r="Q235" s="279"/>
      <c r="R235" s="277"/>
      <c r="S235" s="278"/>
      <c r="T235" s="278"/>
      <c r="U235" s="279"/>
      <c r="V235" s="280"/>
      <c r="W235" s="280"/>
      <c r="HW235" s="73" t="e">
        <f>CONCATENATE(#REF!,H235)</f>
        <v>#REF!</v>
      </c>
    </row>
    <row r="236" spans="1:231" ht="16.8">
      <c r="A236" s="270"/>
      <c r="B236" s="271"/>
      <c r="C236" s="272"/>
      <c r="D236" s="273"/>
      <c r="E236" s="274"/>
      <c r="F236" s="274"/>
      <c r="G236" s="275"/>
      <c r="H236" s="308"/>
      <c r="I236" s="309"/>
      <c r="J236" s="277"/>
      <c r="K236" s="278"/>
      <c r="L236" s="278"/>
      <c r="M236" s="279"/>
      <c r="N236" s="277"/>
      <c r="O236" s="278"/>
      <c r="P236" s="278"/>
      <c r="Q236" s="279"/>
      <c r="R236" s="277"/>
      <c r="S236" s="278"/>
      <c r="T236" s="278"/>
      <c r="U236" s="279"/>
      <c r="V236" s="280"/>
      <c r="W236" s="280"/>
      <c r="HW236" s="73" t="e">
        <f>CONCATENATE(#REF!,H236)</f>
        <v>#REF!</v>
      </c>
    </row>
    <row r="237" spans="1:231" ht="16.8">
      <c r="A237" s="270"/>
      <c r="B237" s="271"/>
      <c r="C237" s="272"/>
      <c r="D237" s="273"/>
      <c r="E237" s="274"/>
      <c r="F237" s="274"/>
      <c r="G237" s="275"/>
      <c r="H237" s="308"/>
      <c r="I237" s="309"/>
      <c r="J237" s="277"/>
      <c r="K237" s="278"/>
      <c r="L237" s="278"/>
      <c r="M237" s="279"/>
      <c r="N237" s="277"/>
      <c r="O237" s="278"/>
      <c r="P237" s="278"/>
      <c r="Q237" s="279"/>
      <c r="R237" s="277"/>
      <c r="S237" s="278"/>
      <c r="T237" s="278"/>
      <c r="U237" s="279"/>
      <c r="V237" s="280"/>
      <c r="W237" s="280"/>
      <c r="HW237" s="73" t="e">
        <f>CONCATENATE(#REF!,H237)</f>
        <v>#REF!</v>
      </c>
    </row>
    <row r="238" spans="1:231" thickBot="1">
      <c r="A238" s="281"/>
      <c r="B238" s="282"/>
      <c r="C238" s="283"/>
      <c r="D238" s="284"/>
      <c r="E238" s="285"/>
      <c r="F238" s="285"/>
      <c r="G238" s="286"/>
      <c r="H238" s="310"/>
      <c r="I238" s="311"/>
      <c r="J238" s="288"/>
      <c r="K238" s="289"/>
      <c r="L238" s="289"/>
      <c r="M238" s="290"/>
      <c r="N238" s="288"/>
      <c r="O238" s="289"/>
      <c r="P238" s="289"/>
      <c r="Q238" s="290"/>
      <c r="R238" s="288"/>
      <c r="S238" s="289"/>
      <c r="T238" s="289"/>
      <c r="U238" s="290"/>
      <c r="V238" s="291"/>
      <c r="W238" s="291"/>
      <c r="HW238" s="73" t="e">
        <f>CONCATENATE(#REF!,H238)</f>
        <v>#REF!</v>
      </c>
    </row>
    <row r="239" spans="1:231" thickTop="1">
      <c r="A239" s="292"/>
      <c r="B239" s="293"/>
      <c r="C239" s="294"/>
      <c r="D239" s="295"/>
      <c r="E239" s="296"/>
      <c r="F239" s="296"/>
      <c r="G239" s="297"/>
      <c r="H239" s="303"/>
      <c r="I239" s="304"/>
      <c r="J239" s="299"/>
      <c r="K239" s="300"/>
      <c r="L239" s="300"/>
      <c r="M239" s="301"/>
      <c r="N239" s="299"/>
      <c r="O239" s="300"/>
      <c r="P239" s="300"/>
      <c r="Q239" s="301"/>
      <c r="R239" s="299"/>
      <c r="S239" s="300"/>
      <c r="T239" s="300"/>
      <c r="U239" s="301"/>
      <c r="V239" s="302"/>
      <c r="W239" s="302"/>
      <c r="HW239" s="73" t="e">
        <f>CONCATENATE(#REF!,H239)</f>
        <v>#REF!</v>
      </c>
    </row>
    <row r="240" spans="1:231" ht="16.8">
      <c r="A240" s="270"/>
      <c r="B240" s="271"/>
      <c r="C240" s="272"/>
      <c r="D240" s="273"/>
      <c r="E240" s="274"/>
      <c r="F240" s="274"/>
      <c r="G240" s="275"/>
      <c r="H240" s="308"/>
      <c r="I240" s="309"/>
      <c r="J240" s="277"/>
      <c r="K240" s="278"/>
      <c r="L240" s="278"/>
      <c r="M240" s="279"/>
      <c r="N240" s="277"/>
      <c r="O240" s="278"/>
      <c r="P240" s="278"/>
      <c r="Q240" s="279"/>
      <c r="R240" s="277"/>
      <c r="S240" s="278"/>
      <c r="T240" s="278"/>
      <c r="U240" s="279"/>
      <c r="V240" s="280"/>
      <c r="W240" s="280"/>
      <c r="HW240" s="73" t="e">
        <f>CONCATENATE(#REF!,H240)</f>
        <v>#REF!</v>
      </c>
    </row>
    <row r="241" spans="1:231" ht="16.8">
      <c r="A241" s="270"/>
      <c r="B241" s="271"/>
      <c r="C241" s="272"/>
      <c r="D241" s="273"/>
      <c r="E241" s="274"/>
      <c r="F241" s="274"/>
      <c r="G241" s="275"/>
      <c r="H241" s="308"/>
      <c r="I241" s="309"/>
      <c r="J241" s="277"/>
      <c r="K241" s="278"/>
      <c r="L241" s="278"/>
      <c r="M241" s="279"/>
      <c r="N241" s="277"/>
      <c r="O241" s="278"/>
      <c r="P241" s="278"/>
      <c r="Q241" s="279"/>
      <c r="R241" s="277"/>
      <c r="S241" s="278"/>
      <c r="T241" s="278"/>
      <c r="U241" s="279"/>
      <c r="V241" s="280"/>
      <c r="W241" s="280"/>
      <c r="HW241" s="73" t="e">
        <f>CONCATENATE(#REF!,H241)</f>
        <v>#REF!</v>
      </c>
    </row>
    <row r="242" spans="1:231" ht="16.8">
      <c r="A242" s="270"/>
      <c r="B242" s="271"/>
      <c r="C242" s="272"/>
      <c r="D242" s="273"/>
      <c r="E242" s="274"/>
      <c r="F242" s="274"/>
      <c r="G242" s="275"/>
      <c r="H242" s="308"/>
      <c r="I242" s="309"/>
      <c r="J242" s="277"/>
      <c r="K242" s="278"/>
      <c r="L242" s="278"/>
      <c r="M242" s="279"/>
      <c r="N242" s="277"/>
      <c r="O242" s="278"/>
      <c r="P242" s="278"/>
      <c r="Q242" s="279"/>
      <c r="R242" s="277"/>
      <c r="S242" s="278"/>
      <c r="T242" s="278"/>
      <c r="U242" s="279"/>
      <c r="V242" s="280"/>
      <c r="W242" s="280"/>
      <c r="HW242" s="73" t="e">
        <f>CONCATENATE(#REF!,H242)</f>
        <v>#REF!</v>
      </c>
    </row>
    <row r="243" spans="1:231" thickBot="1">
      <c r="A243" s="281"/>
      <c r="B243" s="282"/>
      <c r="C243" s="283"/>
      <c r="D243" s="284"/>
      <c r="E243" s="285"/>
      <c r="F243" s="285"/>
      <c r="G243" s="286"/>
      <c r="H243" s="310"/>
      <c r="I243" s="311"/>
      <c r="J243" s="288"/>
      <c r="K243" s="289"/>
      <c r="L243" s="289"/>
      <c r="M243" s="290"/>
      <c r="N243" s="288"/>
      <c r="O243" s="289"/>
      <c r="P243" s="289"/>
      <c r="Q243" s="290"/>
      <c r="R243" s="288"/>
      <c r="S243" s="289"/>
      <c r="T243" s="289"/>
      <c r="U243" s="290"/>
      <c r="V243" s="291"/>
      <c r="W243" s="291"/>
      <c r="HW243" s="73" t="e">
        <f>CONCATENATE(#REF!,H243)</f>
        <v>#REF!</v>
      </c>
    </row>
    <row r="244" spans="1:231" thickTop="1">
      <c r="A244" s="292"/>
      <c r="B244" s="293"/>
      <c r="C244" s="294"/>
      <c r="D244" s="295"/>
      <c r="E244" s="296"/>
      <c r="F244" s="296"/>
      <c r="G244" s="297"/>
      <c r="H244" s="303"/>
      <c r="I244" s="304"/>
      <c r="J244" s="299"/>
      <c r="K244" s="300"/>
      <c r="L244" s="300"/>
      <c r="M244" s="301"/>
      <c r="N244" s="299"/>
      <c r="O244" s="300"/>
      <c r="P244" s="300"/>
      <c r="Q244" s="301"/>
      <c r="R244" s="299"/>
      <c r="S244" s="300"/>
      <c r="T244" s="300"/>
      <c r="U244" s="301"/>
      <c r="V244" s="302"/>
      <c r="W244" s="302"/>
      <c r="HW244" s="73" t="e">
        <f>CONCATENATE(#REF!,H244)</f>
        <v>#REF!</v>
      </c>
    </row>
    <row r="245" spans="1:231" ht="16.8">
      <c r="A245" s="270"/>
      <c r="B245" s="271"/>
      <c r="C245" s="272"/>
      <c r="D245" s="273"/>
      <c r="E245" s="274"/>
      <c r="F245" s="274"/>
      <c r="G245" s="275"/>
      <c r="H245" s="308"/>
      <c r="I245" s="309"/>
      <c r="J245" s="277"/>
      <c r="K245" s="278"/>
      <c r="L245" s="278"/>
      <c r="M245" s="279"/>
      <c r="N245" s="277"/>
      <c r="O245" s="278"/>
      <c r="P245" s="278"/>
      <c r="Q245" s="279"/>
      <c r="R245" s="277"/>
      <c r="S245" s="278"/>
      <c r="T245" s="278"/>
      <c r="U245" s="279"/>
      <c r="V245" s="280"/>
      <c r="W245" s="280"/>
      <c r="HW245" s="73" t="e">
        <f>CONCATENATE(#REF!,H245)</f>
        <v>#REF!</v>
      </c>
    </row>
    <row r="246" spans="1:231" ht="16.8">
      <c r="A246" s="270"/>
      <c r="B246" s="271"/>
      <c r="C246" s="272"/>
      <c r="D246" s="273"/>
      <c r="E246" s="274"/>
      <c r="F246" s="274"/>
      <c r="G246" s="275"/>
      <c r="H246" s="308"/>
      <c r="I246" s="309"/>
      <c r="J246" s="277"/>
      <c r="K246" s="278"/>
      <c r="L246" s="278"/>
      <c r="M246" s="279"/>
      <c r="N246" s="277"/>
      <c r="O246" s="278"/>
      <c r="P246" s="278"/>
      <c r="Q246" s="279"/>
      <c r="R246" s="277"/>
      <c r="S246" s="278"/>
      <c r="T246" s="278"/>
      <c r="U246" s="279"/>
      <c r="V246" s="280"/>
      <c r="W246" s="280"/>
      <c r="HW246" s="73" t="e">
        <f>CONCATENATE(#REF!,H246)</f>
        <v>#REF!</v>
      </c>
    </row>
    <row r="247" spans="1:231" ht="16.8">
      <c r="A247" s="270"/>
      <c r="B247" s="271"/>
      <c r="C247" s="272"/>
      <c r="D247" s="273"/>
      <c r="E247" s="274"/>
      <c r="F247" s="274"/>
      <c r="G247" s="275"/>
      <c r="H247" s="308"/>
      <c r="I247" s="309"/>
      <c r="J247" s="277"/>
      <c r="K247" s="278"/>
      <c r="L247" s="278"/>
      <c r="M247" s="279"/>
      <c r="N247" s="277"/>
      <c r="O247" s="278"/>
      <c r="P247" s="278"/>
      <c r="Q247" s="279"/>
      <c r="R247" s="277"/>
      <c r="S247" s="278"/>
      <c r="T247" s="278"/>
      <c r="U247" s="279"/>
      <c r="V247" s="280"/>
      <c r="W247" s="280"/>
      <c r="HW247" s="73" t="e">
        <f>CONCATENATE(#REF!,H247)</f>
        <v>#REF!</v>
      </c>
    </row>
    <row r="248" spans="1:231" thickBot="1">
      <c r="A248" s="281"/>
      <c r="B248" s="282"/>
      <c r="C248" s="283"/>
      <c r="D248" s="284"/>
      <c r="E248" s="285"/>
      <c r="F248" s="285"/>
      <c r="G248" s="286"/>
      <c r="H248" s="310"/>
      <c r="I248" s="311"/>
      <c r="J248" s="288"/>
      <c r="K248" s="289"/>
      <c r="L248" s="289"/>
      <c r="M248" s="290"/>
      <c r="N248" s="288"/>
      <c r="O248" s="289"/>
      <c r="P248" s="289"/>
      <c r="Q248" s="290"/>
      <c r="R248" s="288"/>
      <c r="S248" s="289"/>
      <c r="T248" s="289"/>
      <c r="U248" s="290"/>
      <c r="V248" s="291"/>
      <c r="W248" s="291"/>
      <c r="HW248" s="73" t="e">
        <f>CONCATENATE(#REF!,H248)</f>
        <v>#REF!</v>
      </c>
    </row>
    <row r="249" spans="1:231" thickTop="1">
      <c r="A249" s="292"/>
      <c r="B249" s="293"/>
      <c r="C249" s="294"/>
      <c r="D249" s="295"/>
      <c r="E249" s="296"/>
      <c r="F249" s="296"/>
      <c r="G249" s="297"/>
      <c r="H249" s="303"/>
      <c r="I249" s="304"/>
      <c r="J249" s="299"/>
      <c r="K249" s="300"/>
      <c r="L249" s="300"/>
      <c r="M249" s="301"/>
      <c r="N249" s="299"/>
      <c r="O249" s="300"/>
      <c r="P249" s="300"/>
      <c r="Q249" s="301"/>
      <c r="R249" s="299"/>
      <c r="S249" s="300"/>
      <c r="T249" s="300"/>
      <c r="U249" s="301"/>
      <c r="V249" s="302"/>
      <c r="W249" s="302"/>
      <c r="HW249" s="73" t="e">
        <f>CONCATENATE(#REF!,H249)</f>
        <v>#REF!</v>
      </c>
    </row>
    <row r="250" spans="1:231" ht="16.8">
      <c r="A250" s="270"/>
      <c r="B250" s="271"/>
      <c r="C250" s="272"/>
      <c r="D250" s="273"/>
      <c r="E250" s="274"/>
      <c r="F250" s="274"/>
      <c r="G250" s="275"/>
      <c r="H250" s="308"/>
      <c r="I250" s="309"/>
      <c r="J250" s="277"/>
      <c r="K250" s="278"/>
      <c r="L250" s="278"/>
      <c r="M250" s="279"/>
      <c r="N250" s="277"/>
      <c r="O250" s="278"/>
      <c r="P250" s="278"/>
      <c r="Q250" s="279"/>
      <c r="R250" s="277"/>
      <c r="S250" s="278"/>
      <c r="T250" s="278"/>
      <c r="U250" s="279"/>
      <c r="V250" s="280"/>
      <c r="W250" s="280"/>
      <c r="HW250" s="73" t="e">
        <f>CONCATENATE(#REF!,H250)</f>
        <v>#REF!</v>
      </c>
    </row>
    <row r="251" spans="1:231" ht="16.8">
      <c r="A251" s="270"/>
      <c r="B251" s="271"/>
      <c r="C251" s="272"/>
      <c r="D251" s="273"/>
      <c r="E251" s="274"/>
      <c r="F251" s="274"/>
      <c r="G251" s="275"/>
      <c r="H251" s="308"/>
      <c r="I251" s="309"/>
      <c r="J251" s="277"/>
      <c r="K251" s="278"/>
      <c r="L251" s="278"/>
      <c r="M251" s="279"/>
      <c r="N251" s="277"/>
      <c r="O251" s="278"/>
      <c r="P251" s="278"/>
      <c r="Q251" s="279"/>
      <c r="R251" s="277"/>
      <c r="S251" s="278"/>
      <c r="T251" s="278"/>
      <c r="U251" s="279"/>
      <c r="V251" s="280"/>
      <c r="W251" s="280"/>
      <c r="HW251" s="73" t="e">
        <f>CONCATENATE(#REF!,H251)</f>
        <v>#REF!</v>
      </c>
    </row>
    <row r="252" spans="1:231" ht="16.8">
      <c r="A252" s="270"/>
      <c r="B252" s="271"/>
      <c r="C252" s="272"/>
      <c r="D252" s="273"/>
      <c r="E252" s="274"/>
      <c r="F252" s="274"/>
      <c r="G252" s="275"/>
      <c r="H252" s="308"/>
      <c r="I252" s="309"/>
      <c r="J252" s="277"/>
      <c r="K252" s="278"/>
      <c r="L252" s="278"/>
      <c r="M252" s="279"/>
      <c r="N252" s="277"/>
      <c r="O252" s="278"/>
      <c r="P252" s="278"/>
      <c r="Q252" s="279"/>
      <c r="R252" s="277"/>
      <c r="S252" s="278"/>
      <c r="T252" s="278"/>
      <c r="U252" s="279"/>
      <c r="V252" s="280"/>
      <c r="W252" s="280"/>
      <c r="HW252" s="73" t="e">
        <f>CONCATENATE(#REF!,H252)</f>
        <v>#REF!</v>
      </c>
    </row>
    <row r="253" spans="1:231" thickBot="1">
      <c r="A253" s="281"/>
      <c r="B253" s="282"/>
      <c r="C253" s="283"/>
      <c r="D253" s="284"/>
      <c r="E253" s="285"/>
      <c r="F253" s="285"/>
      <c r="G253" s="286"/>
      <c r="H253" s="310"/>
      <c r="I253" s="311"/>
      <c r="J253" s="288"/>
      <c r="K253" s="289"/>
      <c r="L253" s="289"/>
      <c r="M253" s="290"/>
      <c r="N253" s="288"/>
      <c r="O253" s="289"/>
      <c r="P253" s="289"/>
      <c r="Q253" s="290"/>
      <c r="R253" s="288"/>
      <c r="S253" s="289"/>
      <c r="T253" s="289"/>
      <c r="U253" s="290"/>
      <c r="V253" s="291"/>
      <c r="W253" s="291"/>
      <c r="HW253" s="73" t="e">
        <f>CONCATENATE(#REF!,H253)</f>
        <v>#REF!</v>
      </c>
    </row>
    <row r="254" spans="1:231" thickTop="1">
      <c r="A254" s="292"/>
      <c r="B254" s="293"/>
      <c r="C254" s="294"/>
      <c r="D254" s="295"/>
      <c r="E254" s="296"/>
      <c r="F254" s="296"/>
      <c r="G254" s="297"/>
      <c r="H254" s="303"/>
      <c r="I254" s="304"/>
      <c r="J254" s="299"/>
      <c r="K254" s="300"/>
      <c r="L254" s="300"/>
      <c r="M254" s="301"/>
      <c r="N254" s="299"/>
      <c r="O254" s="300"/>
      <c r="P254" s="300"/>
      <c r="Q254" s="301"/>
      <c r="R254" s="299"/>
      <c r="S254" s="300"/>
      <c r="T254" s="300"/>
      <c r="U254" s="301"/>
      <c r="V254" s="302"/>
      <c r="W254" s="302"/>
      <c r="HW254" s="73" t="e">
        <f>CONCATENATE(#REF!,H254)</f>
        <v>#REF!</v>
      </c>
    </row>
    <row r="255" spans="1:231" ht="16.8">
      <c r="A255" s="270"/>
      <c r="B255" s="271"/>
      <c r="C255" s="272"/>
      <c r="D255" s="273"/>
      <c r="E255" s="274"/>
      <c r="F255" s="274"/>
      <c r="G255" s="275"/>
      <c r="H255" s="308"/>
      <c r="I255" s="309"/>
      <c r="J255" s="277"/>
      <c r="K255" s="278"/>
      <c r="L255" s="278"/>
      <c r="M255" s="279"/>
      <c r="N255" s="277"/>
      <c r="O255" s="278"/>
      <c r="P255" s="278"/>
      <c r="Q255" s="279"/>
      <c r="R255" s="277"/>
      <c r="S255" s="278"/>
      <c r="T255" s="278"/>
      <c r="U255" s="279"/>
      <c r="V255" s="280"/>
      <c r="W255" s="280"/>
      <c r="HW255" s="73" t="e">
        <f>CONCATENATE(#REF!,H255)</f>
        <v>#REF!</v>
      </c>
    </row>
    <row r="256" spans="1:231" ht="16.8">
      <c r="A256" s="270"/>
      <c r="B256" s="271"/>
      <c r="C256" s="272"/>
      <c r="D256" s="273"/>
      <c r="E256" s="274"/>
      <c r="F256" s="274"/>
      <c r="G256" s="275"/>
      <c r="H256" s="308"/>
      <c r="I256" s="309"/>
      <c r="J256" s="277"/>
      <c r="K256" s="278"/>
      <c r="L256" s="278"/>
      <c r="M256" s="279"/>
      <c r="N256" s="277"/>
      <c r="O256" s="278"/>
      <c r="P256" s="278"/>
      <c r="Q256" s="279"/>
      <c r="R256" s="277"/>
      <c r="S256" s="278"/>
      <c r="T256" s="278"/>
      <c r="U256" s="279"/>
      <c r="V256" s="280"/>
      <c r="W256" s="280"/>
      <c r="HW256" s="73" t="e">
        <f>CONCATENATE(#REF!,H256)</f>
        <v>#REF!</v>
      </c>
    </row>
    <row r="257" spans="1:231" ht="16.8">
      <c r="A257" s="270"/>
      <c r="B257" s="271"/>
      <c r="C257" s="272"/>
      <c r="D257" s="273"/>
      <c r="E257" s="274"/>
      <c r="F257" s="274"/>
      <c r="G257" s="275"/>
      <c r="H257" s="308"/>
      <c r="I257" s="309"/>
      <c r="J257" s="277"/>
      <c r="K257" s="278"/>
      <c r="L257" s="278"/>
      <c r="M257" s="279"/>
      <c r="N257" s="277"/>
      <c r="O257" s="278"/>
      <c r="P257" s="278"/>
      <c r="Q257" s="279"/>
      <c r="R257" s="277"/>
      <c r="S257" s="278"/>
      <c r="T257" s="278"/>
      <c r="U257" s="279"/>
      <c r="V257" s="280"/>
      <c r="W257" s="280"/>
      <c r="HW257" s="73" t="e">
        <f>CONCATENATE(#REF!,H257)</f>
        <v>#REF!</v>
      </c>
    </row>
    <row r="258" spans="1:231" thickBot="1">
      <c r="A258" s="281"/>
      <c r="B258" s="282"/>
      <c r="C258" s="283"/>
      <c r="D258" s="284"/>
      <c r="E258" s="285"/>
      <c r="F258" s="285"/>
      <c r="G258" s="286"/>
      <c r="H258" s="310"/>
      <c r="I258" s="311"/>
      <c r="J258" s="288"/>
      <c r="K258" s="289"/>
      <c r="L258" s="289"/>
      <c r="M258" s="290"/>
      <c r="N258" s="288"/>
      <c r="O258" s="289"/>
      <c r="P258" s="289"/>
      <c r="Q258" s="290"/>
      <c r="R258" s="288"/>
      <c r="S258" s="289"/>
      <c r="T258" s="289"/>
      <c r="U258" s="290"/>
      <c r="V258" s="291"/>
      <c r="W258" s="291"/>
      <c r="HW258" s="73" t="e">
        <f>CONCATENATE(#REF!,H258)</f>
        <v>#REF!</v>
      </c>
    </row>
    <row r="259" spans="1:231" thickTop="1">
      <c r="A259" s="292"/>
      <c r="B259" s="293"/>
      <c r="C259" s="294"/>
      <c r="D259" s="295"/>
      <c r="E259" s="296"/>
      <c r="F259" s="296"/>
      <c r="G259" s="297"/>
      <c r="H259" s="303"/>
      <c r="I259" s="304"/>
      <c r="J259" s="299"/>
      <c r="K259" s="300"/>
      <c r="L259" s="300"/>
      <c r="M259" s="301"/>
      <c r="N259" s="299"/>
      <c r="O259" s="300"/>
      <c r="P259" s="300"/>
      <c r="Q259" s="301"/>
      <c r="R259" s="299"/>
      <c r="S259" s="300"/>
      <c r="T259" s="300"/>
      <c r="U259" s="301"/>
      <c r="V259" s="302"/>
      <c r="W259" s="302"/>
      <c r="HW259" s="73" t="e">
        <f>CONCATENATE(#REF!,H259)</f>
        <v>#REF!</v>
      </c>
    </row>
    <row r="260" spans="1:231" ht="16.8">
      <c r="A260" s="270"/>
      <c r="B260" s="271"/>
      <c r="C260" s="272"/>
      <c r="D260" s="273"/>
      <c r="E260" s="274"/>
      <c r="F260" s="274"/>
      <c r="G260" s="275"/>
      <c r="H260" s="308"/>
      <c r="I260" s="309"/>
      <c r="J260" s="277"/>
      <c r="K260" s="278"/>
      <c r="L260" s="278"/>
      <c r="M260" s="279"/>
      <c r="N260" s="277"/>
      <c r="O260" s="278"/>
      <c r="P260" s="278"/>
      <c r="Q260" s="279"/>
      <c r="R260" s="277"/>
      <c r="S260" s="278"/>
      <c r="T260" s="278"/>
      <c r="U260" s="279"/>
      <c r="V260" s="280"/>
      <c r="W260" s="280"/>
      <c r="HW260" s="73" t="e">
        <f>CONCATENATE(#REF!,H260)</f>
        <v>#REF!</v>
      </c>
    </row>
    <row r="261" spans="1:231" ht="16.8">
      <c r="A261" s="270"/>
      <c r="B261" s="271"/>
      <c r="C261" s="272"/>
      <c r="D261" s="273"/>
      <c r="E261" s="274"/>
      <c r="F261" s="274"/>
      <c r="G261" s="275"/>
      <c r="H261" s="308"/>
      <c r="I261" s="309"/>
      <c r="J261" s="277"/>
      <c r="K261" s="278"/>
      <c r="L261" s="278"/>
      <c r="M261" s="279"/>
      <c r="N261" s="277"/>
      <c r="O261" s="278"/>
      <c r="P261" s="278"/>
      <c r="Q261" s="279"/>
      <c r="R261" s="277"/>
      <c r="S261" s="278"/>
      <c r="T261" s="278"/>
      <c r="U261" s="279"/>
      <c r="V261" s="280"/>
      <c r="W261" s="280"/>
      <c r="HW261" s="73" t="e">
        <f>CONCATENATE(#REF!,H261)</f>
        <v>#REF!</v>
      </c>
    </row>
    <row r="262" spans="1:231" ht="16.8">
      <c r="A262" s="270"/>
      <c r="B262" s="271"/>
      <c r="C262" s="272"/>
      <c r="D262" s="273"/>
      <c r="E262" s="274"/>
      <c r="F262" s="274"/>
      <c r="G262" s="275"/>
      <c r="H262" s="308"/>
      <c r="I262" s="309"/>
      <c r="J262" s="277"/>
      <c r="K262" s="278"/>
      <c r="L262" s="278"/>
      <c r="M262" s="279"/>
      <c r="N262" s="277"/>
      <c r="O262" s="278"/>
      <c r="P262" s="278"/>
      <c r="Q262" s="279"/>
      <c r="R262" s="277"/>
      <c r="S262" s="278"/>
      <c r="T262" s="278"/>
      <c r="U262" s="279"/>
      <c r="V262" s="280"/>
      <c r="W262" s="280"/>
      <c r="HW262" s="73" t="e">
        <f>CONCATENATE(#REF!,H262)</f>
        <v>#REF!</v>
      </c>
    </row>
    <row r="263" spans="1:231" thickBot="1">
      <c r="A263" s="281"/>
      <c r="B263" s="282"/>
      <c r="C263" s="283"/>
      <c r="D263" s="284"/>
      <c r="E263" s="285"/>
      <c r="F263" s="285"/>
      <c r="G263" s="286"/>
      <c r="H263" s="310"/>
      <c r="I263" s="311"/>
      <c r="J263" s="288"/>
      <c r="K263" s="289"/>
      <c r="L263" s="289"/>
      <c r="M263" s="290"/>
      <c r="N263" s="288"/>
      <c r="O263" s="289"/>
      <c r="P263" s="289"/>
      <c r="Q263" s="290"/>
      <c r="R263" s="288"/>
      <c r="S263" s="289"/>
      <c r="T263" s="289"/>
      <c r="U263" s="290"/>
      <c r="V263" s="291"/>
      <c r="W263" s="291"/>
      <c r="HW263" s="73" t="e">
        <f>CONCATENATE(#REF!,H263)</f>
        <v>#REF!</v>
      </c>
    </row>
    <row r="264" spans="1:231" thickTop="1">
      <c r="A264" s="292"/>
      <c r="B264" s="293"/>
      <c r="C264" s="294"/>
      <c r="D264" s="295"/>
      <c r="E264" s="296"/>
      <c r="F264" s="296"/>
      <c r="G264" s="297"/>
      <c r="H264" s="303"/>
      <c r="I264" s="304"/>
      <c r="J264" s="299"/>
      <c r="K264" s="300"/>
      <c r="L264" s="300"/>
      <c r="M264" s="301"/>
      <c r="N264" s="299"/>
      <c r="O264" s="300"/>
      <c r="P264" s="300"/>
      <c r="Q264" s="301"/>
      <c r="R264" s="299"/>
      <c r="S264" s="300"/>
      <c r="T264" s="300"/>
      <c r="U264" s="301"/>
      <c r="V264" s="302"/>
      <c r="W264" s="302"/>
      <c r="HW264" s="73" t="e">
        <f>CONCATENATE(#REF!,H264)</f>
        <v>#REF!</v>
      </c>
    </row>
    <row r="265" spans="1:231" ht="16.8">
      <c r="A265" s="270"/>
      <c r="B265" s="271"/>
      <c r="C265" s="272"/>
      <c r="D265" s="273"/>
      <c r="E265" s="274"/>
      <c r="F265" s="274"/>
      <c r="G265" s="275"/>
      <c r="H265" s="308"/>
      <c r="I265" s="309"/>
      <c r="J265" s="277"/>
      <c r="K265" s="278"/>
      <c r="L265" s="278"/>
      <c r="M265" s="279"/>
      <c r="N265" s="277"/>
      <c r="O265" s="278"/>
      <c r="P265" s="278"/>
      <c r="Q265" s="279"/>
      <c r="R265" s="277"/>
      <c r="S265" s="278"/>
      <c r="T265" s="278"/>
      <c r="U265" s="279"/>
      <c r="V265" s="280"/>
      <c r="W265" s="280"/>
      <c r="HW265" s="73" t="e">
        <f>CONCATENATE(#REF!,H265)</f>
        <v>#REF!</v>
      </c>
    </row>
    <row r="266" spans="1:231" ht="16.8">
      <c r="A266" s="270"/>
      <c r="B266" s="271"/>
      <c r="C266" s="272"/>
      <c r="D266" s="273"/>
      <c r="E266" s="274"/>
      <c r="F266" s="274"/>
      <c r="G266" s="275"/>
      <c r="H266" s="308"/>
      <c r="I266" s="309"/>
      <c r="J266" s="277"/>
      <c r="K266" s="278"/>
      <c r="L266" s="278"/>
      <c r="M266" s="279"/>
      <c r="N266" s="277"/>
      <c r="O266" s="278"/>
      <c r="P266" s="278"/>
      <c r="Q266" s="279"/>
      <c r="R266" s="277"/>
      <c r="S266" s="278"/>
      <c r="T266" s="278"/>
      <c r="U266" s="279"/>
      <c r="V266" s="280"/>
      <c r="W266" s="280"/>
      <c r="HW266" s="73" t="e">
        <f>CONCATENATE(#REF!,H266)</f>
        <v>#REF!</v>
      </c>
    </row>
    <row r="267" spans="1:231" ht="16.8">
      <c r="A267" s="270"/>
      <c r="B267" s="271"/>
      <c r="C267" s="272"/>
      <c r="D267" s="273"/>
      <c r="E267" s="274"/>
      <c r="F267" s="274"/>
      <c r="G267" s="275"/>
      <c r="H267" s="308"/>
      <c r="I267" s="309"/>
      <c r="J267" s="277"/>
      <c r="K267" s="278"/>
      <c r="L267" s="278"/>
      <c r="M267" s="279"/>
      <c r="N267" s="277"/>
      <c r="O267" s="278"/>
      <c r="P267" s="278"/>
      <c r="Q267" s="279"/>
      <c r="R267" s="277"/>
      <c r="S267" s="278"/>
      <c r="T267" s="278"/>
      <c r="U267" s="279"/>
      <c r="V267" s="280"/>
      <c r="W267" s="280"/>
      <c r="HW267" s="73" t="e">
        <f>CONCATENATE(#REF!,H267)</f>
        <v>#REF!</v>
      </c>
    </row>
    <row r="268" spans="1:231" thickBot="1">
      <c r="A268" s="281"/>
      <c r="B268" s="282"/>
      <c r="C268" s="283"/>
      <c r="D268" s="284"/>
      <c r="E268" s="285"/>
      <c r="F268" s="285"/>
      <c r="G268" s="286"/>
      <c r="H268" s="310"/>
      <c r="I268" s="311"/>
      <c r="J268" s="288"/>
      <c r="K268" s="289"/>
      <c r="L268" s="289"/>
      <c r="M268" s="290"/>
      <c r="N268" s="288"/>
      <c r="O268" s="289"/>
      <c r="P268" s="289"/>
      <c r="Q268" s="290"/>
      <c r="R268" s="288"/>
      <c r="S268" s="289"/>
      <c r="T268" s="289"/>
      <c r="U268" s="290"/>
      <c r="V268" s="291"/>
      <c r="W268" s="291"/>
      <c r="HW268" s="73" t="e">
        <f>CONCATENATE(#REF!,H268)</f>
        <v>#REF!</v>
      </c>
    </row>
    <row r="269" spans="1:231" thickTop="1">
      <c r="A269" s="292"/>
      <c r="B269" s="293"/>
      <c r="C269" s="294"/>
      <c r="D269" s="295"/>
      <c r="E269" s="296"/>
      <c r="F269" s="296"/>
      <c r="G269" s="297"/>
      <c r="H269" s="303"/>
      <c r="I269" s="304"/>
      <c r="J269" s="299"/>
      <c r="K269" s="300"/>
      <c r="L269" s="300"/>
      <c r="M269" s="301"/>
      <c r="N269" s="299"/>
      <c r="O269" s="300"/>
      <c r="P269" s="300"/>
      <c r="Q269" s="301"/>
      <c r="R269" s="299"/>
      <c r="S269" s="300"/>
      <c r="T269" s="300"/>
      <c r="U269" s="301"/>
      <c r="V269" s="302"/>
      <c r="W269" s="302"/>
      <c r="HW269" s="73" t="e">
        <f>CONCATENATE(#REF!,H269)</f>
        <v>#REF!</v>
      </c>
    </row>
    <row r="270" spans="1:231" ht="16.8">
      <c r="A270" s="270"/>
      <c r="B270" s="271"/>
      <c r="C270" s="272"/>
      <c r="D270" s="273"/>
      <c r="E270" s="274"/>
      <c r="F270" s="274"/>
      <c r="G270" s="275"/>
      <c r="H270" s="308"/>
      <c r="I270" s="309"/>
      <c r="J270" s="277"/>
      <c r="K270" s="278"/>
      <c r="L270" s="278"/>
      <c r="M270" s="279"/>
      <c r="N270" s="277"/>
      <c r="O270" s="278"/>
      <c r="P270" s="278"/>
      <c r="Q270" s="279"/>
      <c r="R270" s="277"/>
      <c r="S270" s="278"/>
      <c r="T270" s="278"/>
      <c r="U270" s="279"/>
      <c r="V270" s="280"/>
      <c r="W270" s="280"/>
      <c r="HW270" s="73" t="e">
        <f>CONCATENATE(#REF!,H270)</f>
        <v>#REF!</v>
      </c>
    </row>
    <row r="271" spans="1:231" ht="16.8">
      <c r="A271" s="270"/>
      <c r="B271" s="271"/>
      <c r="C271" s="272"/>
      <c r="D271" s="273"/>
      <c r="E271" s="274"/>
      <c r="F271" s="274"/>
      <c r="G271" s="275"/>
      <c r="H271" s="308"/>
      <c r="I271" s="309"/>
      <c r="J271" s="277"/>
      <c r="K271" s="278"/>
      <c r="L271" s="278"/>
      <c r="M271" s="279"/>
      <c r="N271" s="277"/>
      <c r="O271" s="278"/>
      <c r="P271" s="278"/>
      <c r="Q271" s="279"/>
      <c r="R271" s="277"/>
      <c r="S271" s="278"/>
      <c r="T271" s="278"/>
      <c r="U271" s="279"/>
      <c r="V271" s="280"/>
      <c r="W271" s="280"/>
      <c r="HW271" s="73" t="e">
        <f>CONCATENATE(#REF!,H271)</f>
        <v>#REF!</v>
      </c>
    </row>
    <row r="272" spans="1:231" ht="16.8">
      <c r="A272" s="270"/>
      <c r="B272" s="271"/>
      <c r="C272" s="272"/>
      <c r="D272" s="273"/>
      <c r="E272" s="274"/>
      <c r="F272" s="274"/>
      <c r="G272" s="275"/>
      <c r="H272" s="308"/>
      <c r="I272" s="309"/>
      <c r="J272" s="277"/>
      <c r="K272" s="278"/>
      <c r="L272" s="278"/>
      <c r="M272" s="279"/>
      <c r="N272" s="277"/>
      <c r="O272" s="278"/>
      <c r="P272" s="278"/>
      <c r="Q272" s="279"/>
      <c r="R272" s="277"/>
      <c r="S272" s="278"/>
      <c r="T272" s="278"/>
      <c r="U272" s="279"/>
      <c r="V272" s="280"/>
      <c r="W272" s="280"/>
      <c r="HW272" s="73" t="e">
        <f>CONCATENATE(#REF!,H272)</f>
        <v>#REF!</v>
      </c>
    </row>
    <row r="273" spans="1:231" thickBot="1">
      <c r="A273" s="281"/>
      <c r="B273" s="282"/>
      <c r="C273" s="283"/>
      <c r="D273" s="284"/>
      <c r="E273" s="285"/>
      <c r="F273" s="285"/>
      <c r="G273" s="286"/>
      <c r="H273" s="310"/>
      <c r="I273" s="311"/>
      <c r="J273" s="288"/>
      <c r="K273" s="289"/>
      <c r="L273" s="289"/>
      <c r="M273" s="290"/>
      <c r="N273" s="288"/>
      <c r="O273" s="289"/>
      <c r="P273" s="289"/>
      <c r="Q273" s="290"/>
      <c r="R273" s="288"/>
      <c r="S273" s="289"/>
      <c r="T273" s="289"/>
      <c r="U273" s="290"/>
      <c r="V273" s="291"/>
      <c r="W273" s="291"/>
      <c r="HW273" s="73" t="e">
        <f>CONCATENATE(#REF!,H273)</f>
        <v>#REF!</v>
      </c>
    </row>
    <row r="274" spans="1:231" thickTop="1">
      <c r="A274" s="292"/>
      <c r="B274" s="293"/>
      <c r="C274" s="294"/>
      <c r="D274" s="295"/>
      <c r="E274" s="296"/>
      <c r="F274" s="296"/>
      <c r="G274" s="297"/>
      <c r="H274" s="303"/>
      <c r="I274" s="304"/>
      <c r="J274" s="299"/>
      <c r="K274" s="300"/>
      <c r="L274" s="300"/>
      <c r="M274" s="301"/>
      <c r="N274" s="299"/>
      <c r="O274" s="300"/>
      <c r="P274" s="300"/>
      <c r="Q274" s="301"/>
      <c r="R274" s="299"/>
      <c r="S274" s="300"/>
      <c r="T274" s="300"/>
      <c r="U274" s="301"/>
      <c r="V274" s="302"/>
      <c r="W274" s="302"/>
      <c r="HW274" s="73" t="e">
        <f>CONCATENATE(#REF!,H274)</f>
        <v>#REF!</v>
      </c>
    </row>
    <row r="275" spans="1:231" ht="16.8">
      <c r="A275" s="270"/>
      <c r="B275" s="271"/>
      <c r="C275" s="272"/>
      <c r="D275" s="273"/>
      <c r="E275" s="274"/>
      <c r="F275" s="274"/>
      <c r="G275" s="275"/>
      <c r="H275" s="308"/>
      <c r="I275" s="309"/>
      <c r="J275" s="277"/>
      <c r="K275" s="278"/>
      <c r="L275" s="278"/>
      <c r="M275" s="279"/>
      <c r="N275" s="277"/>
      <c r="O275" s="278"/>
      <c r="P275" s="278"/>
      <c r="Q275" s="279"/>
      <c r="R275" s="277"/>
      <c r="S275" s="278"/>
      <c r="T275" s="278"/>
      <c r="U275" s="279"/>
      <c r="V275" s="280"/>
      <c r="W275" s="280"/>
      <c r="HW275" s="73" t="e">
        <f>CONCATENATE(#REF!,H275)</f>
        <v>#REF!</v>
      </c>
    </row>
    <row r="276" spans="1:231" ht="16.8">
      <c r="A276" s="270"/>
      <c r="B276" s="271"/>
      <c r="C276" s="272"/>
      <c r="D276" s="273"/>
      <c r="E276" s="274"/>
      <c r="F276" s="274"/>
      <c r="G276" s="275"/>
      <c r="H276" s="308"/>
      <c r="I276" s="309"/>
      <c r="J276" s="277"/>
      <c r="K276" s="278"/>
      <c r="L276" s="278"/>
      <c r="M276" s="279"/>
      <c r="N276" s="277"/>
      <c r="O276" s="278"/>
      <c r="P276" s="278"/>
      <c r="Q276" s="279"/>
      <c r="R276" s="277"/>
      <c r="S276" s="278"/>
      <c r="T276" s="278"/>
      <c r="U276" s="279"/>
      <c r="V276" s="280"/>
      <c r="W276" s="280"/>
      <c r="HW276" s="73" t="e">
        <f>CONCATENATE(#REF!,H276)</f>
        <v>#REF!</v>
      </c>
    </row>
    <row r="277" spans="1:231" ht="16.8">
      <c r="A277" s="270"/>
      <c r="B277" s="271"/>
      <c r="C277" s="272"/>
      <c r="D277" s="273"/>
      <c r="E277" s="274"/>
      <c r="F277" s="274"/>
      <c r="G277" s="275"/>
      <c r="H277" s="308"/>
      <c r="I277" s="309"/>
      <c r="J277" s="277"/>
      <c r="K277" s="278"/>
      <c r="L277" s="278"/>
      <c r="M277" s="279"/>
      <c r="N277" s="277"/>
      <c r="O277" s="278"/>
      <c r="P277" s="278"/>
      <c r="Q277" s="279"/>
      <c r="R277" s="277"/>
      <c r="S277" s="278"/>
      <c r="T277" s="278"/>
      <c r="U277" s="279"/>
      <c r="V277" s="280"/>
      <c r="W277" s="280"/>
      <c r="HW277" s="73" t="e">
        <f>CONCATENATE(#REF!,H277)</f>
        <v>#REF!</v>
      </c>
    </row>
    <row r="278" spans="1:231" thickBot="1">
      <c r="A278" s="281"/>
      <c r="B278" s="282"/>
      <c r="C278" s="283"/>
      <c r="D278" s="284"/>
      <c r="E278" s="285"/>
      <c r="F278" s="285"/>
      <c r="G278" s="286"/>
      <c r="H278" s="310"/>
      <c r="I278" s="311"/>
      <c r="J278" s="288"/>
      <c r="K278" s="289"/>
      <c r="L278" s="289"/>
      <c r="M278" s="290"/>
      <c r="N278" s="288"/>
      <c r="O278" s="289"/>
      <c r="P278" s="289"/>
      <c r="Q278" s="290"/>
      <c r="R278" s="288"/>
      <c r="S278" s="289"/>
      <c r="T278" s="289"/>
      <c r="U278" s="290"/>
      <c r="V278" s="291"/>
      <c r="W278" s="291"/>
      <c r="HW278" s="73" t="e">
        <f>CONCATENATE(#REF!,H278)</f>
        <v>#REF!</v>
      </c>
    </row>
    <row r="279" spans="1:231" thickTop="1">
      <c r="A279" s="292"/>
      <c r="B279" s="293"/>
      <c r="C279" s="294"/>
      <c r="D279" s="295"/>
      <c r="E279" s="296"/>
      <c r="F279" s="296"/>
      <c r="G279" s="297"/>
      <c r="H279" s="303"/>
      <c r="I279" s="304"/>
      <c r="J279" s="299"/>
      <c r="K279" s="300"/>
      <c r="L279" s="300"/>
      <c r="M279" s="301"/>
      <c r="N279" s="299"/>
      <c r="O279" s="300"/>
      <c r="P279" s="300"/>
      <c r="Q279" s="301"/>
      <c r="R279" s="299"/>
      <c r="S279" s="300"/>
      <c r="T279" s="300"/>
      <c r="U279" s="301"/>
      <c r="V279" s="302"/>
      <c r="W279" s="302"/>
      <c r="HW279" s="73" t="e">
        <f>CONCATENATE(#REF!,H279)</f>
        <v>#REF!</v>
      </c>
    </row>
    <row r="280" spans="1:231" ht="16.8">
      <c r="A280" s="270"/>
      <c r="B280" s="271"/>
      <c r="C280" s="272"/>
      <c r="D280" s="273"/>
      <c r="E280" s="274"/>
      <c r="F280" s="274"/>
      <c r="G280" s="275"/>
      <c r="H280" s="308"/>
      <c r="I280" s="309"/>
      <c r="J280" s="277"/>
      <c r="K280" s="278"/>
      <c r="L280" s="278"/>
      <c r="M280" s="279"/>
      <c r="N280" s="277"/>
      <c r="O280" s="278"/>
      <c r="P280" s="278"/>
      <c r="Q280" s="279"/>
      <c r="R280" s="277"/>
      <c r="S280" s="278"/>
      <c r="T280" s="278"/>
      <c r="U280" s="279"/>
      <c r="V280" s="280"/>
      <c r="W280" s="280"/>
      <c r="HW280" s="73" t="e">
        <f>CONCATENATE(#REF!,H280)</f>
        <v>#REF!</v>
      </c>
    </row>
    <row r="281" spans="1:231" ht="16.8">
      <c r="A281" s="270"/>
      <c r="B281" s="271"/>
      <c r="C281" s="272"/>
      <c r="D281" s="273"/>
      <c r="E281" s="274"/>
      <c r="F281" s="274"/>
      <c r="G281" s="275"/>
      <c r="H281" s="308"/>
      <c r="I281" s="309"/>
      <c r="J281" s="277"/>
      <c r="K281" s="278"/>
      <c r="L281" s="278"/>
      <c r="M281" s="279"/>
      <c r="N281" s="277"/>
      <c r="O281" s="278"/>
      <c r="P281" s="278"/>
      <c r="Q281" s="279"/>
      <c r="R281" s="277"/>
      <c r="S281" s="278"/>
      <c r="T281" s="278"/>
      <c r="U281" s="279"/>
      <c r="V281" s="280"/>
      <c r="W281" s="280"/>
      <c r="HW281" s="73" t="e">
        <f>CONCATENATE(#REF!,H281)</f>
        <v>#REF!</v>
      </c>
    </row>
    <row r="282" spans="1:231" ht="16.8">
      <c r="A282" s="270"/>
      <c r="B282" s="271"/>
      <c r="C282" s="272"/>
      <c r="D282" s="273"/>
      <c r="E282" s="274"/>
      <c r="F282" s="274"/>
      <c r="G282" s="275"/>
      <c r="H282" s="308"/>
      <c r="I282" s="309"/>
      <c r="J282" s="277"/>
      <c r="K282" s="278"/>
      <c r="L282" s="278"/>
      <c r="M282" s="279"/>
      <c r="N282" s="277"/>
      <c r="O282" s="278"/>
      <c r="P282" s="278"/>
      <c r="Q282" s="279"/>
      <c r="R282" s="277"/>
      <c r="S282" s="278"/>
      <c r="T282" s="278"/>
      <c r="U282" s="279"/>
      <c r="V282" s="280"/>
      <c r="W282" s="280"/>
      <c r="HW282" s="73" t="e">
        <f>CONCATENATE(#REF!,H282)</f>
        <v>#REF!</v>
      </c>
    </row>
    <row r="283" spans="1:231" thickBot="1">
      <c r="A283" s="281"/>
      <c r="B283" s="282"/>
      <c r="C283" s="283"/>
      <c r="D283" s="284"/>
      <c r="E283" s="285"/>
      <c r="F283" s="285"/>
      <c r="G283" s="286"/>
      <c r="H283" s="310"/>
      <c r="I283" s="311"/>
      <c r="J283" s="288"/>
      <c r="K283" s="289"/>
      <c r="L283" s="289"/>
      <c r="M283" s="290"/>
      <c r="N283" s="288"/>
      <c r="O283" s="289"/>
      <c r="P283" s="289"/>
      <c r="Q283" s="290"/>
      <c r="R283" s="288"/>
      <c r="S283" s="289"/>
      <c r="T283" s="289"/>
      <c r="U283" s="290"/>
      <c r="V283" s="291"/>
      <c r="W283" s="291"/>
      <c r="HW283" s="73" t="e">
        <f>CONCATENATE(#REF!,H283)</f>
        <v>#REF!</v>
      </c>
    </row>
    <row r="284" spans="1:231" thickTop="1">
      <c r="A284" s="292"/>
      <c r="B284" s="293"/>
      <c r="C284" s="294"/>
      <c r="D284" s="295"/>
      <c r="E284" s="296"/>
      <c r="F284" s="296"/>
      <c r="G284" s="297"/>
      <c r="H284" s="303"/>
      <c r="I284" s="304"/>
      <c r="J284" s="299"/>
      <c r="K284" s="300"/>
      <c r="L284" s="300"/>
      <c r="M284" s="301"/>
      <c r="N284" s="299"/>
      <c r="O284" s="300"/>
      <c r="P284" s="300"/>
      <c r="Q284" s="301"/>
      <c r="R284" s="299"/>
      <c r="S284" s="300"/>
      <c r="T284" s="300"/>
      <c r="U284" s="301"/>
      <c r="V284" s="302"/>
      <c r="W284" s="302"/>
      <c r="HW284" s="73" t="e">
        <f>CONCATENATE(#REF!,H284)</f>
        <v>#REF!</v>
      </c>
    </row>
    <row r="285" spans="1:231" ht="16.8">
      <c r="A285" s="270"/>
      <c r="B285" s="271"/>
      <c r="C285" s="272"/>
      <c r="D285" s="273"/>
      <c r="E285" s="274"/>
      <c r="F285" s="274"/>
      <c r="G285" s="275"/>
      <c r="H285" s="308"/>
      <c r="I285" s="309"/>
      <c r="J285" s="277"/>
      <c r="K285" s="278"/>
      <c r="L285" s="278"/>
      <c r="M285" s="279"/>
      <c r="N285" s="277"/>
      <c r="O285" s="278"/>
      <c r="P285" s="278"/>
      <c r="Q285" s="279"/>
      <c r="R285" s="277"/>
      <c r="S285" s="278"/>
      <c r="T285" s="278"/>
      <c r="U285" s="279"/>
      <c r="V285" s="280"/>
      <c r="W285" s="280"/>
      <c r="HW285" s="73" t="e">
        <f>CONCATENATE(#REF!,H285)</f>
        <v>#REF!</v>
      </c>
    </row>
    <row r="286" spans="1:231" ht="16.8">
      <c r="A286" s="270"/>
      <c r="B286" s="271"/>
      <c r="C286" s="272"/>
      <c r="D286" s="273"/>
      <c r="E286" s="274"/>
      <c r="F286" s="274"/>
      <c r="G286" s="275"/>
      <c r="H286" s="308"/>
      <c r="I286" s="309"/>
      <c r="J286" s="277"/>
      <c r="K286" s="278"/>
      <c r="L286" s="278"/>
      <c r="M286" s="279"/>
      <c r="N286" s="277"/>
      <c r="O286" s="278"/>
      <c r="P286" s="278"/>
      <c r="Q286" s="279"/>
      <c r="R286" s="277"/>
      <c r="S286" s="278"/>
      <c r="T286" s="278"/>
      <c r="U286" s="279"/>
      <c r="V286" s="280"/>
      <c r="W286" s="280"/>
      <c r="HW286" s="73" t="e">
        <f>CONCATENATE(#REF!,H286)</f>
        <v>#REF!</v>
      </c>
    </row>
    <row r="287" spans="1:231" ht="16.8">
      <c r="A287" s="270"/>
      <c r="B287" s="271"/>
      <c r="C287" s="272"/>
      <c r="D287" s="273"/>
      <c r="E287" s="274"/>
      <c r="F287" s="274"/>
      <c r="G287" s="275"/>
      <c r="H287" s="308"/>
      <c r="I287" s="309"/>
      <c r="J287" s="277"/>
      <c r="K287" s="278"/>
      <c r="L287" s="278"/>
      <c r="M287" s="279"/>
      <c r="N287" s="277"/>
      <c r="O287" s="278"/>
      <c r="P287" s="278"/>
      <c r="Q287" s="279"/>
      <c r="R287" s="277"/>
      <c r="S287" s="278"/>
      <c r="T287" s="278"/>
      <c r="U287" s="279"/>
      <c r="V287" s="280"/>
      <c r="W287" s="280"/>
      <c r="HW287" s="73" t="e">
        <f>CONCATENATE(#REF!,H287)</f>
        <v>#REF!</v>
      </c>
    </row>
    <row r="288" spans="1:231" thickBot="1">
      <c r="A288" s="281"/>
      <c r="B288" s="282"/>
      <c r="C288" s="283"/>
      <c r="D288" s="284"/>
      <c r="E288" s="285"/>
      <c r="F288" s="285"/>
      <c r="G288" s="286"/>
      <c r="H288" s="310"/>
      <c r="I288" s="311"/>
      <c r="J288" s="288"/>
      <c r="K288" s="289"/>
      <c r="L288" s="289"/>
      <c r="M288" s="290"/>
      <c r="N288" s="288"/>
      <c r="O288" s="289"/>
      <c r="P288" s="289"/>
      <c r="Q288" s="290"/>
      <c r="R288" s="288"/>
      <c r="S288" s="289"/>
      <c r="T288" s="289"/>
      <c r="U288" s="290"/>
      <c r="V288" s="291"/>
      <c r="W288" s="291"/>
      <c r="HW288" s="73" t="e">
        <f>CONCATENATE(#REF!,H288)</f>
        <v>#REF!</v>
      </c>
    </row>
    <row r="289" spans="1:231" thickTop="1">
      <c r="A289" s="292"/>
      <c r="B289" s="293"/>
      <c r="C289" s="294"/>
      <c r="D289" s="295"/>
      <c r="E289" s="296"/>
      <c r="F289" s="296"/>
      <c r="G289" s="297"/>
      <c r="H289" s="303"/>
      <c r="I289" s="304"/>
      <c r="J289" s="299"/>
      <c r="K289" s="300"/>
      <c r="L289" s="300"/>
      <c r="M289" s="301"/>
      <c r="N289" s="299"/>
      <c r="O289" s="300"/>
      <c r="P289" s="300"/>
      <c r="Q289" s="301"/>
      <c r="R289" s="299"/>
      <c r="S289" s="300"/>
      <c r="T289" s="300"/>
      <c r="U289" s="301"/>
      <c r="V289" s="302"/>
      <c r="W289" s="302"/>
      <c r="HW289" s="73" t="e">
        <f>CONCATENATE(#REF!,H289)</f>
        <v>#REF!</v>
      </c>
    </row>
    <row r="290" spans="1:231" ht="16.8">
      <c r="A290" s="270"/>
      <c r="B290" s="271"/>
      <c r="C290" s="272"/>
      <c r="D290" s="273"/>
      <c r="E290" s="274"/>
      <c r="F290" s="274"/>
      <c r="G290" s="275"/>
      <c r="H290" s="308"/>
      <c r="I290" s="309"/>
      <c r="J290" s="277"/>
      <c r="K290" s="278"/>
      <c r="L290" s="278"/>
      <c r="M290" s="279"/>
      <c r="N290" s="277"/>
      <c r="O290" s="278"/>
      <c r="P290" s="278"/>
      <c r="Q290" s="279"/>
      <c r="R290" s="277"/>
      <c r="S290" s="278"/>
      <c r="T290" s="278"/>
      <c r="U290" s="279"/>
      <c r="V290" s="280"/>
      <c r="W290" s="280"/>
      <c r="HW290" s="73" t="e">
        <f>CONCATENATE(#REF!,H290)</f>
        <v>#REF!</v>
      </c>
    </row>
    <row r="291" spans="1:231" ht="16.8">
      <c r="A291" s="270"/>
      <c r="B291" s="271"/>
      <c r="C291" s="272"/>
      <c r="D291" s="273"/>
      <c r="E291" s="274"/>
      <c r="F291" s="274"/>
      <c r="G291" s="275"/>
      <c r="H291" s="308"/>
      <c r="I291" s="309"/>
      <c r="J291" s="277"/>
      <c r="K291" s="278"/>
      <c r="L291" s="278"/>
      <c r="M291" s="279"/>
      <c r="N291" s="277"/>
      <c r="O291" s="278"/>
      <c r="P291" s="278"/>
      <c r="Q291" s="279"/>
      <c r="R291" s="277"/>
      <c r="S291" s="278"/>
      <c r="T291" s="278"/>
      <c r="U291" s="279"/>
      <c r="V291" s="280"/>
      <c r="W291" s="280"/>
      <c r="HW291" s="73" t="e">
        <f>CONCATENATE(#REF!,H291)</f>
        <v>#REF!</v>
      </c>
    </row>
    <row r="292" spans="1:231" ht="16.8">
      <c r="A292" s="270"/>
      <c r="B292" s="271"/>
      <c r="C292" s="272"/>
      <c r="D292" s="273"/>
      <c r="E292" s="274"/>
      <c r="F292" s="274"/>
      <c r="G292" s="275"/>
      <c r="H292" s="308"/>
      <c r="I292" s="309"/>
      <c r="J292" s="277"/>
      <c r="K292" s="278"/>
      <c r="L292" s="278"/>
      <c r="M292" s="279"/>
      <c r="N292" s="277"/>
      <c r="O292" s="278"/>
      <c r="P292" s="278"/>
      <c r="Q292" s="279"/>
      <c r="R292" s="277"/>
      <c r="S292" s="278"/>
      <c r="T292" s="278"/>
      <c r="U292" s="279"/>
      <c r="V292" s="280"/>
      <c r="W292" s="280"/>
      <c r="HW292" s="73" t="e">
        <f>CONCATENATE(#REF!,H292)</f>
        <v>#REF!</v>
      </c>
    </row>
    <row r="293" spans="1:231" thickBot="1">
      <c r="A293" s="281"/>
      <c r="B293" s="282"/>
      <c r="C293" s="283"/>
      <c r="D293" s="284"/>
      <c r="E293" s="285"/>
      <c r="F293" s="285"/>
      <c r="G293" s="286"/>
      <c r="H293" s="310"/>
      <c r="I293" s="311"/>
      <c r="J293" s="288"/>
      <c r="K293" s="289"/>
      <c r="L293" s="289"/>
      <c r="M293" s="290"/>
      <c r="N293" s="288"/>
      <c r="O293" s="289"/>
      <c r="P293" s="289"/>
      <c r="Q293" s="290"/>
      <c r="R293" s="288"/>
      <c r="S293" s="289"/>
      <c r="T293" s="289"/>
      <c r="U293" s="290"/>
      <c r="V293" s="291"/>
      <c r="W293" s="291"/>
      <c r="HW293" s="73" t="e">
        <f>CONCATENATE(#REF!,H293)</f>
        <v>#REF!</v>
      </c>
    </row>
    <row r="294" spans="1:231" thickTop="1">
      <c r="A294" s="292"/>
      <c r="B294" s="293"/>
      <c r="C294" s="294"/>
      <c r="D294" s="295"/>
      <c r="E294" s="296"/>
      <c r="F294" s="296"/>
      <c r="G294" s="297"/>
      <c r="H294" s="303"/>
      <c r="I294" s="304"/>
      <c r="J294" s="299"/>
      <c r="K294" s="300"/>
      <c r="L294" s="300"/>
      <c r="M294" s="301"/>
      <c r="N294" s="299"/>
      <c r="O294" s="300"/>
      <c r="P294" s="300"/>
      <c r="Q294" s="301"/>
      <c r="R294" s="299"/>
      <c r="S294" s="300"/>
      <c r="T294" s="300"/>
      <c r="U294" s="301"/>
      <c r="V294" s="302"/>
      <c r="W294" s="302"/>
      <c r="HW294" s="73" t="e">
        <f>CONCATENATE(#REF!,H294)</f>
        <v>#REF!</v>
      </c>
    </row>
    <row r="295" spans="1:231" ht="16.8">
      <c r="A295" s="270"/>
      <c r="B295" s="271"/>
      <c r="C295" s="272"/>
      <c r="D295" s="273"/>
      <c r="E295" s="274"/>
      <c r="F295" s="274"/>
      <c r="G295" s="275"/>
      <c r="H295" s="308"/>
      <c r="I295" s="309"/>
      <c r="J295" s="277"/>
      <c r="K295" s="278"/>
      <c r="L295" s="278"/>
      <c r="M295" s="279"/>
      <c r="N295" s="277"/>
      <c r="O295" s="278"/>
      <c r="P295" s="278"/>
      <c r="Q295" s="279"/>
      <c r="R295" s="277"/>
      <c r="S295" s="278"/>
      <c r="T295" s="278"/>
      <c r="U295" s="279"/>
      <c r="V295" s="280"/>
      <c r="W295" s="280"/>
      <c r="HW295" s="73" t="e">
        <f>CONCATENATE(#REF!,H295)</f>
        <v>#REF!</v>
      </c>
    </row>
    <row r="296" spans="1:231" ht="16.8">
      <c r="A296" s="270"/>
      <c r="B296" s="271"/>
      <c r="C296" s="272"/>
      <c r="D296" s="273"/>
      <c r="E296" s="274"/>
      <c r="F296" s="274"/>
      <c r="G296" s="275"/>
      <c r="H296" s="308"/>
      <c r="I296" s="309"/>
      <c r="J296" s="277"/>
      <c r="K296" s="278"/>
      <c r="L296" s="278"/>
      <c r="M296" s="279"/>
      <c r="N296" s="277"/>
      <c r="O296" s="278"/>
      <c r="P296" s="278"/>
      <c r="Q296" s="279"/>
      <c r="R296" s="277"/>
      <c r="S296" s="278"/>
      <c r="T296" s="278"/>
      <c r="U296" s="279"/>
      <c r="V296" s="280"/>
      <c r="W296" s="280"/>
      <c r="HW296" s="73" t="e">
        <f>CONCATENATE(#REF!,H296)</f>
        <v>#REF!</v>
      </c>
    </row>
    <row r="297" spans="1:231" ht="16.8">
      <c r="A297" s="270"/>
      <c r="B297" s="271"/>
      <c r="C297" s="272"/>
      <c r="D297" s="273"/>
      <c r="E297" s="274"/>
      <c r="F297" s="274"/>
      <c r="G297" s="275"/>
      <c r="H297" s="308"/>
      <c r="I297" s="309"/>
      <c r="J297" s="277"/>
      <c r="K297" s="278"/>
      <c r="L297" s="278"/>
      <c r="M297" s="279"/>
      <c r="N297" s="277"/>
      <c r="O297" s="278"/>
      <c r="P297" s="278"/>
      <c r="Q297" s="279"/>
      <c r="R297" s="277"/>
      <c r="S297" s="278"/>
      <c r="T297" s="278"/>
      <c r="U297" s="279"/>
      <c r="V297" s="280"/>
      <c r="W297" s="280"/>
      <c r="HW297" s="73" t="e">
        <f>CONCATENATE(#REF!,H297)</f>
        <v>#REF!</v>
      </c>
    </row>
    <row r="298" spans="1:231" thickBot="1">
      <c r="A298" s="281"/>
      <c r="B298" s="282"/>
      <c r="C298" s="283"/>
      <c r="D298" s="284"/>
      <c r="E298" s="285"/>
      <c r="F298" s="285"/>
      <c r="G298" s="286"/>
      <c r="H298" s="310"/>
      <c r="I298" s="311"/>
      <c r="J298" s="288"/>
      <c r="K298" s="289"/>
      <c r="L298" s="289"/>
      <c r="M298" s="290"/>
      <c r="N298" s="288"/>
      <c r="O298" s="289"/>
      <c r="P298" s="289"/>
      <c r="Q298" s="290"/>
      <c r="R298" s="288"/>
      <c r="S298" s="289"/>
      <c r="T298" s="289"/>
      <c r="U298" s="290"/>
      <c r="V298" s="291"/>
      <c r="W298" s="291"/>
      <c r="HW298" s="73" t="e">
        <f>CONCATENATE(#REF!,H298)</f>
        <v>#REF!</v>
      </c>
    </row>
    <row r="299" spans="1:231" thickTop="1">
      <c r="A299" s="292"/>
      <c r="B299" s="293"/>
      <c r="C299" s="294"/>
      <c r="D299" s="295"/>
      <c r="E299" s="296"/>
      <c r="F299" s="296"/>
      <c r="G299" s="297"/>
      <c r="H299" s="303"/>
      <c r="I299" s="304"/>
      <c r="J299" s="299"/>
      <c r="K299" s="300"/>
      <c r="L299" s="300"/>
      <c r="M299" s="301"/>
      <c r="N299" s="299"/>
      <c r="O299" s="300"/>
      <c r="P299" s="300"/>
      <c r="Q299" s="301"/>
      <c r="R299" s="299"/>
      <c r="S299" s="300"/>
      <c r="T299" s="300"/>
      <c r="U299" s="301"/>
      <c r="V299" s="302"/>
      <c r="W299" s="302"/>
      <c r="HW299" s="73" t="e">
        <f>CONCATENATE(#REF!,H299)</f>
        <v>#REF!</v>
      </c>
    </row>
    <row r="300" spans="1:231" ht="16.8">
      <c r="A300" s="270"/>
      <c r="B300" s="271"/>
      <c r="C300" s="272"/>
      <c r="D300" s="273"/>
      <c r="E300" s="274"/>
      <c r="F300" s="274"/>
      <c r="G300" s="275"/>
      <c r="H300" s="308"/>
      <c r="I300" s="309"/>
      <c r="J300" s="277"/>
      <c r="K300" s="278"/>
      <c r="L300" s="278"/>
      <c r="M300" s="279"/>
      <c r="N300" s="277"/>
      <c r="O300" s="278"/>
      <c r="P300" s="278"/>
      <c r="Q300" s="279"/>
      <c r="R300" s="277"/>
      <c r="S300" s="278"/>
      <c r="T300" s="278"/>
      <c r="U300" s="279"/>
      <c r="V300" s="280"/>
      <c r="W300" s="280"/>
      <c r="HW300" s="73" t="e">
        <f>CONCATENATE(#REF!,H300)</f>
        <v>#REF!</v>
      </c>
    </row>
    <row r="301" spans="1:231" ht="16.8">
      <c r="A301" s="270"/>
      <c r="B301" s="271"/>
      <c r="C301" s="272"/>
      <c r="D301" s="273"/>
      <c r="E301" s="274"/>
      <c r="F301" s="274"/>
      <c r="G301" s="275"/>
      <c r="H301" s="308"/>
      <c r="I301" s="309"/>
      <c r="J301" s="277"/>
      <c r="K301" s="278"/>
      <c r="L301" s="278"/>
      <c r="M301" s="279"/>
      <c r="N301" s="277"/>
      <c r="O301" s="278"/>
      <c r="P301" s="278"/>
      <c r="Q301" s="279"/>
      <c r="R301" s="277"/>
      <c r="S301" s="278"/>
      <c r="T301" s="278"/>
      <c r="U301" s="279"/>
      <c r="V301" s="280"/>
      <c r="W301" s="280"/>
      <c r="HW301" s="73" t="e">
        <f>CONCATENATE(#REF!,H301)</f>
        <v>#REF!</v>
      </c>
    </row>
    <row r="302" spans="1:231" ht="16.8">
      <c r="A302" s="270"/>
      <c r="B302" s="271"/>
      <c r="C302" s="272"/>
      <c r="D302" s="273"/>
      <c r="E302" s="274"/>
      <c r="F302" s="274"/>
      <c r="G302" s="275"/>
      <c r="H302" s="308"/>
      <c r="I302" s="309"/>
      <c r="J302" s="277"/>
      <c r="K302" s="278"/>
      <c r="L302" s="278"/>
      <c r="M302" s="279"/>
      <c r="N302" s="277"/>
      <c r="O302" s="278"/>
      <c r="P302" s="278"/>
      <c r="Q302" s="279"/>
      <c r="R302" s="277"/>
      <c r="S302" s="278"/>
      <c r="T302" s="278"/>
      <c r="U302" s="279"/>
      <c r="V302" s="280"/>
      <c r="W302" s="280"/>
      <c r="HW302" s="73" t="e">
        <f>CONCATENATE(#REF!,H302)</f>
        <v>#REF!</v>
      </c>
    </row>
    <row r="303" spans="1:231" thickBot="1">
      <c r="A303" s="281"/>
      <c r="B303" s="282"/>
      <c r="C303" s="283"/>
      <c r="D303" s="284"/>
      <c r="E303" s="285"/>
      <c r="F303" s="285"/>
      <c r="G303" s="286"/>
      <c r="H303" s="310"/>
      <c r="I303" s="311"/>
      <c r="J303" s="288"/>
      <c r="K303" s="289"/>
      <c r="L303" s="289"/>
      <c r="M303" s="290"/>
      <c r="N303" s="288"/>
      <c r="O303" s="289"/>
      <c r="P303" s="289"/>
      <c r="Q303" s="290"/>
      <c r="R303" s="288"/>
      <c r="S303" s="289"/>
      <c r="T303" s="289"/>
      <c r="U303" s="290"/>
      <c r="V303" s="291"/>
      <c r="W303" s="291"/>
      <c r="HW303" s="73" t="e">
        <f>CONCATENATE(#REF!,H303)</f>
        <v>#REF!</v>
      </c>
    </row>
    <row r="304" spans="1:231" thickTop="1">
      <c r="A304" s="292"/>
      <c r="B304" s="293"/>
      <c r="C304" s="294"/>
      <c r="D304" s="295"/>
      <c r="E304" s="296"/>
      <c r="F304" s="296"/>
      <c r="G304" s="297"/>
      <c r="H304" s="303"/>
      <c r="I304" s="304"/>
      <c r="J304" s="299"/>
      <c r="K304" s="300"/>
      <c r="L304" s="300"/>
      <c r="M304" s="301"/>
      <c r="N304" s="299"/>
      <c r="O304" s="300"/>
      <c r="P304" s="300"/>
      <c r="Q304" s="301"/>
      <c r="R304" s="299"/>
      <c r="S304" s="300"/>
      <c r="T304" s="300"/>
      <c r="U304" s="301"/>
      <c r="V304" s="302"/>
      <c r="W304" s="302"/>
      <c r="HW304" s="73" t="e">
        <f>CONCATENATE(#REF!,H304)</f>
        <v>#REF!</v>
      </c>
    </row>
    <row r="305" spans="1:231" ht="16.8">
      <c r="A305" s="270"/>
      <c r="B305" s="271"/>
      <c r="C305" s="272"/>
      <c r="D305" s="273"/>
      <c r="E305" s="274"/>
      <c r="F305" s="274"/>
      <c r="G305" s="275"/>
      <c r="H305" s="308"/>
      <c r="I305" s="309"/>
      <c r="J305" s="277"/>
      <c r="K305" s="278"/>
      <c r="L305" s="278"/>
      <c r="M305" s="279"/>
      <c r="N305" s="277"/>
      <c r="O305" s="278"/>
      <c r="P305" s="278"/>
      <c r="Q305" s="279"/>
      <c r="R305" s="277"/>
      <c r="S305" s="278"/>
      <c r="T305" s="278"/>
      <c r="U305" s="279"/>
      <c r="V305" s="280"/>
      <c r="W305" s="280"/>
      <c r="HW305" s="73" t="e">
        <f>CONCATENATE(#REF!,H305)</f>
        <v>#REF!</v>
      </c>
    </row>
    <row r="306" spans="1:231" ht="16.8">
      <c r="A306" s="270"/>
      <c r="B306" s="271"/>
      <c r="C306" s="272"/>
      <c r="D306" s="273"/>
      <c r="E306" s="274"/>
      <c r="F306" s="274"/>
      <c r="G306" s="275"/>
      <c r="H306" s="308"/>
      <c r="I306" s="309"/>
      <c r="J306" s="277"/>
      <c r="K306" s="278"/>
      <c r="L306" s="278"/>
      <c r="M306" s="279"/>
      <c r="N306" s="277"/>
      <c r="O306" s="278"/>
      <c r="P306" s="278"/>
      <c r="Q306" s="279"/>
      <c r="R306" s="277"/>
      <c r="S306" s="278"/>
      <c r="T306" s="278"/>
      <c r="U306" s="279"/>
      <c r="V306" s="280"/>
      <c r="W306" s="280"/>
      <c r="HW306" s="73" t="e">
        <f>CONCATENATE(#REF!,H306)</f>
        <v>#REF!</v>
      </c>
    </row>
    <row r="307" spans="1:231" ht="16.8">
      <c r="A307" s="270"/>
      <c r="B307" s="271"/>
      <c r="C307" s="272"/>
      <c r="D307" s="273"/>
      <c r="E307" s="274"/>
      <c r="F307" s="274"/>
      <c r="G307" s="275"/>
      <c r="H307" s="308"/>
      <c r="I307" s="309"/>
      <c r="J307" s="277"/>
      <c r="K307" s="278"/>
      <c r="L307" s="278"/>
      <c r="M307" s="279"/>
      <c r="N307" s="277"/>
      <c r="O307" s="278"/>
      <c r="P307" s="278"/>
      <c r="Q307" s="279"/>
      <c r="R307" s="277"/>
      <c r="S307" s="278"/>
      <c r="T307" s="278"/>
      <c r="U307" s="279"/>
      <c r="V307" s="280"/>
      <c r="W307" s="280"/>
      <c r="HW307" s="73" t="e">
        <f>CONCATENATE(#REF!,H307)</f>
        <v>#REF!</v>
      </c>
    </row>
    <row r="308" spans="1:231" thickBot="1">
      <c r="A308" s="281"/>
      <c r="B308" s="282"/>
      <c r="C308" s="283"/>
      <c r="D308" s="284"/>
      <c r="E308" s="285"/>
      <c r="F308" s="285"/>
      <c r="G308" s="286"/>
      <c r="H308" s="310"/>
      <c r="I308" s="311"/>
      <c r="J308" s="288"/>
      <c r="K308" s="289"/>
      <c r="L308" s="289"/>
      <c r="M308" s="290"/>
      <c r="N308" s="288"/>
      <c r="O308" s="289"/>
      <c r="P308" s="289"/>
      <c r="Q308" s="290"/>
      <c r="R308" s="288"/>
      <c r="S308" s="289"/>
      <c r="T308" s="289"/>
      <c r="U308" s="290"/>
      <c r="V308" s="291"/>
      <c r="W308" s="291"/>
      <c r="HW308" s="73" t="e">
        <f>CONCATENATE(#REF!,H308)</f>
        <v>#REF!</v>
      </c>
    </row>
    <row r="309" spans="1:231" thickTop="1">
      <c r="A309" s="292"/>
      <c r="B309" s="293"/>
      <c r="C309" s="294"/>
      <c r="D309" s="295"/>
      <c r="E309" s="296"/>
      <c r="F309" s="296"/>
      <c r="G309" s="297"/>
      <c r="H309" s="303"/>
      <c r="I309" s="304"/>
      <c r="J309" s="299"/>
      <c r="K309" s="300"/>
      <c r="L309" s="300"/>
      <c r="M309" s="301"/>
      <c r="N309" s="299"/>
      <c r="O309" s="300"/>
      <c r="P309" s="300"/>
      <c r="Q309" s="301"/>
      <c r="R309" s="299"/>
      <c r="S309" s="300"/>
      <c r="T309" s="300"/>
      <c r="U309" s="301"/>
      <c r="V309" s="302"/>
      <c r="W309" s="302"/>
      <c r="HW309" s="73" t="e">
        <f>CONCATENATE(#REF!,H309)</f>
        <v>#REF!</v>
      </c>
    </row>
    <row r="310" spans="1:231" ht="16.8">
      <c r="A310" s="270"/>
      <c r="B310" s="271"/>
      <c r="C310" s="272"/>
      <c r="D310" s="273"/>
      <c r="E310" s="274"/>
      <c r="F310" s="274"/>
      <c r="G310" s="275"/>
      <c r="H310" s="308"/>
      <c r="I310" s="309"/>
      <c r="J310" s="277"/>
      <c r="K310" s="278"/>
      <c r="L310" s="278"/>
      <c r="M310" s="279"/>
      <c r="N310" s="277"/>
      <c r="O310" s="278"/>
      <c r="P310" s="278"/>
      <c r="Q310" s="279"/>
      <c r="R310" s="277"/>
      <c r="S310" s="278"/>
      <c r="T310" s="278"/>
      <c r="U310" s="279"/>
      <c r="V310" s="280"/>
      <c r="W310" s="280"/>
      <c r="HW310" s="73" t="e">
        <f>CONCATENATE(#REF!,H310)</f>
        <v>#REF!</v>
      </c>
    </row>
    <row r="311" spans="1:231" ht="16.8">
      <c r="A311" s="270"/>
      <c r="B311" s="271"/>
      <c r="C311" s="272"/>
      <c r="D311" s="273"/>
      <c r="E311" s="274"/>
      <c r="F311" s="274"/>
      <c r="G311" s="275"/>
      <c r="H311" s="308"/>
      <c r="I311" s="309"/>
      <c r="J311" s="277"/>
      <c r="K311" s="278"/>
      <c r="L311" s="278"/>
      <c r="M311" s="279"/>
      <c r="N311" s="277"/>
      <c r="O311" s="278"/>
      <c r="P311" s="278"/>
      <c r="Q311" s="279"/>
      <c r="R311" s="277"/>
      <c r="S311" s="278"/>
      <c r="T311" s="278"/>
      <c r="U311" s="279"/>
      <c r="V311" s="280"/>
      <c r="W311" s="280"/>
      <c r="HW311" s="73" t="e">
        <f>CONCATENATE(#REF!,H311)</f>
        <v>#REF!</v>
      </c>
    </row>
    <row r="312" spans="1:231" ht="16.8">
      <c r="A312" s="270"/>
      <c r="B312" s="271"/>
      <c r="C312" s="272"/>
      <c r="D312" s="273"/>
      <c r="E312" s="274"/>
      <c r="F312" s="274"/>
      <c r="G312" s="275"/>
      <c r="H312" s="308"/>
      <c r="I312" s="309"/>
      <c r="J312" s="277"/>
      <c r="K312" s="278"/>
      <c r="L312" s="278"/>
      <c r="M312" s="279"/>
      <c r="N312" s="277"/>
      <c r="O312" s="278"/>
      <c r="P312" s="278"/>
      <c r="Q312" s="279"/>
      <c r="R312" s="277"/>
      <c r="S312" s="278"/>
      <c r="T312" s="278"/>
      <c r="U312" s="279"/>
      <c r="V312" s="280"/>
      <c r="W312" s="280"/>
      <c r="HW312" s="73" t="e">
        <f>CONCATENATE(#REF!,H312)</f>
        <v>#REF!</v>
      </c>
    </row>
    <row r="313" spans="1:231" thickBot="1">
      <c r="A313" s="281"/>
      <c r="B313" s="282"/>
      <c r="C313" s="283"/>
      <c r="D313" s="284"/>
      <c r="E313" s="285"/>
      <c r="F313" s="285"/>
      <c r="G313" s="286"/>
      <c r="H313" s="310"/>
      <c r="I313" s="311"/>
      <c r="J313" s="288"/>
      <c r="K313" s="289"/>
      <c r="L313" s="289"/>
      <c r="M313" s="290"/>
      <c r="N313" s="288"/>
      <c r="O313" s="289"/>
      <c r="P313" s="289"/>
      <c r="Q313" s="290"/>
      <c r="R313" s="288"/>
      <c r="S313" s="289"/>
      <c r="T313" s="289"/>
      <c r="U313" s="290"/>
      <c r="V313" s="291"/>
      <c r="W313" s="291"/>
      <c r="HW313" s="73" t="e">
        <f>CONCATENATE(#REF!,H313)</f>
        <v>#REF!</v>
      </c>
    </row>
    <row r="314" spans="1:231" thickTop="1">
      <c r="A314" s="292"/>
      <c r="B314" s="293"/>
      <c r="C314" s="294"/>
      <c r="D314" s="295"/>
      <c r="E314" s="296"/>
      <c r="F314" s="296"/>
      <c r="G314" s="297"/>
      <c r="H314" s="303"/>
      <c r="I314" s="304"/>
      <c r="J314" s="299"/>
      <c r="K314" s="300"/>
      <c r="L314" s="300"/>
      <c r="M314" s="301"/>
      <c r="N314" s="299"/>
      <c r="O314" s="300"/>
      <c r="P314" s="300"/>
      <c r="Q314" s="301"/>
      <c r="R314" s="299"/>
      <c r="S314" s="300"/>
      <c r="T314" s="300"/>
      <c r="U314" s="301"/>
      <c r="V314" s="302"/>
      <c r="W314" s="302"/>
      <c r="HW314" s="73" t="e">
        <f>CONCATENATE(#REF!,H314)</f>
        <v>#REF!</v>
      </c>
    </row>
    <row r="315" spans="1:231" ht="16.8">
      <c r="A315" s="270"/>
      <c r="B315" s="271"/>
      <c r="C315" s="272"/>
      <c r="D315" s="273"/>
      <c r="E315" s="274"/>
      <c r="F315" s="274"/>
      <c r="G315" s="275"/>
      <c r="H315" s="308"/>
      <c r="I315" s="309"/>
      <c r="J315" s="277"/>
      <c r="K315" s="278"/>
      <c r="L315" s="278"/>
      <c r="M315" s="279"/>
      <c r="N315" s="277"/>
      <c r="O315" s="278"/>
      <c r="P315" s="278"/>
      <c r="Q315" s="279"/>
      <c r="R315" s="277"/>
      <c r="S315" s="278"/>
      <c r="T315" s="278"/>
      <c r="U315" s="279"/>
      <c r="V315" s="280"/>
      <c r="W315" s="280"/>
      <c r="HW315" s="73" t="e">
        <f>CONCATENATE(#REF!,H315)</f>
        <v>#REF!</v>
      </c>
    </row>
    <row r="316" spans="1:231" ht="16.8">
      <c r="A316" s="270"/>
      <c r="B316" s="271"/>
      <c r="C316" s="272"/>
      <c r="D316" s="273"/>
      <c r="E316" s="274"/>
      <c r="F316" s="274"/>
      <c r="G316" s="275"/>
      <c r="H316" s="308"/>
      <c r="I316" s="309"/>
      <c r="J316" s="277"/>
      <c r="K316" s="278"/>
      <c r="L316" s="278"/>
      <c r="M316" s="279"/>
      <c r="N316" s="277"/>
      <c r="O316" s="278"/>
      <c r="P316" s="278"/>
      <c r="Q316" s="279"/>
      <c r="R316" s="277"/>
      <c r="S316" s="278"/>
      <c r="T316" s="278"/>
      <c r="U316" s="279"/>
      <c r="V316" s="280"/>
      <c r="W316" s="280"/>
      <c r="HW316" s="73" t="e">
        <f>CONCATENATE(#REF!,H316)</f>
        <v>#REF!</v>
      </c>
    </row>
    <row r="317" spans="1:231" ht="16.8">
      <c r="A317" s="270"/>
      <c r="B317" s="271"/>
      <c r="C317" s="272"/>
      <c r="D317" s="273"/>
      <c r="E317" s="274"/>
      <c r="F317" s="274"/>
      <c r="G317" s="275"/>
      <c r="H317" s="308"/>
      <c r="I317" s="309"/>
      <c r="J317" s="277"/>
      <c r="K317" s="278"/>
      <c r="L317" s="278"/>
      <c r="M317" s="279"/>
      <c r="N317" s="277"/>
      <c r="O317" s="278"/>
      <c r="P317" s="278"/>
      <c r="Q317" s="279"/>
      <c r="R317" s="277"/>
      <c r="S317" s="278"/>
      <c r="T317" s="278"/>
      <c r="U317" s="279"/>
      <c r="V317" s="280"/>
      <c r="W317" s="280"/>
      <c r="HW317" s="73" t="e">
        <f>CONCATENATE(#REF!,H317)</f>
        <v>#REF!</v>
      </c>
    </row>
    <row r="318" spans="1:231" thickBot="1">
      <c r="A318" s="281"/>
      <c r="B318" s="282"/>
      <c r="C318" s="283"/>
      <c r="D318" s="284"/>
      <c r="E318" s="285"/>
      <c r="F318" s="285"/>
      <c r="G318" s="286"/>
      <c r="H318" s="310"/>
      <c r="I318" s="311"/>
      <c r="J318" s="288"/>
      <c r="K318" s="289"/>
      <c r="L318" s="289"/>
      <c r="M318" s="290"/>
      <c r="N318" s="288"/>
      <c r="O318" s="289"/>
      <c r="P318" s="289"/>
      <c r="Q318" s="290"/>
      <c r="R318" s="288"/>
      <c r="S318" s="289"/>
      <c r="T318" s="289"/>
      <c r="U318" s="290"/>
      <c r="V318" s="291"/>
      <c r="W318" s="291"/>
      <c r="HW318" s="73" t="e">
        <f>CONCATENATE(#REF!,H318)</f>
        <v>#REF!</v>
      </c>
    </row>
    <row r="319" spans="1:231" thickTop="1">
      <c r="A319" s="292"/>
      <c r="B319" s="293"/>
      <c r="C319" s="294"/>
      <c r="D319" s="295"/>
      <c r="E319" s="296"/>
      <c r="F319" s="296"/>
      <c r="G319" s="297"/>
      <c r="H319" s="303"/>
      <c r="I319" s="304"/>
      <c r="J319" s="299"/>
      <c r="K319" s="300"/>
      <c r="L319" s="300"/>
      <c r="M319" s="301"/>
      <c r="N319" s="299"/>
      <c r="O319" s="300"/>
      <c r="P319" s="300"/>
      <c r="Q319" s="301"/>
      <c r="R319" s="299"/>
      <c r="S319" s="300"/>
      <c r="T319" s="300"/>
      <c r="U319" s="301"/>
      <c r="V319" s="302"/>
      <c r="W319" s="302"/>
      <c r="HW319" s="73" t="e">
        <f>CONCATENATE(#REF!,H319)</f>
        <v>#REF!</v>
      </c>
    </row>
    <row r="320" spans="1:231" ht="16.8">
      <c r="A320" s="270"/>
      <c r="B320" s="271"/>
      <c r="C320" s="272"/>
      <c r="D320" s="273"/>
      <c r="E320" s="274"/>
      <c r="F320" s="274"/>
      <c r="G320" s="275"/>
      <c r="H320" s="308"/>
      <c r="I320" s="309"/>
      <c r="J320" s="277"/>
      <c r="K320" s="278"/>
      <c r="L320" s="278"/>
      <c r="M320" s="279"/>
      <c r="N320" s="277"/>
      <c r="O320" s="278"/>
      <c r="P320" s="278"/>
      <c r="Q320" s="279"/>
      <c r="R320" s="277"/>
      <c r="S320" s="278"/>
      <c r="T320" s="278"/>
      <c r="U320" s="279"/>
      <c r="V320" s="280"/>
      <c r="W320" s="280"/>
      <c r="HW320" s="73" t="e">
        <f>CONCATENATE(#REF!,H320)</f>
        <v>#REF!</v>
      </c>
    </row>
    <row r="321" spans="1:231" ht="16.8">
      <c r="A321" s="270"/>
      <c r="B321" s="271"/>
      <c r="C321" s="272"/>
      <c r="D321" s="273"/>
      <c r="E321" s="274"/>
      <c r="F321" s="274"/>
      <c r="G321" s="275"/>
      <c r="H321" s="308"/>
      <c r="I321" s="309"/>
      <c r="J321" s="277"/>
      <c r="K321" s="278"/>
      <c r="L321" s="278"/>
      <c r="M321" s="279"/>
      <c r="N321" s="277"/>
      <c r="O321" s="278"/>
      <c r="P321" s="278"/>
      <c r="Q321" s="279"/>
      <c r="R321" s="277"/>
      <c r="S321" s="278"/>
      <c r="T321" s="278"/>
      <c r="U321" s="279"/>
      <c r="V321" s="280"/>
      <c r="W321" s="280"/>
      <c r="HW321" s="73" t="e">
        <f>CONCATENATE(#REF!,H321)</f>
        <v>#REF!</v>
      </c>
    </row>
    <row r="322" spans="1:231" ht="16.8">
      <c r="A322" s="270"/>
      <c r="B322" s="271"/>
      <c r="C322" s="272"/>
      <c r="D322" s="273"/>
      <c r="E322" s="274"/>
      <c r="F322" s="274"/>
      <c r="G322" s="275"/>
      <c r="H322" s="308"/>
      <c r="I322" s="309"/>
      <c r="J322" s="277"/>
      <c r="K322" s="278"/>
      <c r="L322" s="278"/>
      <c r="M322" s="279"/>
      <c r="N322" s="277"/>
      <c r="O322" s="278"/>
      <c r="P322" s="278"/>
      <c r="Q322" s="279"/>
      <c r="R322" s="277"/>
      <c r="S322" s="278"/>
      <c r="T322" s="278"/>
      <c r="U322" s="279"/>
      <c r="V322" s="280"/>
      <c r="W322" s="280"/>
      <c r="HW322" s="73" t="e">
        <f>CONCATENATE(#REF!,H322)</f>
        <v>#REF!</v>
      </c>
    </row>
    <row r="323" spans="1:231" thickBot="1">
      <c r="A323" s="281"/>
      <c r="B323" s="282"/>
      <c r="C323" s="283"/>
      <c r="D323" s="284"/>
      <c r="E323" s="285"/>
      <c r="F323" s="285"/>
      <c r="G323" s="286"/>
      <c r="H323" s="310"/>
      <c r="I323" s="311"/>
      <c r="J323" s="288"/>
      <c r="K323" s="289"/>
      <c r="L323" s="289"/>
      <c r="M323" s="290"/>
      <c r="N323" s="288"/>
      <c r="O323" s="289"/>
      <c r="P323" s="289"/>
      <c r="Q323" s="290"/>
      <c r="R323" s="288"/>
      <c r="S323" s="289"/>
      <c r="T323" s="289"/>
      <c r="U323" s="290"/>
      <c r="V323" s="291"/>
      <c r="W323" s="291"/>
      <c r="HW323" s="73" t="e">
        <f>CONCATENATE(#REF!,H323)</f>
        <v>#REF!</v>
      </c>
    </row>
    <row r="324" spans="1:231" thickTop="1">
      <c r="A324" s="292"/>
      <c r="B324" s="293"/>
      <c r="C324" s="294"/>
      <c r="D324" s="295"/>
      <c r="E324" s="296"/>
      <c r="F324" s="296"/>
      <c r="G324" s="297"/>
      <c r="H324" s="303"/>
      <c r="I324" s="304"/>
      <c r="J324" s="299"/>
      <c r="K324" s="300"/>
      <c r="L324" s="300"/>
      <c r="M324" s="301"/>
      <c r="N324" s="299"/>
      <c r="O324" s="300"/>
      <c r="P324" s="300"/>
      <c r="Q324" s="301"/>
      <c r="R324" s="299"/>
      <c r="S324" s="300"/>
      <c r="T324" s="300"/>
      <c r="U324" s="301"/>
      <c r="V324" s="302"/>
      <c r="W324" s="302"/>
      <c r="HW324" s="73" t="e">
        <f>CONCATENATE(#REF!,H324)</f>
        <v>#REF!</v>
      </c>
    </row>
    <row r="325" spans="1:231" ht="16.8">
      <c r="A325" s="270">
        <v>282</v>
      </c>
      <c r="B325" s="271"/>
      <c r="C325" s="272"/>
      <c r="D325" s="273"/>
      <c r="E325" s="274"/>
      <c r="F325" s="274"/>
      <c r="G325" s="275"/>
      <c r="H325" s="308"/>
      <c r="I325" s="309"/>
      <c r="J325" s="277"/>
      <c r="K325" s="278"/>
      <c r="L325" s="278"/>
      <c r="M325" s="279"/>
      <c r="N325" s="277"/>
      <c r="O325" s="278"/>
      <c r="P325" s="278"/>
      <c r="Q325" s="279"/>
      <c r="R325" s="277"/>
      <c r="S325" s="278"/>
      <c r="T325" s="278"/>
      <c r="U325" s="279"/>
      <c r="V325" s="280"/>
      <c r="W325" s="280"/>
      <c r="HW325" s="73" t="e">
        <f>CONCATENATE(#REF!,H325)</f>
        <v>#REF!</v>
      </c>
    </row>
    <row r="326" spans="1:231" ht="13.2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HW326" s="73" t="e">
        <f>CONCATENATE(#REF!,H326)</f>
        <v>#REF!</v>
      </c>
    </row>
    <row r="327" spans="1:231" ht="13.2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HW327" s="73" t="e">
        <f>CONCATENATE(#REF!,H327)</f>
        <v>#REF!</v>
      </c>
    </row>
    <row r="328" spans="1:231" ht="13.2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HW328" s="73" t="e">
        <f>CONCATENATE(#REF!,H328)</f>
        <v>#REF!</v>
      </c>
    </row>
    <row r="329" spans="1:231" ht="13.2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HW329" s="73" t="e">
        <f>CONCATENATE(#REF!,H329)</f>
        <v>#REF!</v>
      </c>
    </row>
    <row r="330" spans="1:231" ht="13.2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HW330" s="73" t="e">
        <f>CONCATENATE(#REF!,H330)</f>
        <v>#REF!</v>
      </c>
    </row>
    <row r="331" spans="1:231" ht="13.2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HW331" s="73" t="e">
        <f>CONCATENATE(#REF!,H331)</f>
        <v>#REF!</v>
      </c>
    </row>
    <row r="332" spans="1:231" ht="13.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HW332" s="73" t="e">
        <f>CONCATENATE(#REF!,H332)</f>
        <v>#REF!</v>
      </c>
    </row>
    <row r="333" spans="1:231" ht="13.2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HW333" s="73" t="e">
        <f>CONCATENATE(#REF!,H333)</f>
        <v>#REF!</v>
      </c>
    </row>
    <row r="334" spans="1:231" ht="13.2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HW334" s="73" t="e">
        <f>CONCATENATE(#REF!,H334)</f>
        <v>#REF!</v>
      </c>
    </row>
    <row r="335" spans="1:231" ht="13.2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HW335" s="73" t="e">
        <f>CONCATENATE(#REF!,H335)</f>
        <v>#REF!</v>
      </c>
    </row>
    <row r="336" spans="1:231" ht="13.2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HW336" s="73" t="e">
        <f>CONCATENATE(#REF!,H336)</f>
        <v>#REF!</v>
      </c>
    </row>
    <row r="337" spans="1:231" ht="13.2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HW337" s="73" t="e">
        <f>CONCATENATE(#REF!,H337)</f>
        <v>#REF!</v>
      </c>
    </row>
    <row r="338" spans="1:231" ht="13.2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HW338" s="73" t="e">
        <f>CONCATENATE(#REF!,H338)</f>
        <v>#REF!</v>
      </c>
    </row>
    <row r="339" spans="1:231" ht="13.2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HW339" s="73" t="e">
        <f>CONCATENATE(#REF!,H339)</f>
        <v>#REF!</v>
      </c>
    </row>
    <row r="340" spans="1:231" ht="13.2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HW340" s="73" t="e">
        <f>CONCATENATE(#REF!,H340)</f>
        <v>#REF!</v>
      </c>
    </row>
    <row r="341" spans="1:231" ht="13.2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HW341" s="73" t="e">
        <f>CONCATENATE(#REF!,H341)</f>
        <v>#REF!</v>
      </c>
    </row>
    <row r="342" spans="1:231" ht="13.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HW342" s="73" t="e">
        <f>CONCATENATE(#REF!,H342)</f>
        <v>#REF!</v>
      </c>
    </row>
    <row r="343" spans="1:231" ht="13.2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 spans="1:231" ht="13.2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 spans="1:231" ht="13.2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 spans="1:231" ht="13.2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 spans="1:231" ht="13.2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 spans="1:231" ht="13.2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 spans="1:231" ht="13.2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 spans="1:231" ht="13.2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 spans="1:231" ht="13.2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 spans="1:231" ht="13.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 s="66" customFormat="1" ht="13.2"/>
    <row r="354" s="66" customFormat="1" ht="13.2"/>
    <row r="355" s="66" customFormat="1" ht="13.2"/>
    <row r="356" s="66" customFormat="1" ht="13.2"/>
    <row r="357" s="66" customFormat="1" ht="13.2"/>
    <row r="358" s="66" customFormat="1" ht="13.2"/>
    <row r="359" s="66" customFormat="1" ht="13.2"/>
    <row r="360" s="66" customFormat="1" ht="13.2"/>
    <row r="361" s="66" customFormat="1" ht="13.2"/>
    <row r="362" s="66" customFormat="1" ht="13.2"/>
    <row r="363" s="66" customFormat="1" ht="13.2"/>
    <row r="364" s="66" customFormat="1" ht="13.2"/>
    <row r="365" s="66" customFormat="1" ht="13.2"/>
    <row r="366" s="66" customFormat="1" ht="13.2"/>
    <row r="367" s="66" customFormat="1" ht="13.2"/>
    <row r="368" s="66" customFormat="1" ht="13.2"/>
    <row r="369" s="66" customFormat="1" ht="13.2"/>
    <row r="370" s="66" customFormat="1" ht="13.2"/>
    <row r="371" s="66" customFormat="1" ht="13.2"/>
    <row r="372" s="66" customFormat="1" ht="13.2"/>
    <row r="373" s="66" customFormat="1" ht="13.2"/>
    <row r="374" s="66" customFormat="1" ht="13.2"/>
    <row r="375" s="66" customFormat="1" ht="13.2"/>
    <row r="376" s="66" customFormat="1" ht="13.2"/>
    <row r="377" s="66" customFormat="1" ht="13.2"/>
    <row r="378" s="66" customFormat="1" ht="13.2"/>
    <row r="379" s="66" customFormat="1" ht="13.2"/>
    <row r="380" s="66" customFormat="1" ht="13.2"/>
    <row r="381" s="66" customFormat="1" ht="13.2"/>
    <row r="382" s="66" customFormat="1" ht="13.2"/>
    <row r="383" s="66" customFormat="1" ht="13.2"/>
    <row r="384" s="66" customFormat="1" ht="13.2"/>
    <row r="385" s="66" customFormat="1" ht="13.2"/>
    <row r="386" s="66" customFormat="1" ht="13.2"/>
    <row r="387" s="66" customFormat="1" ht="13.2"/>
    <row r="388" s="66" customFormat="1" ht="13.2"/>
    <row r="389" s="66" customFormat="1" ht="13.2"/>
    <row r="390" s="66" customFormat="1" ht="13.2"/>
    <row r="391" s="66" customFormat="1" ht="13.2"/>
    <row r="392" s="66" customFormat="1" ht="13.2"/>
    <row r="393" s="66" customFormat="1" ht="13.2"/>
    <row r="394" s="66" customFormat="1" ht="13.2"/>
    <row r="395" s="66" customFormat="1" ht="13.2"/>
    <row r="396" s="66" customFormat="1" ht="13.2"/>
    <row r="397" s="66" customFormat="1" ht="13.2"/>
    <row r="398" s="66" customFormat="1" ht="13.2"/>
    <row r="399" s="66" customFormat="1" ht="13.2"/>
    <row r="400" s="66" customFormat="1" ht="13.2"/>
    <row r="401" s="66" customFormat="1" ht="13.2"/>
    <row r="402" s="66" customFormat="1" ht="13.2"/>
    <row r="403" s="66" customFormat="1" ht="13.2"/>
    <row r="404" s="66" customFormat="1" ht="13.2"/>
    <row r="405" s="66" customFormat="1" ht="13.2"/>
    <row r="406" s="66" customFormat="1" ht="13.2"/>
    <row r="407" s="66" customFormat="1" ht="13.2"/>
    <row r="408" s="66" customFormat="1" ht="13.2"/>
    <row r="409" s="66" customFormat="1" ht="13.2"/>
    <row r="410" s="66" customFormat="1" ht="13.2"/>
    <row r="411" s="66" customFormat="1" ht="13.2"/>
    <row r="412" s="66" customFormat="1" ht="13.2"/>
    <row r="413" s="66" customFormat="1" ht="13.2"/>
    <row r="414" s="66" customFormat="1" ht="13.2"/>
    <row r="415" s="66" customFormat="1" ht="13.2"/>
    <row r="416" s="66" customFormat="1" ht="13.2"/>
    <row r="417" s="66" customFormat="1" ht="13.2"/>
    <row r="418" s="66" customFormat="1" ht="13.2"/>
    <row r="419" s="66" customFormat="1" ht="13.2"/>
    <row r="420" s="66" customFormat="1" ht="13.2"/>
    <row r="421" s="66" customFormat="1" ht="13.2"/>
    <row r="422" s="66" customFormat="1" ht="13.2"/>
    <row r="423" s="66" customFormat="1" ht="13.2"/>
    <row r="424" s="66" customFormat="1" ht="13.2"/>
    <row r="425" s="66" customFormat="1" ht="13.2"/>
    <row r="426" s="66" customFormat="1" ht="13.2"/>
    <row r="427" s="66" customFormat="1" ht="13.2"/>
    <row r="428" s="66" customFormat="1" ht="13.2"/>
    <row r="429" s="66" customFormat="1" ht="13.2"/>
    <row r="430" s="66" customFormat="1" ht="13.2"/>
    <row r="431" s="66" customFormat="1" ht="13.2"/>
    <row r="432" s="66" customFormat="1" ht="13.2"/>
    <row r="433" s="66" customFormat="1" ht="13.2"/>
    <row r="434" s="66" customFormat="1" ht="13.2"/>
    <row r="435" s="66" customFormat="1" ht="13.2"/>
    <row r="436" s="66" customFormat="1" ht="13.2"/>
    <row r="437" s="66" customFormat="1" ht="13.2"/>
    <row r="438" s="66" customFormat="1" ht="13.2"/>
    <row r="439" s="66" customFormat="1" ht="13.2"/>
    <row r="440" s="66" customFormat="1" ht="13.2"/>
    <row r="441" s="66" customFormat="1" ht="13.2"/>
    <row r="442" s="66" customFormat="1" ht="13.2"/>
    <row r="443" s="66" customFormat="1" ht="13.2"/>
    <row r="444" s="66" customFormat="1" ht="13.2"/>
    <row r="445" s="66" customFormat="1" ht="13.2"/>
    <row r="446" s="66" customFormat="1" ht="13.2"/>
    <row r="447" s="66" customFormat="1" ht="13.2"/>
    <row r="448" s="66" customFormat="1" ht="13.2"/>
    <row r="449" s="66" customFormat="1" ht="13.2"/>
    <row r="450" s="66" customFormat="1" ht="13.2"/>
    <row r="451" s="66" customFormat="1" ht="13.2"/>
    <row r="452" s="66" customFormat="1" ht="13.2"/>
    <row r="453" s="66" customFormat="1" ht="13.2"/>
    <row r="454" s="66" customFormat="1" ht="13.2"/>
    <row r="455" s="66" customFormat="1" ht="13.2"/>
    <row r="456" s="66" customFormat="1" ht="13.2"/>
    <row r="457" s="66" customFormat="1" ht="13.2"/>
    <row r="458" s="66" customFormat="1" ht="13.2"/>
    <row r="459" s="66" customFormat="1" ht="13.2"/>
    <row r="460" s="66" customFormat="1" ht="13.2"/>
    <row r="461" s="66" customFormat="1" ht="13.2"/>
    <row r="462" s="66" customFormat="1" ht="13.2"/>
    <row r="463" s="66" customFormat="1" ht="13.2"/>
    <row r="464" s="66" customFormat="1" ht="13.2"/>
    <row r="465" s="66" customFormat="1" ht="13.2"/>
    <row r="466" s="66" customFormat="1" ht="13.2"/>
    <row r="467" s="66" customFormat="1" ht="13.2"/>
    <row r="468" s="66" customFormat="1" ht="13.2"/>
    <row r="469" s="66" customFormat="1" ht="13.2"/>
    <row r="470" s="66" customFormat="1" ht="13.2"/>
    <row r="471" s="66" customFormat="1" ht="13.2"/>
    <row r="472" s="66" customFormat="1" ht="13.2"/>
    <row r="473" s="66" customFormat="1" ht="13.2"/>
    <row r="474" s="66" customFormat="1" ht="13.2"/>
    <row r="475" s="66" customFormat="1" ht="13.2"/>
    <row r="476" s="66" customFormat="1" ht="13.2"/>
    <row r="477" s="66" customFormat="1" ht="13.2"/>
    <row r="478" s="66" customFormat="1" ht="13.2"/>
    <row r="479" s="66" customFormat="1" ht="13.2"/>
    <row r="480" s="66" customFormat="1" ht="13.2"/>
    <row r="481" s="66" customFormat="1" ht="13.2"/>
    <row r="482" s="66" customFormat="1" ht="13.2"/>
    <row r="483" s="66" customFormat="1" ht="13.2"/>
    <row r="484" s="66" customFormat="1" ht="13.2"/>
    <row r="485" s="66" customFormat="1" ht="13.2"/>
    <row r="486" s="66" customFormat="1" ht="13.2"/>
    <row r="487" s="66" customFormat="1" ht="13.2"/>
    <row r="488" s="66" customFormat="1" ht="13.2"/>
    <row r="489" s="66" customFormat="1" ht="13.2"/>
    <row r="490" s="66" customFormat="1" ht="13.2"/>
    <row r="491" s="66" customFormat="1" ht="13.2"/>
    <row r="492" s="66" customFormat="1" ht="13.2"/>
    <row r="493" s="66" customFormat="1" ht="13.2"/>
    <row r="494" s="66" customFormat="1" ht="13.2"/>
    <row r="495" s="66" customFormat="1" ht="13.2"/>
    <row r="496" s="66" customFormat="1" ht="13.2"/>
    <row r="497" s="66" customFormat="1" ht="13.2"/>
    <row r="498" s="66" customFormat="1" ht="13.2"/>
    <row r="499" s="66" customFormat="1" ht="13.2"/>
    <row r="500" s="66" customFormat="1" ht="13.2"/>
    <row r="501" s="66" customFormat="1" ht="13.2"/>
    <row r="502" s="66" customFormat="1" ht="13.2"/>
    <row r="503" s="66" customFormat="1" ht="13.2"/>
    <row r="504" s="66" customFormat="1" ht="13.2"/>
    <row r="505" s="66" customFormat="1" ht="13.2"/>
    <row r="506" s="66" customFormat="1" ht="13.2"/>
    <row r="507" s="66" customFormat="1" ht="13.2"/>
    <row r="508" s="66" customFormat="1" ht="13.2"/>
    <row r="509" s="66" customFormat="1" ht="13.2"/>
    <row r="510" s="66" customFormat="1" ht="13.2"/>
    <row r="511" s="66" customFormat="1" ht="13.2"/>
    <row r="512" s="66" customFormat="1" ht="13.2"/>
    <row r="513" s="66" customFormat="1" ht="13.2"/>
    <row r="514" s="66" customFormat="1" ht="13.2"/>
    <row r="515" s="66" customFormat="1" ht="13.2"/>
    <row r="516" s="66" customFormat="1" ht="13.2"/>
    <row r="517" s="66" customFormat="1" ht="13.2"/>
    <row r="518" s="66" customFormat="1" ht="13.2"/>
    <row r="519" s="66" customFormat="1" ht="13.2"/>
    <row r="520" s="66" customFormat="1" ht="13.2"/>
    <row r="521" s="66" customFormat="1" ht="13.2"/>
    <row r="522" s="66" customFormat="1" ht="13.2"/>
    <row r="523" s="66" customFormat="1" ht="13.2"/>
    <row r="524" s="66" customFormat="1" ht="13.2"/>
    <row r="525" s="66" customFormat="1" ht="13.2"/>
    <row r="526" s="66" customFormat="1" ht="13.2"/>
    <row r="527" s="66" customFormat="1" ht="13.2"/>
    <row r="528" s="66" customFormat="1" ht="13.2"/>
    <row r="529" s="66" customFormat="1" ht="13.2"/>
    <row r="530" s="66" customFormat="1" ht="13.2"/>
    <row r="531" s="66" customFormat="1" ht="13.2"/>
    <row r="532" s="66" customFormat="1" ht="13.2"/>
    <row r="533" s="66" customFormat="1" ht="13.2"/>
    <row r="534" s="66" customFormat="1" ht="13.2"/>
    <row r="535" s="66" customFormat="1" ht="13.2"/>
    <row r="536" s="66" customFormat="1" ht="13.2"/>
    <row r="537" s="66" customFormat="1" ht="13.2"/>
    <row r="538" s="66" customFormat="1" ht="13.2"/>
    <row r="539" s="66" customFormat="1" ht="13.2"/>
    <row r="540" s="66" customFormat="1" ht="13.2"/>
    <row r="541" s="66" customFormat="1" ht="13.2"/>
    <row r="542" s="66" customFormat="1" ht="13.2"/>
    <row r="543" s="66" customFormat="1" ht="13.2"/>
    <row r="544" s="66" customFormat="1" ht="13.2"/>
    <row r="545" s="66" customFormat="1" ht="13.2"/>
    <row r="546" s="66" customFormat="1" ht="13.2"/>
    <row r="547" s="66" customFormat="1" ht="13.2"/>
    <row r="548" s="66" customFormat="1" ht="13.2"/>
    <row r="549" s="66" customFormat="1" ht="13.2"/>
    <row r="550" s="66" customFormat="1" ht="13.2"/>
    <row r="551" s="66" customFormat="1" ht="13.2"/>
    <row r="552" s="66" customFormat="1" ht="13.2"/>
    <row r="553" s="66" customFormat="1" ht="13.2"/>
    <row r="554" s="66" customFormat="1" ht="13.2"/>
    <row r="555" s="66" customFormat="1" ht="13.2"/>
    <row r="556" s="66" customFormat="1" ht="13.2"/>
    <row r="557" s="66" customFormat="1" ht="13.2"/>
    <row r="558" s="66" customFormat="1" ht="13.2"/>
    <row r="559" s="66" customFormat="1" ht="13.2"/>
    <row r="560" s="66" customFormat="1" ht="13.2"/>
    <row r="561" s="66" customFormat="1" ht="13.2"/>
    <row r="562" s="66" customFormat="1" ht="13.2"/>
    <row r="563" s="66" customFormat="1" ht="13.2"/>
    <row r="564" s="66" customFormat="1" ht="13.2"/>
    <row r="565" s="66" customFormat="1" ht="13.2"/>
    <row r="566" s="66" customFormat="1" ht="13.2"/>
    <row r="567" s="66" customFormat="1" ht="13.2"/>
    <row r="568" s="66" customFormat="1" ht="13.2"/>
    <row r="569" s="66" customFormat="1" ht="13.2"/>
    <row r="570" s="66" customFormat="1" ht="13.2"/>
    <row r="571" s="66" customFormat="1" ht="13.2"/>
    <row r="572" s="66" customFormat="1" ht="13.2"/>
    <row r="573" s="66" customFormat="1" ht="13.2"/>
    <row r="574" s="66" customFormat="1" ht="13.2"/>
    <row r="575" s="66" customFormat="1" ht="13.2"/>
    <row r="576" s="66" customFormat="1" ht="13.2"/>
    <row r="577" s="66" customFormat="1" ht="13.2"/>
    <row r="578" s="66" customFormat="1" ht="13.2"/>
    <row r="579" s="66" customFormat="1" ht="13.2"/>
    <row r="580" s="66" customFormat="1" ht="13.2"/>
    <row r="581" s="66" customFormat="1" ht="13.2"/>
    <row r="582" s="66" customFormat="1" ht="13.2"/>
    <row r="583" s="66" customFormat="1" ht="13.2"/>
    <row r="584" s="66" customFormat="1" ht="13.2"/>
    <row r="585" s="66" customFormat="1" ht="13.2"/>
    <row r="586" s="66" customFormat="1" ht="13.2"/>
    <row r="587" s="66" customFormat="1" ht="13.2"/>
    <row r="588" s="66" customFormat="1" ht="13.2"/>
    <row r="589" s="66" customFormat="1" ht="13.2"/>
    <row r="590" s="66" customFormat="1" ht="13.2"/>
    <row r="591" s="66" customFormat="1" ht="13.2"/>
    <row r="592" s="66" customFormat="1" ht="13.2"/>
    <row r="593" s="66" customFormat="1" ht="13.2"/>
    <row r="594" s="66" customFormat="1" ht="13.2"/>
    <row r="595" s="66" customFormat="1" ht="13.2"/>
    <row r="596" s="66" customFormat="1" ht="13.2"/>
    <row r="597" s="66" customFormat="1" ht="13.2"/>
    <row r="598" s="66" customFormat="1" ht="13.2"/>
    <row r="599" s="66" customFormat="1" ht="13.2"/>
    <row r="600" s="66" customFormat="1" ht="13.2"/>
    <row r="601" s="66" customFormat="1" ht="13.2"/>
    <row r="602" s="66" customFormat="1" ht="13.2"/>
    <row r="603" s="66" customFormat="1" ht="13.2"/>
    <row r="604" s="66" customFormat="1" ht="13.2"/>
    <row r="605" s="66" customFormat="1" ht="13.2"/>
    <row r="606" s="66" customFormat="1" ht="13.2"/>
    <row r="607" s="66" customFormat="1" ht="13.2"/>
    <row r="608" s="66" customFormat="1" ht="13.2"/>
    <row r="609" s="66" customFormat="1" ht="13.2"/>
    <row r="610" s="66" customFormat="1" ht="13.2"/>
    <row r="611" s="66" customFormat="1" ht="13.2"/>
    <row r="612" s="66" customFormat="1" ht="13.2"/>
    <row r="613" s="66" customFormat="1" ht="13.2"/>
    <row r="614" s="66" customFormat="1" ht="13.2"/>
    <row r="615" s="66" customFormat="1" ht="13.2"/>
    <row r="616" s="66" customFormat="1" ht="13.2"/>
    <row r="617" s="66" customFormat="1" ht="13.2"/>
    <row r="618" s="66" customFormat="1" ht="13.2"/>
    <row r="619" s="66" customFormat="1" ht="13.2"/>
    <row r="620" s="66" customFormat="1" ht="13.2"/>
    <row r="621" s="66" customFormat="1" ht="13.2"/>
    <row r="622" s="66" customFormat="1" ht="13.2"/>
    <row r="623" s="66" customFormat="1" ht="13.2"/>
    <row r="624" s="66" customFormat="1" ht="13.2"/>
    <row r="625" s="66" customFormat="1" ht="13.2"/>
    <row r="626" s="66" customFormat="1" ht="13.2"/>
    <row r="627" s="66" customFormat="1" ht="13.2"/>
    <row r="628" s="66" customFormat="1" ht="13.2"/>
    <row r="629" s="66" customFormat="1" ht="13.2"/>
    <row r="630" s="66" customFormat="1" ht="13.2"/>
    <row r="631" s="66" customFormat="1" ht="13.2"/>
    <row r="632" s="66" customFormat="1" ht="13.2"/>
    <row r="633" s="66" customFormat="1" ht="13.2"/>
    <row r="634" s="66" customFormat="1" ht="13.2"/>
    <row r="635" s="66" customFormat="1" ht="13.2"/>
    <row r="636" s="66" customFormat="1" ht="13.2"/>
    <row r="637" s="66" customFormat="1" ht="13.2"/>
    <row r="638" s="66" customFormat="1" ht="13.2"/>
    <row r="639" s="66" customFormat="1" ht="13.2"/>
    <row r="640" s="66" customFormat="1" ht="13.2"/>
    <row r="641" s="66" customFormat="1" ht="13.2"/>
    <row r="642" s="66" customFormat="1" ht="13.2"/>
    <row r="643" s="66" customFormat="1" ht="13.2"/>
    <row r="644" s="66" customFormat="1" ht="13.2"/>
    <row r="645" s="66" customFormat="1" ht="13.2"/>
    <row r="646" s="66" customFormat="1" ht="13.2"/>
    <row r="647" s="66" customFormat="1" ht="13.2"/>
    <row r="648" s="66" customFormat="1" ht="13.2"/>
    <row r="649" s="66" customFormat="1" ht="13.2"/>
    <row r="650" s="66" customFormat="1" ht="13.2"/>
    <row r="651" s="66" customFormat="1" ht="13.2"/>
    <row r="652" s="66" customFormat="1" ht="13.2"/>
    <row r="653" s="66" customFormat="1" ht="13.2"/>
    <row r="654" s="66" customFormat="1" ht="13.2"/>
    <row r="655" s="66" customFormat="1" ht="13.2"/>
    <row r="656" s="66" customFormat="1" ht="13.2"/>
    <row r="657" s="66" customFormat="1" ht="13.2"/>
    <row r="658" s="66" customFormat="1" ht="13.2"/>
    <row r="659" s="66" customFormat="1" ht="13.2"/>
    <row r="660" s="66" customFormat="1" ht="13.2"/>
    <row r="661" s="66" customFormat="1" ht="13.2"/>
    <row r="662" s="66" customFormat="1" ht="13.2"/>
    <row r="663" s="66" customFormat="1" ht="13.2"/>
    <row r="664" s="66" customFormat="1" ht="13.2"/>
    <row r="665" s="66" customFormat="1" ht="13.2"/>
    <row r="666" s="66" customFormat="1" ht="13.2"/>
    <row r="667" s="66" customFormat="1" ht="13.2"/>
    <row r="668" s="66" customFormat="1" ht="13.2"/>
    <row r="669" s="66" customFormat="1" ht="13.2"/>
    <row r="670" s="66" customFormat="1" ht="13.2"/>
    <row r="671" s="66" customFormat="1" ht="13.2"/>
    <row r="672" s="66" customFormat="1" ht="13.2"/>
    <row r="673" s="66" customFormat="1" ht="13.2"/>
    <row r="674" s="66" customFormat="1" ht="13.2"/>
    <row r="675" s="66" customFormat="1" ht="13.2"/>
    <row r="676" s="66" customFormat="1" ht="13.2"/>
    <row r="677" s="66" customFormat="1" ht="13.2"/>
    <row r="678" s="66" customFormat="1" ht="13.2"/>
    <row r="679" s="66" customFormat="1" ht="13.2"/>
    <row r="680" s="66" customFormat="1" ht="13.2"/>
    <row r="681" s="66" customFormat="1" ht="13.2"/>
    <row r="682" s="66" customFormat="1" ht="13.2"/>
    <row r="683" s="66" customFormat="1" ht="13.2"/>
    <row r="684" s="66" customFormat="1" ht="13.2"/>
    <row r="685" s="66" customFormat="1" ht="13.2"/>
    <row r="686" s="66" customFormat="1" ht="13.2"/>
    <row r="687" s="66" customFormat="1" ht="13.2"/>
    <row r="688" s="66" customFormat="1" ht="13.2"/>
    <row r="689" s="66" customFormat="1" ht="13.2"/>
    <row r="690" s="66" customFormat="1" ht="13.2"/>
    <row r="691" s="66" customFormat="1" ht="13.2"/>
    <row r="692" s="66" customFormat="1" ht="13.2"/>
    <row r="693" s="66" customFormat="1" ht="13.2"/>
    <row r="694" s="66" customFormat="1" ht="13.2"/>
    <row r="695" s="66" customFormat="1" ht="13.2"/>
    <row r="696" s="66" customFormat="1" ht="13.2"/>
    <row r="697" s="66" customFormat="1" ht="13.2"/>
    <row r="698" s="66" customFormat="1" ht="13.2"/>
    <row r="699" s="66" customFormat="1" ht="13.2"/>
    <row r="700" s="66" customFormat="1" ht="13.2"/>
    <row r="701" s="66" customFormat="1" ht="13.2"/>
    <row r="702" s="66" customFormat="1" ht="13.2"/>
    <row r="703" s="66" customFormat="1" ht="13.2"/>
    <row r="704" s="66" customFormat="1" ht="13.2"/>
    <row r="705" s="66" customFormat="1" ht="13.2"/>
    <row r="706" s="66" customFormat="1" ht="13.2"/>
    <row r="707" s="66" customFormat="1" ht="13.2"/>
    <row r="708" s="66" customFormat="1" ht="13.2"/>
    <row r="709" s="66" customFormat="1" ht="13.2"/>
    <row r="710" s="66" customFormat="1" ht="13.2"/>
    <row r="711" s="66" customFormat="1" ht="13.2"/>
    <row r="712" s="66" customFormat="1" ht="13.2"/>
    <row r="713" s="66" customFormat="1" ht="13.2"/>
    <row r="714" s="66" customFormat="1" ht="13.2"/>
    <row r="715" s="66" customFormat="1" ht="13.2"/>
    <row r="716" s="66" customFormat="1" ht="13.2"/>
    <row r="717" s="66" customFormat="1" ht="13.2"/>
    <row r="718" s="66" customFormat="1" ht="13.2"/>
    <row r="719" s="66" customFormat="1" ht="13.2"/>
    <row r="720" s="66" customFormat="1" ht="13.2"/>
    <row r="721" s="66" customFormat="1" ht="13.2"/>
    <row r="722" s="66" customFormat="1" ht="13.2"/>
    <row r="723" s="66" customFormat="1" ht="13.2"/>
    <row r="724" s="66" customFormat="1" ht="13.2"/>
    <row r="725" s="66" customFormat="1" ht="13.2"/>
    <row r="726" s="66" customFormat="1" ht="13.2"/>
    <row r="727" s="66" customFormat="1" ht="13.2"/>
    <row r="728" s="66" customFormat="1" ht="13.2"/>
    <row r="729" s="66" customFormat="1" ht="13.2"/>
    <row r="730" s="66" customFormat="1" ht="13.2"/>
    <row r="731" s="66" customFormat="1" ht="13.2"/>
    <row r="732" s="66" customFormat="1" ht="13.2"/>
    <row r="733" s="66" customFormat="1" ht="13.2"/>
    <row r="734" s="66" customFormat="1" ht="13.2"/>
    <row r="735" s="66" customFormat="1" ht="13.2"/>
    <row r="736" s="66" customFormat="1" ht="13.2"/>
    <row r="737" s="66" customFormat="1" ht="13.2"/>
    <row r="738" s="66" customFormat="1" ht="13.2"/>
    <row r="739" s="66" customFormat="1" ht="13.2"/>
    <row r="740" s="66" customFormat="1" ht="13.2"/>
    <row r="741" s="66" customFormat="1" ht="13.2"/>
    <row r="742" s="66" customFormat="1" ht="13.2"/>
    <row r="743" s="66" customFormat="1" ht="13.2"/>
    <row r="744" s="66" customFormat="1" ht="13.2"/>
    <row r="745" s="66" customFormat="1" ht="13.2"/>
    <row r="746" s="66" customFormat="1" ht="13.2"/>
    <row r="747" s="66" customFormat="1" ht="13.2"/>
    <row r="748" s="66" customFormat="1" ht="13.2"/>
    <row r="749" s="66" customFormat="1" ht="13.2"/>
    <row r="750" s="66" customFormat="1" ht="13.2"/>
    <row r="751" s="66" customFormat="1" ht="13.2"/>
    <row r="752" s="66" customFormat="1" ht="13.2"/>
    <row r="753" s="66" customFormat="1" ht="13.2"/>
    <row r="754" s="66" customFormat="1" ht="13.2"/>
    <row r="755" s="66" customFormat="1" ht="13.2"/>
    <row r="756" s="66" customFormat="1" ht="13.2"/>
    <row r="757" s="66" customFormat="1" ht="13.2"/>
    <row r="758" s="66" customFormat="1" ht="13.2"/>
    <row r="759" s="66" customFormat="1" ht="13.2"/>
    <row r="760" s="66" customFormat="1" ht="13.2"/>
    <row r="761" s="66" customFormat="1" ht="13.2"/>
    <row r="762" s="66" customFormat="1" ht="13.2"/>
    <row r="763" s="66" customFormat="1" ht="13.2"/>
    <row r="764" s="66" customFormat="1" ht="13.2"/>
    <row r="765" s="66" customFormat="1" ht="13.2"/>
    <row r="766" s="66" customFormat="1" ht="13.2"/>
    <row r="767" s="66" customFormat="1" ht="13.2"/>
    <row r="768" s="66" customFormat="1" ht="13.2"/>
    <row r="769" s="66" customFormat="1" ht="13.2"/>
    <row r="770" s="66" customFormat="1" ht="13.2"/>
    <row r="771" s="66" customFormat="1" ht="13.2"/>
    <row r="772" s="66" customFormat="1" ht="13.2"/>
    <row r="773" s="66" customFormat="1" ht="13.2"/>
    <row r="774" s="66" customFormat="1" ht="13.2"/>
    <row r="775" s="66" customFormat="1" ht="13.2"/>
    <row r="776" s="66" customFormat="1" ht="13.2"/>
    <row r="777" s="66" customFormat="1" ht="13.2"/>
    <row r="778" s="66" customFormat="1" ht="13.2"/>
    <row r="779" s="66" customFormat="1" ht="13.2"/>
    <row r="780" s="66" customFormat="1" ht="13.2"/>
    <row r="781" s="66" customFormat="1" ht="13.2"/>
    <row r="782" s="66" customFormat="1" ht="13.2"/>
    <row r="783" s="66" customFormat="1" ht="13.2"/>
    <row r="784" s="66" customFormat="1" ht="13.2"/>
    <row r="785" s="66" customFormat="1" ht="13.2"/>
    <row r="786" s="66" customFormat="1" ht="13.2"/>
    <row r="787" s="66" customFormat="1" ht="13.2"/>
    <row r="788" s="66" customFormat="1" ht="13.2"/>
    <row r="789" s="66" customFormat="1" ht="13.2"/>
    <row r="790" s="66" customFormat="1" ht="13.2"/>
    <row r="791" s="66" customFormat="1" ht="13.2"/>
    <row r="792" s="66" customFormat="1" ht="13.2"/>
    <row r="793" s="66" customFormat="1" ht="13.2"/>
    <row r="794" s="66" customFormat="1" ht="13.2"/>
    <row r="795" s="66" customFormat="1" ht="13.2"/>
    <row r="796" s="66" customFormat="1" ht="13.2"/>
    <row r="797" s="66" customFormat="1" ht="13.2"/>
    <row r="798" s="66" customFormat="1" ht="13.2"/>
    <row r="799" s="66" customFormat="1" ht="13.2"/>
    <row r="800" s="66" customFormat="1" ht="13.2"/>
    <row r="801" s="66" customFormat="1" ht="13.2"/>
    <row r="802" s="66" customFormat="1" ht="13.2"/>
    <row r="803" s="66" customFormat="1" ht="13.2"/>
    <row r="804" s="66" customFormat="1" ht="13.2"/>
    <row r="805" s="66" customFormat="1" ht="13.2"/>
    <row r="806" s="66" customFormat="1" ht="13.2"/>
    <row r="807" s="66" customFormat="1" ht="13.2"/>
    <row r="808" s="66" customFormat="1" ht="13.2"/>
    <row r="809" s="66" customFormat="1" ht="13.2"/>
    <row r="810" s="66" customFormat="1" ht="13.2"/>
    <row r="811" s="66" customFormat="1" ht="13.2"/>
    <row r="812" s="66" customFormat="1" ht="13.2"/>
    <row r="813" s="66" customFormat="1" ht="13.2"/>
    <row r="814" s="66" customFormat="1" ht="13.2"/>
    <row r="815" s="66" customFormat="1" ht="13.2"/>
    <row r="816" s="66" customFormat="1" ht="13.2"/>
    <row r="817" s="66" customFormat="1" ht="13.2"/>
    <row r="818" s="66" customFormat="1" ht="13.2"/>
    <row r="819" s="66" customFormat="1" ht="13.2"/>
    <row r="820" s="66" customFormat="1" ht="13.2"/>
    <row r="821" s="66" customFormat="1" ht="13.2"/>
    <row r="822" s="66" customFormat="1" ht="13.2"/>
    <row r="823" s="66" customFormat="1" ht="13.2"/>
    <row r="824" s="66" customFormat="1" ht="13.2"/>
    <row r="825" s="66" customFormat="1" ht="13.2"/>
    <row r="826" s="66" customFormat="1" ht="13.2"/>
    <row r="827" s="66" customFormat="1" ht="13.2"/>
    <row r="828" s="66" customFormat="1" ht="13.2"/>
    <row r="829" s="66" customFormat="1" ht="13.2"/>
    <row r="830" s="66" customFormat="1" ht="13.2"/>
    <row r="831" s="66" customFormat="1" ht="13.2"/>
    <row r="832" s="66" customFormat="1" ht="13.2"/>
    <row r="833" s="66" customFormat="1" ht="13.2"/>
    <row r="834" s="66" customFormat="1" ht="13.2"/>
    <row r="835" s="66" customFormat="1" ht="13.2"/>
    <row r="836" s="66" customFormat="1" ht="13.2"/>
    <row r="837" s="66" customFormat="1" ht="13.2"/>
    <row r="838" s="66" customFormat="1" ht="13.2"/>
    <row r="839" s="66" customFormat="1" ht="13.2"/>
    <row r="840" s="66" customFormat="1" ht="13.2"/>
    <row r="841" s="66" customFormat="1" ht="13.2"/>
    <row r="842" s="66" customFormat="1" ht="13.2"/>
    <row r="843" s="66" customFormat="1" ht="13.2"/>
    <row r="844" s="66" customFormat="1" ht="13.2"/>
    <row r="845" s="66" customFormat="1" ht="13.2"/>
    <row r="846" s="66" customFormat="1" ht="13.2"/>
    <row r="847" s="66" customFormat="1" ht="13.2"/>
    <row r="848" s="66" customFormat="1" ht="13.2"/>
    <row r="849" s="66" customFormat="1" ht="13.2"/>
    <row r="850" s="66" customFormat="1" ht="13.2"/>
    <row r="851" s="66" customFormat="1" ht="13.2"/>
    <row r="852" s="66" customFormat="1" ht="13.2"/>
    <row r="853" s="66" customFormat="1" ht="13.2"/>
    <row r="854" s="66" customFormat="1" ht="13.2"/>
    <row r="855" s="66" customFormat="1" ht="13.2"/>
    <row r="856" s="66" customFormat="1" ht="13.2"/>
    <row r="857" s="66" customFormat="1" ht="13.2"/>
    <row r="858" s="66" customFormat="1" ht="13.2"/>
    <row r="859" s="66" customFormat="1" ht="13.2"/>
    <row r="860" s="66" customFormat="1" ht="13.2"/>
    <row r="861" s="66" customFormat="1" ht="13.2"/>
    <row r="862" s="66" customFormat="1" ht="13.2"/>
    <row r="863" s="66" customFormat="1" ht="13.2"/>
    <row r="864" s="66" customFormat="1" ht="13.2"/>
    <row r="865" s="66" customFormat="1" ht="13.2"/>
    <row r="866" s="66" customFormat="1" ht="13.2"/>
    <row r="867" s="66" customFormat="1" ht="13.2"/>
    <row r="868" s="66" customFormat="1" ht="13.2"/>
    <row r="869" s="66" customFormat="1" ht="13.2"/>
    <row r="870" s="66" customFormat="1" ht="13.2"/>
    <row r="871" s="66" customFormat="1" ht="13.2"/>
    <row r="872" s="66" customFormat="1" ht="13.2"/>
    <row r="873" s="66" customFormat="1" ht="13.2"/>
    <row r="874" s="66" customFormat="1" ht="13.2"/>
    <row r="875" s="66" customFormat="1" ht="13.2"/>
    <row r="876" s="66" customFormat="1" ht="13.2"/>
    <row r="877" s="66" customFormat="1" ht="13.2"/>
    <row r="878" s="66" customFormat="1" ht="13.2"/>
    <row r="879" s="66" customFormat="1" ht="13.2"/>
    <row r="880" s="66" customFormat="1" ht="13.2"/>
    <row r="881" s="66" customFormat="1" ht="13.2"/>
    <row r="882" s="66" customFormat="1" ht="13.2"/>
    <row r="883" s="66" customFormat="1" ht="13.2"/>
    <row r="884" s="66" customFormat="1" ht="13.2"/>
    <row r="885" s="66" customFormat="1" ht="13.2"/>
    <row r="886" s="66" customFormat="1" ht="13.2"/>
    <row r="887" s="66" customFormat="1" ht="13.2"/>
    <row r="888" s="66" customFormat="1" ht="13.2"/>
    <row r="889" s="66" customFormat="1" ht="13.2"/>
    <row r="890" s="66" customFormat="1" ht="13.2"/>
    <row r="891" s="66" customFormat="1" ht="13.2"/>
    <row r="892" s="66" customFormat="1" ht="13.2"/>
    <row r="893" s="66" customFormat="1" ht="13.2"/>
    <row r="894" s="66" customFormat="1" ht="13.2"/>
    <row r="895" s="66" customFormat="1" ht="13.2"/>
    <row r="896" s="66" customFormat="1" ht="13.2"/>
    <row r="897" s="66" customFormat="1" ht="13.2"/>
    <row r="898" s="66" customFormat="1" ht="13.2"/>
    <row r="899" s="66" customFormat="1" ht="13.2"/>
    <row r="900" s="66" customFormat="1" ht="13.2"/>
    <row r="901" s="66" customFormat="1" ht="13.2"/>
    <row r="902" s="66" customFormat="1" ht="13.2"/>
    <row r="903" s="66" customFormat="1" ht="13.2"/>
    <row r="904" s="66" customFormat="1" ht="13.2"/>
    <row r="905" s="66" customFormat="1" ht="13.2"/>
    <row r="906" s="66" customFormat="1" ht="13.2"/>
    <row r="907" s="66" customFormat="1" ht="13.2"/>
    <row r="908" s="66" customFormat="1" ht="13.2"/>
    <row r="909" s="66" customFormat="1" ht="13.2"/>
    <row r="910" s="66" customFormat="1" ht="13.2"/>
    <row r="911" s="66" customFormat="1" ht="13.2"/>
    <row r="912" s="66" customFormat="1" ht="13.2"/>
    <row r="913" s="66" customFormat="1" ht="13.2"/>
    <row r="914" s="66" customFormat="1" ht="13.2"/>
    <row r="915" s="66" customFormat="1" ht="13.2"/>
    <row r="916" s="66" customFormat="1" ht="13.2"/>
    <row r="917" s="66" customFormat="1" ht="13.2"/>
    <row r="918" s="66" customFormat="1" ht="13.2"/>
    <row r="919" s="66" customFormat="1" ht="13.2"/>
    <row r="920" s="66" customFormat="1" ht="13.2"/>
    <row r="921" s="66" customFormat="1" ht="13.2"/>
    <row r="922" s="66" customFormat="1" ht="13.2"/>
    <row r="923" s="66" customFormat="1" ht="13.2"/>
    <row r="924" s="66" customFormat="1" ht="13.2"/>
    <row r="925" s="66" customFormat="1" ht="13.2"/>
    <row r="926" s="66" customFormat="1" ht="13.2"/>
    <row r="927" s="66" customFormat="1" ht="13.2"/>
    <row r="928" s="66" customFormat="1" ht="13.2"/>
    <row r="929" s="66" customFormat="1" ht="13.2"/>
    <row r="930" s="66" customFormat="1" ht="13.2"/>
    <row r="931" s="66" customFormat="1" ht="13.2"/>
    <row r="932" s="66" customFormat="1" ht="13.2"/>
    <row r="933" s="66" customFormat="1" ht="13.2"/>
    <row r="934" s="66" customFormat="1" ht="13.2"/>
    <row r="935" s="66" customFormat="1" ht="13.2"/>
    <row r="936" s="66" customFormat="1" ht="13.2"/>
    <row r="937" s="66" customFormat="1" ht="13.2"/>
    <row r="938" s="66" customFormat="1" ht="13.2"/>
    <row r="939" s="66" customFormat="1" ht="13.2"/>
    <row r="940" s="66" customFormat="1" ht="13.2"/>
    <row r="941" s="66" customFormat="1" ht="13.2"/>
    <row r="942" s="66" customFormat="1" ht="13.2"/>
    <row r="943" s="66" customFormat="1" ht="13.2"/>
    <row r="944" s="66" customFormat="1" ht="13.2"/>
    <row r="945" s="66" customFormat="1" ht="13.2"/>
    <row r="946" s="66" customFormat="1" ht="13.2"/>
    <row r="947" s="66" customFormat="1" ht="13.2"/>
    <row r="948" s="66" customFormat="1" ht="13.2"/>
    <row r="949" s="66" customFormat="1" ht="13.2"/>
    <row r="950" s="66" customFormat="1" ht="13.2"/>
    <row r="951" s="66" customFormat="1" ht="13.2"/>
    <row r="952" s="66" customFormat="1" ht="13.2"/>
    <row r="953" s="66" customFormat="1" ht="13.2"/>
    <row r="954" s="66" customFormat="1" ht="13.2"/>
    <row r="955" s="66" customFormat="1" ht="13.2"/>
    <row r="956" s="66" customFormat="1" ht="13.2"/>
    <row r="957" s="66" customFormat="1" ht="13.2"/>
    <row r="958" s="66" customFormat="1" ht="13.2"/>
    <row r="959" s="66" customFormat="1" ht="13.2"/>
    <row r="960" s="66" customFormat="1" ht="13.2"/>
    <row r="961" s="66" customFormat="1" ht="13.2"/>
    <row r="962" s="66" customFormat="1" ht="13.2"/>
    <row r="963" s="66" customFormat="1" ht="13.2"/>
    <row r="964" s="66" customFormat="1" ht="13.2"/>
    <row r="965" s="66" customFormat="1" ht="13.2"/>
    <row r="966" s="66" customFormat="1" ht="13.2"/>
    <row r="967" s="66" customFormat="1" ht="13.2"/>
    <row r="968" s="66" customFormat="1" ht="13.2"/>
    <row r="969" s="66" customFormat="1" ht="13.2"/>
    <row r="970" s="66" customFormat="1" ht="13.2"/>
    <row r="971" s="66" customFormat="1" ht="13.2"/>
    <row r="972" s="66" customFormat="1" ht="13.2"/>
    <row r="973" s="66" customFormat="1" ht="13.2"/>
    <row r="974" s="66" customFormat="1" ht="13.2"/>
    <row r="975" s="66" customFormat="1" ht="13.2"/>
    <row r="976" s="66" customFormat="1" ht="13.2"/>
    <row r="977" s="66" customFormat="1" ht="13.2"/>
    <row r="978" s="66" customFormat="1" ht="13.2"/>
    <row r="979" s="66" customFormat="1" ht="13.2"/>
    <row r="980" s="66" customFormat="1" ht="13.2"/>
    <row r="981" s="66" customFormat="1" ht="13.2"/>
    <row r="982" s="66" customFormat="1" ht="13.2"/>
    <row r="983" s="66" customFormat="1" ht="13.2"/>
    <row r="984" s="66" customFormat="1" ht="13.2"/>
    <row r="985" s="66" customFormat="1" ht="13.2"/>
    <row r="986" s="66" customFormat="1" ht="13.2"/>
    <row r="987" s="66" customFormat="1" ht="13.2"/>
    <row r="988" s="66" customFormat="1" ht="13.2"/>
    <row r="989" s="66" customFormat="1" ht="13.2"/>
    <row r="990" s="66" customFormat="1" ht="13.2"/>
    <row r="991" s="66" customFormat="1" ht="13.2"/>
    <row r="992" s="66" customFormat="1" ht="13.2"/>
    <row r="993" s="66" customFormat="1" ht="13.2"/>
    <row r="994" s="66" customFormat="1" ht="13.2"/>
    <row r="995" s="66" customFormat="1" ht="13.2"/>
    <row r="996" s="66" customFormat="1" ht="13.2"/>
    <row r="997" s="66" customFormat="1" ht="13.2"/>
    <row r="998" s="66" customFormat="1" ht="13.2"/>
    <row r="999" s="66" customFormat="1" ht="13.2"/>
    <row r="1000" s="66" customFormat="1" ht="13.2"/>
    <row r="1001" s="66" customFormat="1" ht="13.2"/>
    <row r="1002" s="66" customFormat="1" ht="13.2"/>
    <row r="1003" s="66" customFormat="1" ht="13.2"/>
    <row r="1004" s="66" customFormat="1" ht="13.2"/>
    <row r="1005" s="66" customFormat="1" ht="13.2"/>
    <row r="1006" s="66" customFormat="1" ht="13.2"/>
    <row r="1007" s="66" customFormat="1" ht="13.2"/>
    <row r="1008" s="66" customFormat="1" ht="13.2"/>
    <row r="1009" s="66" customFormat="1" ht="13.2"/>
    <row r="1010" s="66" customFormat="1" ht="13.2"/>
    <row r="1011" s="66" customFormat="1" ht="13.2"/>
    <row r="1012" s="66" customFormat="1" ht="13.2"/>
    <row r="1013" s="66" customFormat="1" ht="13.2"/>
    <row r="1014" s="66" customFormat="1" ht="13.2"/>
    <row r="1015" s="66" customFormat="1" ht="13.2"/>
    <row r="1016" s="66" customFormat="1" ht="13.2"/>
    <row r="1017" s="66" customFormat="1" ht="13.2"/>
    <row r="1018" s="66" customFormat="1" ht="13.2"/>
    <row r="1019" s="66" customFormat="1" ht="13.2"/>
    <row r="1020" s="66" customFormat="1" ht="13.2"/>
    <row r="1021" s="66" customFormat="1" ht="13.2"/>
    <row r="1022" s="66" customFormat="1" ht="13.2"/>
    <row r="1023" s="66" customFormat="1" ht="13.2"/>
    <row r="1024" s="66" customFormat="1" ht="13.2"/>
    <row r="1025" s="66" customFormat="1" ht="13.2"/>
    <row r="1026" s="66" customFormat="1" ht="13.2"/>
    <row r="1027" s="66" customFormat="1" ht="13.2"/>
    <row r="1028" s="66" customFormat="1" ht="13.2"/>
    <row r="1029" s="66" customFormat="1" ht="13.2"/>
    <row r="1030" s="66" customFormat="1" ht="13.2"/>
    <row r="1031" s="66" customFormat="1" ht="13.2"/>
    <row r="1032" s="66" customFormat="1" ht="13.2"/>
    <row r="1033" s="66" customFormat="1" ht="13.2"/>
    <row r="1034" s="66" customFormat="1" ht="13.2"/>
    <row r="1035" s="66" customFormat="1" ht="13.2"/>
    <row r="1036" s="66" customFormat="1" ht="13.2"/>
    <row r="1037" s="66" customFormat="1" ht="13.2"/>
    <row r="1038" s="66" customFormat="1" ht="13.2"/>
    <row r="1039" s="66" customFormat="1" ht="13.2"/>
    <row r="1040" s="66" customFormat="1" ht="13.2"/>
    <row r="1041" s="66" customFormat="1" ht="13.2"/>
    <row r="1042" s="66" customFormat="1" ht="13.2"/>
    <row r="1043" s="66" customFormat="1" ht="13.2"/>
    <row r="1044" s="66" customFormat="1" ht="13.2"/>
    <row r="1045" s="66" customFormat="1" ht="13.2"/>
    <row r="1046" s="66" customFormat="1" ht="13.2"/>
    <row r="1047" s="66" customFormat="1" ht="13.2"/>
    <row r="1048" s="66" customFormat="1" ht="13.2"/>
    <row r="1049" s="66" customFormat="1" ht="13.2"/>
    <row r="1050" s="66" customFormat="1" ht="13.2"/>
    <row r="1051" s="66" customFormat="1" ht="13.2"/>
    <row r="1052" s="66" customFormat="1" ht="13.2"/>
    <row r="1053" s="66" customFormat="1" ht="13.2"/>
    <row r="1054" s="66" customFormat="1" ht="13.2"/>
    <row r="1055" s="66" customFormat="1" ht="13.2"/>
    <row r="1056" s="66" customFormat="1" ht="13.2"/>
    <row r="1057" s="66" customFormat="1" ht="13.2"/>
    <row r="1058" s="66" customFormat="1" ht="13.2"/>
    <row r="1059" s="66" customFormat="1" ht="13.2"/>
    <row r="1060" s="66" customFormat="1" ht="13.2"/>
    <row r="1061" s="66" customFormat="1" ht="13.2"/>
    <row r="1062" s="66" customFormat="1" ht="13.2"/>
    <row r="1063" s="66" customFormat="1" ht="13.2"/>
    <row r="1064" s="66" customFormat="1" ht="13.2"/>
    <row r="1065" s="66" customFormat="1" ht="13.2"/>
    <row r="1066" s="66" customFormat="1" ht="13.2"/>
    <row r="1067" s="66" customFormat="1" ht="13.2"/>
    <row r="1068" s="66" customFormat="1" ht="13.2"/>
    <row r="1069" s="66" customFormat="1" ht="13.2"/>
    <row r="1070" s="66" customFormat="1" ht="13.2"/>
    <row r="1071" s="66" customFormat="1" ht="13.2"/>
    <row r="1072" s="66" customFormat="1" ht="13.2"/>
    <row r="1073" s="66" customFormat="1" ht="13.2"/>
    <row r="1074" s="66" customFormat="1" ht="13.2"/>
    <row r="1075" s="66" customFormat="1" ht="13.2"/>
    <row r="1076" s="66" customFormat="1" ht="13.2"/>
    <row r="1077" s="66" customFormat="1" ht="13.2"/>
    <row r="1078" s="66" customFormat="1" ht="13.2"/>
    <row r="1079" s="66" customFormat="1" ht="13.2"/>
    <row r="1080" s="66" customFormat="1" ht="13.2"/>
    <row r="1081" s="66" customFormat="1" ht="13.2"/>
    <row r="1082" s="66" customFormat="1" ht="13.2"/>
    <row r="1083" s="66" customFormat="1" ht="13.2"/>
    <row r="1084" s="66" customFormat="1" ht="13.2"/>
    <row r="1085" s="66" customFormat="1" ht="13.2"/>
    <row r="1086" s="66" customFormat="1" ht="13.2"/>
    <row r="1087" s="66" customFormat="1" ht="13.2"/>
    <row r="1088" s="66" customFormat="1" ht="13.2"/>
    <row r="1089" s="66" customFormat="1" ht="13.2"/>
    <row r="1090" s="66" customFormat="1" ht="13.2"/>
    <row r="1091" s="66" customFormat="1" ht="13.2"/>
    <row r="1092" s="66" customFormat="1" ht="13.2"/>
    <row r="1093" s="66" customFormat="1" ht="13.2"/>
    <row r="1094" s="66" customFormat="1" ht="13.2"/>
    <row r="1095" s="66" customFormat="1" ht="13.2"/>
    <row r="1096" s="66" customFormat="1" ht="13.2"/>
    <row r="1097" s="66" customFormat="1" ht="13.2"/>
    <row r="1098" s="66" customFormat="1" ht="13.2"/>
    <row r="1099" s="66" customFormat="1" ht="13.2"/>
    <row r="1100" s="66" customFormat="1" ht="13.2"/>
    <row r="1101" s="66" customFormat="1" ht="13.2"/>
    <row r="1102" s="66" customFormat="1" ht="13.2"/>
    <row r="1103" s="66" customFormat="1" ht="13.2"/>
    <row r="1104" s="66" customFormat="1" ht="13.2"/>
    <row r="1105" s="66" customFormat="1" ht="13.2"/>
    <row r="1106" s="66" customFormat="1" ht="13.2"/>
    <row r="1107" s="66" customFormat="1" ht="13.2"/>
    <row r="1108" s="66" customFormat="1" ht="13.2"/>
    <row r="1109" s="66" customFormat="1" ht="13.2"/>
    <row r="1110" s="66" customFormat="1" ht="13.2"/>
    <row r="1111" s="66" customFormat="1" ht="13.2"/>
    <row r="1112" s="66" customFormat="1" ht="13.2"/>
    <row r="1113" s="66" customFormat="1" ht="13.2"/>
    <row r="1114" s="66" customFormat="1" ht="13.2"/>
    <row r="1115" s="66" customFormat="1" ht="13.2"/>
    <row r="1116" s="66" customFormat="1" ht="13.2"/>
    <row r="1117" s="66" customFormat="1" ht="13.2"/>
    <row r="1118" s="66" customFormat="1" ht="13.2"/>
    <row r="1119" s="66" customFormat="1" ht="13.2"/>
    <row r="1120" s="66" customFormat="1" ht="13.2"/>
    <row r="1121" s="66" customFormat="1" ht="13.2"/>
    <row r="1122" s="66" customFormat="1" ht="13.2"/>
    <row r="1123" s="66" customFormat="1" ht="13.2"/>
    <row r="1124" s="66" customFormat="1" ht="13.2"/>
    <row r="1125" s="66" customFormat="1" ht="13.2"/>
    <row r="1126" s="66" customFormat="1" ht="13.2"/>
    <row r="1127" s="66" customFormat="1" ht="13.2"/>
    <row r="1128" s="66" customFormat="1" ht="13.2"/>
    <row r="1129" s="66" customFormat="1" ht="13.2"/>
    <row r="1130" s="66" customFormat="1" ht="13.2"/>
    <row r="1131" s="66" customFormat="1" ht="13.2"/>
    <row r="1132" s="66" customFormat="1" ht="13.2"/>
    <row r="1133" s="66" customFormat="1" ht="13.2"/>
    <row r="1134" s="66" customFormat="1" ht="13.2"/>
    <row r="1135" s="66" customFormat="1" ht="13.2"/>
    <row r="1136" s="66" customFormat="1" ht="13.2"/>
    <row r="1137" s="66" customFormat="1" ht="13.2"/>
    <row r="1138" s="66" customFormat="1" ht="13.2"/>
    <row r="1139" s="66" customFormat="1" ht="13.2"/>
    <row r="1140" s="66" customFormat="1" ht="13.2"/>
    <row r="1141" s="66" customFormat="1" ht="13.2"/>
    <row r="1142" s="66" customFormat="1" ht="13.2"/>
    <row r="1143" s="66" customFormat="1" ht="13.2"/>
    <row r="1144" s="66" customFormat="1" ht="13.2"/>
    <row r="1145" s="66" customFormat="1" ht="13.2"/>
    <row r="1146" s="66" customFormat="1" ht="13.2"/>
    <row r="1147" s="66" customFormat="1" ht="13.2"/>
    <row r="1148" s="66" customFormat="1" ht="13.2"/>
    <row r="1149" s="66" customFormat="1" ht="13.2"/>
    <row r="1150" s="66" customFormat="1" ht="13.2"/>
    <row r="1151" s="66" customFormat="1" ht="13.2"/>
    <row r="1152" s="66" customFormat="1" ht="13.2"/>
    <row r="1153" s="66" customFormat="1" ht="13.2"/>
    <row r="1154" s="66" customFormat="1" ht="13.2"/>
    <row r="1155" s="66" customFormat="1" ht="13.2"/>
    <row r="1156" s="66" customFormat="1" ht="13.2"/>
    <row r="1157" s="66" customFormat="1" ht="13.2"/>
    <row r="1158" s="66" customFormat="1" ht="13.2"/>
    <row r="1159" s="66" customFormat="1" ht="13.2"/>
    <row r="1160" s="66" customFormat="1" ht="13.2"/>
    <row r="1161" s="66" customFormat="1" ht="13.2"/>
    <row r="1162" s="66" customFormat="1" ht="13.2"/>
    <row r="1163" s="66" customFormat="1" ht="13.2"/>
    <row r="1164" s="66" customFormat="1" ht="13.2"/>
    <row r="1165" s="66" customFormat="1" ht="13.2"/>
    <row r="1166" s="66" customFormat="1" ht="13.2"/>
    <row r="1167" s="66" customFormat="1" ht="13.2"/>
    <row r="1168" s="66" customFormat="1" ht="13.2"/>
    <row r="1169" s="66" customFormat="1" ht="13.2"/>
    <row r="1170" s="66" customFormat="1" ht="13.2"/>
    <row r="1171" s="66" customFormat="1" ht="13.2"/>
    <row r="1172" s="66" customFormat="1" ht="13.2"/>
    <row r="1173" s="66" customFormat="1" ht="13.2"/>
    <row r="1174" s="66" customFormat="1" ht="13.2"/>
    <row r="1175" s="66" customFormat="1" ht="13.2"/>
    <row r="1176" s="66" customFormat="1" ht="13.2"/>
    <row r="1177" s="66" customFormat="1" ht="13.2"/>
    <row r="1178" s="66" customFormat="1" ht="13.2"/>
    <row r="1179" s="66" customFormat="1" ht="13.2"/>
    <row r="1180" s="66" customFormat="1" ht="13.2"/>
    <row r="1181" s="66" customFormat="1" ht="13.2"/>
    <row r="1182" s="66" customFormat="1" ht="13.2"/>
    <row r="1183" s="66" customFormat="1" ht="13.2"/>
    <row r="1184" s="66" customFormat="1" ht="13.2"/>
    <row r="1185" s="66" customFormat="1" ht="13.2"/>
    <row r="1186" s="66" customFormat="1" ht="13.2"/>
    <row r="1187" s="66" customFormat="1" ht="13.2"/>
    <row r="1188" s="66" customFormat="1" ht="13.2"/>
    <row r="1189" s="66" customFormat="1" ht="13.2"/>
    <row r="1190" s="66" customFormat="1" ht="13.2"/>
    <row r="1191" s="66" customFormat="1" ht="13.2"/>
    <row r="1192" s="66" customFormat="1" ht="13.2"/>
    <row r="1193" s="66" customFormat="1" ht="13.2"/>
    <row r="1194" s="66" customFormat="1" ht="13.2"/>
    <row r="1195" s="66" customFormat="1" ht="13.2"/>
    <row r="1196" s="66" customFormat="1" ht="13.2"/>
    <row r="1197" s="66" customFormat="1" ht="13.2"/>
    <row r="1198" s="66" customFormat="1" ht="13.2"/>
    <row r="1199" s="66" customFormat="1" ht="13.2"/>
    <row r="1200" s="66" customFormat="1" ht="13.2"/>
    <row r="1201" s="66" customFormat="1" ht="13.2"/>
    <row r="1202" s="66" customFormat="1" ht="13.2"/>
    <row r="1203" s="66" customFormat="1" ht="13.2"/>
    <row r="1204" s="66" customFormat="1" ht="13.2"/>
    <row r="1205" s="66" customFormat="1" ht="13.2"/>
    <row r="1206" s="66" customFormat="1" ht="13.2"/>
    <row r="1207" s="66" customFormat="1" ht="13.2"/>
    <row r="1208" s="66" customFormat="1" ht="13.2"/>
    <row r="1209" s="66" customFormat="1" ht="13.2"/>
    <row r="1210" s="66" customFormat="1" ht="13.2"/>
    <row r="1211" s="66" customFormat="1" ht="13.2"/>
    <row r="1212" s="66" customFormat="1" ht="13.2"/>
    <row r="1213" s="66" customFormat="1" ht="13.2"/>
    <row r="1214" s="66" customFormat="1" ht="13.2"/>
    <row r="1215" s="66" customFormat="1" ht="13.2"/>
    <row r="1216" s="66" customFormat="1" ht="13.2"/>
    <row r="1217" s="66" customFormat="1" ht="13.2"/>
    <row r="1218" s="66" customFormat="1" ht="13.2"/>
    <row r="1219" s="66" customFormat="1" ht="13.2"/>
    <row r="1220" s="66" customFormat="1" ht="13.2"/>
    <row r="1221" s="66" customFormat="1" ht="13.2"/>
    <row r="1222" s="66" customFormat="1" ht="13.2"/>
    <row r="1223" s="66" customFormat="1" ht="13.2"/>
    <row r="1224" s="66" customFormat="1" ht="13.2"/>
    <row r="1225" s="66" customFormat="1" ht="13.2"/>
    <row r="1226" s="66" customFormat="1" ht="13.2"/>
    <row r="1227" s="66" customFormat="1" ht="13.2"/>
    <row r="1228" s="66" customFormat="1" ht="13.2"/>
    <row r="1229" s="66" customFormat="1" ht="13.2"/>
    <row r="1230" s="66" customFormat="1" ht="13.2"/>
    <row r="1231" s="66" customFormat="1" ht="13.2"/>
    <row r="1232" s="66" customFormat="1" ht="13.2"/>
    <row r="1233" s="66" customFormat="1" ht="13.2"/>
    <row r="1234" s="66" customFormat="1" ht="13.2"/>
    <row r="1235" s="66" customFormat="1" ht="13.2"/>
    <row r="1236" s="66" customFormat="1" ht="13.2"/>
    <row r="1237" s="66" customFormat="1" ht="13.2"/>
    <row r="1238" s="66" customFormat="1" ht="13.2"/>
    <row r="1239" s="66" customFormat="1" ht="13.2"/>
    <row r="1240" s="66" customFormat="1" ht="13.2"/>
    <row r="1241" s="66" customFormat="1" ht="13.2"/>
    <row r="1242" s="66" customFormat="1" ht="13.2"/>
    <row r="1243" s="66" customFormat="1" ht="13.2"/>
    <row r="1244" s="66" customFormat="1" ht="13.2"/>
    <row r="1245" s="66" customFormat="1" ht="13.2"/>
    <row r="1246" s="66" customFormat="1" ht="13.2"/>
    <row r="1247" s="66" customFormat="1" ht="13.2"/>
    <row r="1248" s="66" customFormat="1" ht="13.2"/>
    <row r="1249" s="66" customFormat="1" ht="13.2"/>
    <row r="1250" s="66" customFormat="1" ht="13.2"/>
    <row r="1251" s="66" customFormat="1" ht="13.2"/>
    <row r="1252" s="66" customFormat="1" ht="13.2"/>
    <row r="1253" s="66" customFormat="1" ht="13.2"/>
    <row r="1254" s="66" customFormat="1" ht="13.2"/>
    <row r="1255" s="66" customFormat="1" ht="13.2"/>
    <row r="1256" s="66" customFormat="1" ht="13.2"/>
    <row r="1257" s="66" customFormat="1" ht="13.2"/>
    <row r="1258" s="66" customFormat="1" ht="13.2"/>
    <row r="1259" s="66" customFormat="1" ht="13.2"/>
    <row r="1260" s="66" customFormat="1" ht="13.2"/>
    <row r="1261" s="66" customFormat="1" ht="13.2"/>
    <row r="1262" s="66" customFormat="1" ht="13.2"/>
    <row r="1263" s="66" customFormat="1" ht="13.2"/>
    <row r="1264" s="66" customFormat="1" ht="13.2"/>
    <row r="1265" s="66" customFormat="1" ht="13.2"/>
    <row r="1266" s="66" customFormat="1" ht="13.2"/>
    <row r="1267" s="66" customFormat="1" ht="13.2"/>
    <row r="1268" s="66" customFormat="1" ht="13.2"/>
    <row r="1269" s="66" customFormat="1" ht="13.2"/>
    <row r="1270" s="66" customFormat="1" ht="13.2"/>
    <row r="1271" s="66" customFormat="1" ht="13.2"/>
    <row r="1272" s="66" customFormat="1" ht="13.2"/>
    <row r="1273" s="66" customFormat="1" ht="13.2"/>
    <row r="1274" s="66" customFormat="1" ht="13.2"/>
    <row r="1275" s="66" customFormat="1" ht="13.2"/>
    <row r="1276" s="66" customFormat="1" ht="13.2"/>
    <row r="1277" s="66" customFormat="1" ht="13.2"/>
    <row r="1278" s="66" customFormat="1" ht="13.2"/>
    <row r="1279" s="66" customFormat="1" ht="13.2"/>
    <row r="1280" s="66" customFormat="1" ht="13.2"/>
    <row r="1281" s="66" customFormat="1" ht="13.2"/>
    <row r="1282" s="66" customFormat="1" ht="13.2"/>
    <row r="1283" s="66" customFormat="1" ht="13.2"/>
    <row r="1284" s="66" customFormat="1" ht="13.2"/>
    <row r="1285" s="66" customFormat="1" ht="13.2"/>
    <row r="1286" s="66" customFormat="1" ht="13.2"/>
    <row r="1287" s="66" customFormat="1" ht="13.2"/>
    <row r="1288" s="66" customFormat="1" ht="13.2"/>
    <row r="1289" s="66" customFormat="1" ht="13.2"/>
    <row r="1290" s="66" customFormat="1" ht="13.2"/>
    <row r="1291" s="66" customFormat="1" ht="13.2"/>
    <row r="1292" s="66" customFormat="1" ht="13.2"/>
    <row r="1293" s="66" customFormat="1" ht="13.2"/>
    <row r="1294" s="66" customFormat="1" ht="13.2"/>
    <row r="1295" s="66" customFormat="1" ht="13.2"/>
    <row r="1296" s="66" customFormat="1" ht="13.2"/>
    <row r="1297" s="66" customFormat="1" ht="13.2"/>
    <row r="1298" s="66" customFormat="1" ht="13.2"/>
    <row r="1299" s="66" customFormat="1" ht="13.2"/>
    <row r="1300" s="66" customFormat="1" ht="13.2"/>
    <row r="1301" s="66" customFormat="1" ht="13.2"/>
    <row r="1302" s="66" customFormat="1" ht="13.2"/>
    <row r="1303" s="66" customFormat="1" ht="13.2"/>
    <row r="1304" s="66" customFormat="1" ht="13.2"/>
    <row r="1305" s="66" customFormat="1" ht="13.2"/>
    <row r="1306" s="66" customFormat="1" ht="13.2"/>
    <row r="1307" s="66" customFormat="1" ht="13.2"/>
    <row r="1308" s="66" customFormat="1" ht="13.2"/>
    <row r="1309" s="66" customFormat="1" ht="13.2"/>
    <row r="1310" s="66" customFormat="1" ht="13.2"/>
    <row r="1311" s="66" customFormat="1" ht="13.2"/>
    <row r="1312" s="66" customFormat="1" ht="13.2"/>
    <row r="1313" s="66" customFormat="1" ht="13.2"/>
    <row r="1314" s="66" customFormat="1" ht="13.2"/>
    <row r="1315" s="66" customFormat="1" ht="13.2"/>
    <row r="1316" s="66" customFormat="1" ht="13.2"/>
    <row r="1317" s="66" customFormat="1" ht="13.2"/>
    <row r="1318" s="66" customFormat="1" ht="13.2"/>
    <row r="1319" s="66" customFormat="1" ht="13.2"/>
    <row r="1320" s="66" customFormat="1" ht="13.2"/>
    <row r="1321" s="66" customFormat="1" ht="13.2"/>
    <row r="1322" s="66" customFormat="1" ht="13.2"/>
    <row r="1323" s="66" customFormat="1" ht="13.2"/>
    <row r="1324" s="66" customFormat="1" ht="13.2"/>
    <row r="1325" s="66" customFormat="1" ht="13.2"/>
    <row r="1326" s="66" customFormat="1" ht="13.2"/>
    <row r="1327" s="66" customFormat="1" ht="13.2"/>
    <row r="1328" s="66" customFormat="1" ht="13.2"/>
    <row r="1329" s="66" customFormat="1" ht="13.2"/>
    <row r="1330" s="66" customFormat="1" ht="13.2"/>
    <row r="1331" s="66" customFormat="1" ht="13.2"/>
    <row r="1332" s="66" customFormat="1" ht="13.2"/>
    <row r="1333" s="66" customFormat="1" ht="13.2"/>
    <row r="1334" s="66" customFormat="1" ht="13.2"/>
    <row r="1335" s="66" customFormat="1" ht="13.2"/>
    <row r="1336" s="66" customFormat="1" ht="13.2"/>
    <row r="1337" s="66" customFormat="1" ht="13.2"/>
    <row r="1338" s="66" customFormat="1" ht="13.2"/>
    <row r="1339" s="66" customFormat="1" ht="13.2"/>
    <row r="1340" s="66" customFormat="1" ht="13.2"/>
    <row r="1341" s="66" customFormat="1" ht="13.2"/>
    <row r="1342" s="66" customFormat="1" ht="13.2"/>
    <row r="1343" s="66" customFormat="1" ht="13.2"/>
    <row r="1344" s="66" customFormat="1" ht="13.2"/>
    <row r="1345" s="66" customFormat="1" ht="13.2"/>
    <row r="1346" s="66" customFormat="1" ht="13.2"/>
    <row r="1347" s="66" customFormat="1" ht="13.2"/>
    <row r="1348" s="66" customFormat="1" ht="13.2"/>
    <row r="1349" s="66" customFormat="1" ht="13.2"/>
    <row r="1350" s="66" customFormat="1" ht="13.2"/>
    <row r="1351" s="66" customFormat="1" ht="13.2"/>
    <row r="1352" s="66" customFormat="1" ht="13.2"/>
    <row r="1353" s="66" customFormat="1" ht="13.2"/>
    <row r="1354" s="66" customFormat="1" ht="13.2"/>
    <row r="1355" s="66" customFormat="1" ht="13.2"/>
    <row r="1356" s="66" customFormat="1" ht="13.2"/>
    <row r="1357" s="66" customFormat="1" ht="13.2"/>
    <row r="1358" s="66" customFormat="1" ht="13.2"/>
    <row r="1359" s="66" customFormat="1" ht="13.2"/>
    <row r="1360" s="66" customFormat="1" ht="13.2"/>
    <row r="1361" s="66" customFormat="1" ht="13.2"/>
    <row r="1362" s="66" customFormat="1" ht="13.2"/>
    <row r="1363" s="66" customFormat="1" ht="13.2"/>
    <row r="1364" s="66" customFormat="1" ht="13.2"/>
    <row r="1365" s="66" customFormat="1" ht="13.2"/>
    <row r="1366" s="66" customFormat="1" ht="13.2"/>
    <row r="1367" s="66" customFormat="1" ht="13.2"/>
    <row r="1368" s="66" customFormat="1" ht="13.2"/>
    <row r="1369" s="66" customFormat="1" ht="13.2"/>
    <row r="1370" s="66" customFormat="1" ht="13.2"/>
    <row r="1371" s="66" customFormat="1" ht="13.2"/>
    <row r="1372" s="66" customFormat="1" ht="13.2"/>
    <row r="1373" s="66" customFormat="1" ht="13.2"/>
    <row r="1374" s="66" customFormat="1" ht="13.2"/>
    <row r="1375" s="66" customFormat="1" ht="13.2"/>
    <row r="1376" s="66" customFormat="1" ht="13.2"/>
    <row r="1377" s="66" customFormat="1" ht="13.2"/>
    <row r="1378" s="66" customFormat="1" ht="13.2"/>
    <row r="1379" s="66" customFormat="1" ht="13.2"/>
    <row r="1380" s="66" customFormat="1" ht="13.2"/>
    <row r="1381" s="66" customFormat="1" ht="13.2"/>
    <row r="1382" s="66" customFormat="1" ht="13.2"/>
    <row r="1383" s="66" customFormat="1" ht="13.2"/>
    <row r="1384" s="66" customFormat="1" ht="13.2"/>
    <row r="1385" s="66" customFormat="1" ht="13.2"/>
    <row r="1386" s="66" customFormat="1" ht="13.2"/>
    <row r="1387" s="66" customFormat="1" ht="13.2"/>
    <row r="1388" s="66" customFormat="1" ht="13.2"/>
    <row r="1389" s="66" customFormat="1" ht="13.2"/>
    <row r="1390" s="66" customFormat="1" ht="13.2"/>
    <row r="1391" s="66" customFormat="1" ht="13.2"/>
    <row r="1392" s="66" customFormat="1" ht="13.2"/>
    <row r="1393" s="66" customFormat="1" ht="13.2"/>
    <row r="1394" s="66" customFormat="1" ht="13.2"/>
    <row r="1395" s="66" customFormat="1" ht="13.2"/>
    <row r="1396" s="66" customFormat="1" ht="13.2"/>
    <row r="1397" s="66" customFormat="1" ht="13.2"/>
    <row r="1398" s="66" customFormat="1" ht="13.2"/>
    <row r="1399" s="66" customFormat="1" ht="13.2"/>
    <row r="1400" s="66" customFormat="1" ht="13.2"/>
    <row r="1401" s="66" customFormat="1" ht="13.2"/>
    <row r="1402" s="66" customFormat="1" ht="13.2"/>
    <row r="1403" s="66" customFormat="1" ht="13.2"/>
    <row r="1404" s="66" customFormat="1" ht="13.2"/>
    <row r="1405" s="66" customFormat="1" ht="13.2"/>
    <row r="1406" s="66" customFormat="1" ht="13.2"/>
    <row r="1407" s="66" customFormat="1" ht="13.2"/>
    <row r="1408" s="66" customFormat="1" ht="13.2"/>
    <row r="1409" s="66" customFormat="1" ht="13.2"/>
    <row r="1410" s="66" customFormat="1" ht="13.2"/>
    <row r="1411" s="66" customFormat="1" ht="13.2"/>
    <row r="1412" s="66" customFormat="1" ht="13.2"/>
    <row r="1413" s="66" customFormat="1" ht="13.2"/>
    <row r="1414" s="66" customFormat="1" ht="13.2"/>
    <row r="1415" s="66" customFormat="1" ht="13.2"/>
    <row r="1416" s="66" customFormat="1" ht="13.2"/>
    <row r="1417" s="66" customFormat="1" ht="13.2"/>
    <row r="1418" s="66" customFormat="1" ht="13.2"/>
    <row r="1419" s="66" customFormat="1" ht="13.2"/>
    <row r="1420" s="66" customFormat="1" ht="13.2"/>
    <row r="1421" s="66" customFormat="1" ht="13.2"/>
    <row r="1422" s="66" customFormat="1" ht="13.2"/>
    <row r="1423" s="66" customFormat="1" ht="13.2"/>
    <row r="1424" s="66" customFormat="1" ht="13.2"/>
    <row r="1425" s="66" customFormat="1" ht="13.2"/>
    <row r="1426" s="66" customFormat="1" ht="13.2"/>
    <row r="1427" s="66" customFormat="1" ht="13.2"/>
    <row r="1428" s="66" customFormat="1" ht="13.2"/>
    <row r="1429" s="66" customFormat="1" ht="13.2"/>
    <row r="1430" s="66" customFormat="1" ht="13.2"/>
    <row r="1431" s="66" customFormat="1" ht="13.2"/>
    <row r="1432" s="66" customFormat="1" ht="13.2"/>
    <row r="1433" s="66" customFormat="1" ht="13.2"/>
    <row r="1434" s="66" customFormat="1" ht="13.2"/>
    <row r="1435" s="66" customFormat="1" ht="13.2"/>
    <row r="1436" s="66" customFormat="1" ht="13.2"/>
    <row r="1437" s="66" customFormat="1" ht="13.2"/>
    <row r="1438" s="66" customFormat="1" ht="13.2"/>
    <row r="1439" s="66" customFormat="1" ht="13.2"/>
    <row r="1440" s="66" customFormat="1" ht="13.2"/>
    <row r="1441" s="66" customFormat="1" ht="13.2"/>
    <row r="1442" s="66" customFormat="1" ht="13.2"/>
    <row r="1443" s="66" customFormat="1" ht="13.2"/>
    <row r="1444" s="66" customFormat="1" ht="13.2"/>
    <row r="1445" s="66" customFormat="1" ht="13.2"/>
    <row r="1446" s="66" customFormat="1" ht="13.2"/>
    <row r="1447" s="66" customFormat="1" ht="13.2"/>
    <row r="1448" s="66" customFormat="1" ht="13.2"/>
    <row r="1449" s="66" customFormat="1" ht="13.2"/>
    <row r="1450" s="66" customFormat="1" ht="13.2"/>
    <row r="1451" s="66" customFormat="1" ht="13.2"/>
    <row r="1452" s="66" customFormat="1" ht="13.2"/>
    <row r="1453" s="66" customFormat="1" ht="13.2"/>
    <row r="1454" s="66" customFormat="1" ht="13.2"/>
    <row r="1455" s="66" customFormat="1" ht="13.2"/>
    <row r="1456" s="66" customFormat="1" ht="13.2"/>
    <row r="1457" s="66" customFormat="1" ht="13.2"/>
    <row r="1458" s="66" customFormat="1" ht="13.2"/>
    <row r="1459" s="66" customFormat="1" ht="13.2"/>
    <row r="1460" s="66" customFormat="1" ht="13.2"/>
    <row r="1461" s="66" customFormat="1" ht="13.2"/>
    <row r="1462" s="66" customFormat="1" ht="13.2"/>
    <row r="1463" s="66" customFormat="1" ht="13.2"/>
    <row r="1464" s="66" customFormat="1" ht="13.2"/>
    <row r="1465" s="66" customFormat="1" ht="13.2"/>
    <row r="1466" s="66" customFormat="1" ht="13.2"/>
    <row r="1467" s="66" customFormat="1" ht="13.2"/>
    <row r="1468" s="66" customFormat="1" ht="13.2"/>
    <row r="1469" s="66" customFormat="1" ht="13.2"/>
    <row r="1470" s="66" customFormat="1" ht="13.2"/>
    <row r="1471" s="66" customFormat="1" ht="13.2"/>
    <row r="1472" s="66" customFormat="1" ht="13.2"/>
    <row r="1473" s="66" customFormat="1" ht="13.2"/>
    <row r="1474" s="66" customFormat="1" ht="13.2"/>
    <row r="1475" s="66" customFormat="1" ht="13.2"/>
    <row r="1476" s="66" customFormat="1" ht="13.2"/>
    <row r="1477" s="66" customFormat="1" ht="13.2"/>
    <row r="1478" s="66" customFormat="1" ht="13.2"/>
    <row r="1479" s="66" customFormat="1" ht="13.2"/>
    <row r="1480" s="66" customFormat="1" ht="13.2"/>
    <row r="1481" s="66" customFormat="1" ht="13.2"/>
    <row r="1482" s="66" customFormat="1" ht="13.2"/>
    <row r="1483" s="66" customFormat="1" ht="13.2"/>
    <row r="1484" s="66" customFormat="1" ht="13.2"/>
    <row r="1485" s="66" customFormat="1" ht="13.2"/>
    <row r="1486" s="66" customFormat="1" ht="13.2"/>
    <row r="1487" s="66" customFormat="1" ht="13.2"/>
    <row r="1488" s="66" customFormat="1" ht="13.2"/>
    <row r="1489" s="66" customFormat="1" ht="13.2"/>
    <row r="1490" s="66" customFormat="1" ht="13.2"/>
    <row r="1491" s="66" customFormat="1" ht="13.2"/>
    <row r="1492" s="66" customFormat="1" ht="13.2"/>
    <row r="1493" s="66" customFormat="1" ht="13.2"/>
    <row r="1494" s="66" customFormat="1" ht="13.2"/>
    <row r="1495" s="66" customFormat="1" ht="13.2"/>
    <row r="1496" s="66" customFormat="1" ht="13.2"/>
    <row r="1497" s="66" customFormat="1" ht="13.2"/>
    <row r="1498" s="66" customFormat="1" ht="13.2"/>
    <row r="1499" s="66" customFormat="1" ht="13.2"/>
    <row r="1500" s="66" customFormat="1" ht="13.2"/>
    <row r="1501" s="66" customFormat="1" ht="13.2"/>
    <row r="1502" s="66" customFormat="1" ht="13.2"/>
    <row r="1503" s="66" customFormat="1" ht="13.2"/>
    <row r="1504" s="66" customFormat="1" ht="13.2"/>
    <row r="1505" s="66" customFormat="1" ht="13.2"/>
    <row r="1506" s="66" customFormat="1" ht="13.2"/>
    <row r="1507" s="66" customFormat="1" ht="13.2"/>
    <row r="1508" s="66" customFormat="1" ht="13.2"/>
    <row r="1509" s="66" customFormat="1" ht="13.2"/>
    <row r="1510" s="66" customFormat="1" ht="13.2"/>
    <row r="1511" s="66" customFormat="1" ht="13.2"/>
    <row r="1512" s="66" customFormat="1" ht="13.2"/>
    <row r="1513" s="66" customFormat="1" ht="13.2"/>
    <row r="1514" s="66" customFormat="1" ht="13.2"/>
    <row r="1515" s="66" customFormat="1" ht="13.2"/>
    <row r="1516" s="66" customFormat="1" ht="13.2"/>
    <row r="1517" s="66" customFormat="1" ht="13.2"/>
    <row r="1518" s="66" customFormat="1" ht="13.2"/>
    <row r="1519" s="66" customFormat="1" ht="13.2"/>
    <row r="1520" s="66" customFormat="1" ht="13.2"/>
    <row r="1521" s="66" customFormat="1" ht="13.2"/>
    <row r="1522" s="66" customFormat="1" ht="13.2"/>
    <row r="1523" s="66" customFormat="1" ht="13.2"/>
    <row r="1524" s="66" customFormat="1" ht="13.2"/>
    <row r="1525" s="66" customFormat="1" ht="13.2"/>
    <row r="1526" s="66" customFormat="1" ht="13.2"/>
    <row r="1527" s="66" customFormat="1" ht="13.2"/>
    <row r="1528" s="66" customFormat="1" ht="13.2"/>
    <row r="1529" s="66" customFormat="1" ht="13.2"/>
    <row r="1530" s="66" customFormat="1" ht="13.2"/>
    <row r="1531" s="66" customFormat="1" ht="13.2"/>
    <row r="1532" s="66" customFormat="1" ht="13.2"/>
    <row r="1533" s="66" customFormat="1" ht="13.2"/>
    <row r="1534" s="66" customFormat="1" ht="13.2"/>
    <row r="1535" s="66" customFormat="1" ht="13.2"/>
    <row r="1536" s="66" customFormat="1" ht="13.2"/>
    <row r="1537" s="66" customFormat="1" ht="13.2"/>
    <row r="1538" s="66" customFormat="1" ht="13.2"/>
    <row r="1539" s="66" customFormat="1" ht="13.2"/>
    <row r="1540" s="66" customFormat="1" ht="13.2"/>
    <row r="1541" s="66" customFormat="1" ht="13.2"/>
    <row r="1542" s="66" customFormat="1" ht="13.2"/>
    <row r="1543" s="66" customFormat="1" ht="13.2"/>
    <row r="1544" s="66" customFormat="1" ht="13.2"/>
    <row r="1545" s="66" customFormat="1" ht="13.2"/>
    <row r="1546" s="66" customFormat="1" ht="13.2"/>
    <row r="1547" s="66" customFormat="1" ht="13.2"/>
    <row r="1548" s="66" customFormat="1" ht="13.2"/>
    <row r="1549" s="66" customFormat="1" ht="13.2"/>
    <row r="1550" s="66" customFormat="1" ht="13.2"/>
    <row r="1551" s="66" customFormat="1" ht="13.2"/>
    <row r="1552" s="66" customFormat="1" ht="13.2"/>
    <row r="1553" s="66" customFormat="1" ht="13.2"/>
    <row r="1554" s="66" customFormat="1" ht="13.2"/>
    <row r="1555" s="66" customFormat="1" ht="13.2"/>
    <row r="1556" s="66" customFormat="1" ht="13.2"/>
    <row r="1557" s="66" customFormat="1" ht="13.2"/>
    <row r="1558" s="66" customFormat="1" ht="13.2"/>
    <row r="1559" s="66" customFormat="1" ht="13.2"/>
    <row r="1560" s="66" customFormat="1" ht="13.2"/>
    <row r="1561" s="66" customFormat="1" ht="13.2"/>
    <row r="1562" s="66" customFormat="1" ht="13.2"/>
    <row r="1563" s="66" customFormat="1" ht="13.2"/>
    <row r="1564" s="66" customFormat="1" ht="13.2"/>
    <row r="1565" s="66" customFormat="1" ht="13.2"/>
    <row r="1566" s="66" customFormat="1" ht="13.2"/>
    <row r="1567" s="66" customFormat="1" ht="13.2"/>
    <row r="1568" s="66" customFormat="1" ht="13.2"/>
    <row r="1569" s="66" customFormat="1" ht="13.2"/>
    <row r="1570" s="66" customFormat="1" ht="13.2"/>
    <row r="1571" s="66" customFormat="1" ht="13.2"/>
    <row r="1572" s="66" customFormat="1" ht="13.2"/>
    <row r="1573" s="66" customFormat="1" ht="13.2"/>
    <row r="1574" s="66" customFormat="1" ht="13.2"/>
    <row r="1575" s="66" customFormat="1" ht="13.2"/>
    <row r="1576" s="66" customFormat="1" ht="13.2"/>
    <row r="1577" s="66" customFormat="1" ht="13.2"/>
    <row r="1578" s="66" customFormat="1" ht="13.2"/>
    <row r="1579" s="66" customFormat="1" ht="13.2"/>
    <row r="1580" s="66" customFormat="1" ht="13.2"/>
    <row r="1581" s="66" customFormat="1" ht="13.2"/>
    <row r="1582" s="66" customFormat="1" ht="13.2"/>
    <row r="1583" s="66" customFormat="1" ht="13.2"/>
    <row r="1584" s="66" customFormat="1" ht="13.2"/>
    <row r="1585" s="66" customFormat="1" ht="13.2"/>
    <row r="1586" s="66" customFormat="1" ht="13.2"/>
    <row r="1587" s="66" customFormat="1" ht="13.2"/>
    <row r="1588" s="66" customFormat="1" ht="13.2"/>
    <row r="1589" s="66" customFormat="1" ht="13.2"/>
    <row r="1590" s="66" customFormat="1" ht="13.2"/>
    <row r="1591" s="66" customFormat="1" ht="13.2"/>
    <row r="1592" s="66" customFormat="1" ht="13.2"/>
    <row r="1593" s="66" customFormat="1" ht="13.2"/>
    <row r="1594" s="66" customFormat="1" ht="13.2"/>
    <row r="1595" s="66" customFormat="1" ht="13.2"/>
    <row r="1596" s="66" customFormat="1" ht="13.2"/>
    <row r="1597" s="66" customFormat="1" ht="13.2"/>
    <row r="1598" s="66" customFormat="1" ht="13.2"/>
    <row r="1599" s="66" customFormat="1" ht="13.2"/>
    <row r="1600" s="66" customFormat="1" ht="13.2"/>
    <row r="1601" s="66" customFormat="1" ht="13.2"/>
    <row r="1602" s="66" customFormat="1" ht="13.2"/>
    <row r="1603" s="66" customFormat="1" ht="13.2"/>
    <row r="1604" s="66" customFormat="1" ht="13.2"/>
    <row r="1605" s="66" customFormat="1" ht="13.2"/>
    <row r="1606" s="66" customFormat="1" ht="13.2"/>
    <row r="1607" s="66" customFormat="1" ht="13.2"/>
    <row r="1608" s="66" customFormat="1" ht="13.2"/>
    <row r="1609" s="66" customFormat="1" ht="13.2"/>
    <row r="1610" s="66" customFormat="1" ht="13.2"/>
    <row r="1611" s="66" customFormat="1" ht="13.2"/>
    <row r="1612" s="66" customFormat="1" ht="13.2"/>
    <row r="1613" s="66" customFormat="1" ht="13.2"/>
    <row r="1614" s="66" customFormat="1" ht="13.2"/>
    <row r="1615" s="66" customFormat="1" ht="13.2"/>
    <row r="1616" s="66" customFormat="1" ht="13.2"/>
    <row r="1617" s="66" customFormat="1" ht="13.2"/>
    <row r="1618" s="66" customFormat="1" ht="13.2"/>
    <row r="1619" s="66" customFormat="1" ht="13.2"/>
    <row r="1620" s="66" customFormat="1" ht="13.2"/>
    <row r="1621" s="66" customFormat="1" ht="13.2"/>
    <row r="1622" s="66" customFormat="1" ht="13.2"/>
    <row r="1623" s="66" customFormat="1" ht="13.2"/>
    <row r="1624" s="66" customFormat="1" ht="13.2"/>
    <row r="1625" s="66" customFormat="1" ht="13.2"/>
    <row r="1626" s="66" customFormat="1" ht="13.2"/>
    <row r="1627" s="66" customFormat="1" ht="13.2"/>
    <row r="1628" s="66" customFormat="1" ht="13.2"/>
    <row r="1629" s="66" customFormat="1" ht="13.2"/>
    <row r="1630" s="66" customFormat="1" ht="13.2"/>
    <row r="1631" s="66" customFormat="1" ht="13.2"/>
    <row r="1632" s="66" customFormat="1" ht="13.2"/>
    <row r="1633" s="66" customFormat="1" ht="13.2"/>
    <row r="1634" s="66" customFormat="1" ht="13.2"/>
    <row r="1635" s="66" customFormat="1" ht="13.2"/>
    <row r="1636" s="66" customFormat="1" ht="13.2"/>
    <row r="1637" s="66" customFormat="1" ht="13.2"/>
    <row r="1638" s="66" customFormat="1" ht="13.2"/>
    <row r="1639" s="66" customFormat="1" ht="13.2"/>
    <row r="1640" s="66" customFormat="1" ht="13.2"/>
    <row r="1641" s="66" customFormat="1" ht="13.2"/>
    <row r="1642" s="66" customFormat="1" ht="13.2"/>
    <row r="1643" s="66" customFormat="1" ht="13.2"/>
    <row r="1644" s="66" customFormat="1" ht="13.2"/>
    <row r="1645" s="66" customFormat="1" ht="13.2"/>
    <row r="1646" s="66" customFormat="1" ht="13.2"/>
    <row r="1647" s="66" customFormat="1" ht="13.2"/>
    <row r="1648" s="66" customFormat="1" ht="13.2"/>
    <row r="1649" s="66" customFormat="1" ht="13.2"/>
    <row r="1650" s="66" customFormat="1" ht="13.2"/>
    <row r="1651" s="66" customFormat="1" ht="13.2"/>
    <row r="1652" s="66" customFormat="1" ht="13.2"/>
    <row r="1653" s="66" customFormat="1" ht="13.2"/>
    <row r="1654" s="66" customFormat="1" ht="13.2"/>
    <row r="1655" s="66" customFormat="1" ht="13.2"/>
    <row r="1656" s="66" customFormat="1" ht="13.2"/>
    <row r="1657" s="66" customFormat="1" ht="13.2"/>
    <row r="1658" s="66" customFormat="1" ht="13.2"/>
    <row r="1659" s="66" customFormat="1" ht="13.2"/>
    <row r="1660" s="66" customFormat="1" ht="13.2"/>
    <row r="1661" s="66" customFormat="1" ht="13.2"/>
    <row r="1662" s="66" customFormat="1" ht="13.2"/>
    <row r="1663" s="66" customFormat="1" ht="13.2"/>
    <row r="1664" s="66" customFormat="1" ht="13.2"/>
    <row r="1665" s="66" customFormat="1" ht="13.2"/>
    <row r="1666" s="66" customFormat="1" ht="13.2"/>
    <row r="1667" s="66" customFormat="1" ht="13.2"/>
    <row r="1668" s="66" customFormat="1" ht="13.2"/>
    <row r="1669" s="66" customFormat="1" ht="13.2"/>
    <row r="1670" s="66" customFormat="1" ht="13.2"/>
    <row r="1671" s="66" customFormat="1" ht="13.2"/>
    <row r="1672" s="66" customFormat="1" ht="13.2"/>
    <row r="1673" s="66" customFormat="1" ht="13.2"/>
    <row r="1674" s="66" customFormat="1" ht="13.2"/>
    <row r="1675" s="66" customFormat="1" ht="13.2"/>
    <row r="1676" s="66" customFormat="1" ht="13.2"/>
    <row r="1677" s="66" customFormat="1" ht="13.2"/>
    <row r="1678" s="66" customFormat="1" ht="13.2"/>
    <row r="1679" s="66" customFormat="1" ht="13.2"/>
    <row r="1680" s="66" customFormat="1" ht="13.2"/>
    <row r="1681" s="66" customFormat="1" ht="13.2"/>
    <row r="1682" s="66" customFormat="1" ht="13.2"/>
    <row r="1683" s="66" customFormat="1" ht="13.2"/>
    <row r="1684" s="66" customFormat="1" ht="13.2"/>
    <row r="1685" s="66" customFormat="1" ht="13.2"/>
    <row r="1686" s="66" customFormat="1" ht="13.2"/>
    <row r="1687" s="66" customFormat="1" ht="13.2"/>
    <row r="1688" s="66" customFormat="1" ht="13.2"/>
    <row r="1689" s="66" customFormat="1" ht="13.2"/>
    <row r="1690" s="66" customFormat="1" ht="13.2"/>
    <row r="1691" s="66" customFormat="1" ht="13.2"/>
    <row r="1692" s="66" customFormat="1" ht="13.2"/>
    <row r="1693" s="66" customFormat="1" ht="13.2"/>
    <row r="1694" s="66" customFormat="1" ht="13.2"/>
    <row r="1695" s="66" customFormat="1" ht="13.2"/>
    <row r="1696" s="66" customFormat="1" ht="13.2"/>
    <row r="1697" s="66" customFormat="1" ht="13.2"/>
    <row r="1698" s="66" customFormat="1" ht="13.2"/>
    <row r="1699" s="66" customFormat="1" ht="13.2"/>
    <row r="1700" s="66" customFormat="1" ht="13.2"/>
    <row r="1701" s="66" customFormat="1" ht="13.2"/>
    <row r="1702" s="66" customFormat="1" ht="13.2"/>
    <row r="1703" s="66" customFormat="1" ht="13.2"/>
    <row r="1704" s="66" customFormat="1" ht="13.2"/>
    <row r="1705" s="66" customFormat="1" ht="13.2"/>
    <row r="1706" s="66" customFormat="1" ht="13.2"/>
    <row r="1707" s="66" customFormat="1" ht="13.2"/>
    <row r="1708" s="66" customFormat="1" ht="13.2"/>
    <row r="1709" s="66" customFormat="1" ht="13.2"/>
    <row r="1710" s="66" customFormat="1" ht="13.2"/>
    <row r="1711" s="66" customFormat="1" ht="13.2"/>
    <row r="1712" s="66" customFormat="1" ht="13.2"/>
    <row r="1713" s="66" customFormat="1" ht="13.2"/>
    <row r="1714" s="66" customFormat="1" ht="13.2"/>
    <row r="1715" s="66" customFormat="1" ht="13.2"/>
    <row r="1716" s="66" customFormat="1" ht="13.2"/>
    <row r="1717" s="66" customFormat="1" ht="13.2"/>
    <row r="1718" s="66" customFormat="1" ht="13.2"/>
    <row r="1719" s="66" customFormat="1" ht="13.2"/>
    <row r="1720" s="66" customFormat="1" ht="13.2"/>
    <row r="1721" s="66" customFormat="1" ht="13.2"/>
    <row r="1722" s="66" customFormat="1" ht="13.2"/>
    <row r="1723" s="66" customFormat="1" ht="13.2"/>
    <row r="1724" s="66" customFormat="1" ht="13.2"/>
    <row r="1725" s="66" customFormat="1" ht="13.2"/>
    <row r="1726" s="66" customFormat="1" ht="13.2"/>
    <row r="1727" s="66" customFormat="1" ht="13.2"/>
    <row r="1728" s="66" customFormat="1" ht="13.2"/>
    <row r="1729" s="66" customFormat="1" ht="13.2"/>
    <row r="1730" s="66" customFormat="1" ht="13.2"/>
    <row r="1731" s="66" customFormat="1" ht="13.2"/>
    <row r="1732" s="66" customFormat="1" ht="13.2"/>
    <row r="1733" s="66" customFormat="1" ht="13.2"/>
    <row r="1734" s="66" customFormat="1" ht="13.2"/>
    <row r="1735" s="66" customFormat="1" ht="13.2"/>
    <row r="1736" s="66" customFormat="1" ht="13.2"/>
    <row r="1737" s="66" customFormat="1" ht="13.2"/>
    <row r="1738" s="66" customFormat="1" ht="13.2"/>
    <row r="1739" s="66" customFormat="1" ht="13.2"/>
    <row r="1740" s="66" customFormat="1" ht="13.2"/>
    <row r="1741" s="66" customFormat="1" ht="13.2"/>
    <row r="1742" s="66" customFormat="1" ht="13.2"/>
    <row r="1743" s="66" customFormat="1" ht="13.2"/>
    <row r="1744" s="66" customFormat="1" ht="13.2"/>
    <row r="1745" s="66" customFormat="1" ht="13.2"/>
    <row r="1746" s="66" customFormat="1" ht="13.2"/>
    <row r="1747" s="66" customFormat="1" ht="13.2"/>
    <row r="1748" s="66" customFormat="1" ht="13.2"/>
    <row r="1749" s="66" customFormat="1" ht="13.2"/>
    <row r="1750" s="66" customFormat="1" ht="13.2"/>
    <row r="1751" s="66" customFormat="1" ht="13.2"/>
    <row r="1752" s="66" customFormat="1" ht="13.2"/>
    <row r="1753" s="66" customFormat="1" ht="13.2"/>
    <row r="1754" s="66" customFormat="1" ht="13.2"/>
    <row r="1755" s="66" customFormat="1" ht="13.2"/>
    <row r="1756" s="66" customFormat="1" ht="13.2"/>
    <row r="1757" s="66" customFormat="1" ht="13.2"/>
    <row r="1758" s="66" customFormat="1" ht="13.2"/>
    <row r="1759" s="66" customFormat="1" ht="13.2"/>
    <row r="1760" s="66" customFormat="1" ht="13.2"/>
    <row r="1761" s="66" customFormat="1" ht="13.2"/>
    <row r="1762" s="66" customFormat="1" ht="13.2"/>
    <row r="1763" s="66" customFormat="1" ht="13.2"/>
    <row r="1764" s="66" customFormat="1" ht="13.2"/>
    <row r="1765" s="66" customFormat="1" ht="13.2"/>
    <row r="1766" s="66" customFormat="1" ht="13.2"/>
    <row r="1767" s="66" customFormat="1" ht="13.2"/>
    <row r="1768" s="66" customFormat="1" ht="13.2"/>
    <row r="1769" s="66" customFormat="1" ht="13.2"/>
    <row r="1770" s="66" customFormat="1" ht="13.2"/>
    <row r="1771" s="66" customFormat="1" ht="13.2"/>
    <row r="1772" s="66" customFormat="1" ht="13.2"/>
    <row r="1773" s="66" customFormat="1" ht="13.2"/>
    <row r="1774" s="66" customFormat="1" ht="13.2"/>
    <row r="1775" s="66" customFormat="1" ht="13.2"/>
    <row r="1776" s="66" customFormat="1" ht="13.2"/>
    <row r="1777" s="66" customFormat="1" ht="13.2"/>
    <row r="1778" s="66" customFormat="1" ht="13.2"/>
    <row r="1779" s="66" customFormat="1" ht="13.2"/>
    <row r="1780" s="66" customFormat="1" ht="13.2"/>
    <row r="1781" s="66" customFormat="1" ht="13.2"/>
    <row r="1782" s="66" customFormat="1" ht="13.2"/>
    <row r="1783" s="66" customFormat="1" ht="13.2"/>
    <row r="1784" s="66" customFormat="1" ht="13.2"/>
    <row r="1785" s="66" customFormat="1" ht="13.2"/>
    <row r="1786" s="66" customFormat="1" ht="13.2"/>
    <row r="1787" s="66" customFormat="1" ht="13.2"/>
    <row r="1788" s="66" customFormat="1" ht="13.2"/>
    <row r="1789" s="66" customFormat="1" ht="13.2"/>
    <row r="1790" s="66" customFormat="1" ht="13.2"/>
    <row r="1791" s="66" customFormat="1" ht="13.2"/>
    <row r="1792" s="66" customFormat="1" ht="13.2"/>
    <row r="1793" s="66" customFormat="1" ht="13.2"/>
    <row r="1794" s="66" customFormat="1" ht="13.2"/>
    <row r="1795" s="66" customFormat="1" ht="13.2"/>
    <row r="1796" s="66" customFormat="1" ht="13.2"/>
    <row r="1797" s="66" customFormat="1" ht="13.2"/>
    <row r="1798" s="66" customFormat="1" ht="13.2"/>
    <row r="1799" s="66" customFormat="1" ht="13.2"/>
    <row r="1800" s="66" customFormat="1" ht="13.2"/>
    <row r="1801" s="66" customFormat="1" ht="13.2"/>
    <row r="1802" s="66" customFormat="1" ht="13.2"/>
    <row r="1803" s="66" customFormat="1" ht="13.2"/>
    <row r="1804" s="66" customFormat="1" ht="13.2"/>
    <row r="1805" s="66" customFormat="1" ht="13.2"/>
    <row r="1806" s="66" customFormat="1" ht="13.2"/>
    <row r="1807" s="66" customFormat="1" ht="13.2"/>
    <row r="1808" s="66" customFormat="1" ht="13.2"/>
    <row r="1809" s="66" customFormat="1" ht="13.2"/>
    <row r="1810" s="66" customFormat="1" ht="13.2"/>
    <row r="1811" s="66" customFormat="1" ht="13.2"/>
    <row r="1812" s="66" customFormat="1" ht="13.2"/>
    <row r="1813" s="66" customFormat="1" ht="13.2"/>
    <row r="1814" s="66" customFormat="1" ht="13.2"/>
    <row r="1815" s="66" customFormat="1" ht="13.2"/>
    <row r="1816" s="66" customFormat="1" ht="13.2"/>
    <row r="1817" s="66" customFormat="1" ht="13.2"/>
    <row r="1818" s="66" customFormat="1" ht="13.2"/>
    <row r="1819" s="66" customFormat="1" ht="13.2"/>
    <row r="1820" s="66" customFormat="1" ht="13.2"/>
    <row r="1821" s="66" customFormat="1" ht="13.2"/>
    <row r="1822" s="66" customFormat="1" ht="13.2"/>
    <row r="1823" s="66" customFormat="1" ht="13.2"/>
    <row r="1824" s="66" customFormat="1" ht="13.2"/>
    <row r="1825" s="66" customFormat="1" ht="13.2"/>
    <row r="1826" s="66" customFormat="1" ht="13.2"/>
    <row r="1827" s="66" customFormat="1" ht="13.2"/>
    <row r="1828" s="66" customFormat="1" ht="13.2"/>
    <row r="1829" s="66" customFormat="1" ht="13.2"/>
    <row r="1830" s="66" customFormat="1" ht="13.2"/>
    <row r="1831" s="66" customFormat="1" ht="13.2"/>
    <row r="1832" s="66" customFormat="1" ht="13.2"/>
    <row r="1833" s="66" customFormat="1" ht="13.2"/>
    <row r="1834" s="66" customFormat="1" ht="13.2"/>
    <row r="1835" s="66" customFormat="1" ht="13.2"/>
    <row r="1836" s="66" customFormat="1" ht="13.2"/>
    <row r="1837" s="66" customFormat="1" ht="13.2"/>
    <row r="1838" s="66" customFormat="1" ht="13.2"/>
    <row r="1839" s="66" customFormat="1" ht="13.2"/>
    <row r="1840" s="66" customFormat="1" ht="13.2"/>
    <row r="1841" s="66" customFormat="1" ht="13.2"/>
    <row r="1842" s="66" customFormat="1" ht="13.2"/>
    <row r="1843" s="66" customFormat="1" ht="13.2"/>
    <row r="1844" s="66" customFormat="1" ht="13.2"/>
    <row r="1845" s="66" customFormat="1" ht="13.2"/>
    <row r="1846" s="66" customFormat="1" ht="13.2"/>
    <row r="1847" s="66" customFormat="1" ht="13.2"/>
    <row r="1848" s="66" customFormat="1" ht="13.2"/>
    <row r="1849" s="66" customFormat="1" ht="13.2"/>
    <row r="1850" s="66" customFormat="1" ht="13.2"/>
    <row r="1851" s="66" customFormat="1" ht="13.2"/>
    <row r="1852" s="66" customFormat="1" ht="13.2"/>
    <row r="1853" s="66" customFormat="1" ht="13.2"/>
    <row r="1854" s="66" customFormat="1" ht="13.2"/>
    <row r="1855" s="66" customFormat="1" ht="13.2"/>
    <row r="1856" s="66" customFormat="1" ht="13.2"/>
    <row r="1857" s="66" customFormat="1" ht="13.2"/>
    <row r="1858" s="66" customFormat="1" ht="13.2"/>
    <row r="1859" s="66" customFormat="1" ht="13.2"/>
    <row r="1860" s="66" customFormat="1" ht="13.2"/>
    <row r="1861" s="66" customFormat="1" ht="13.2"/>
    <row r="1862" s="66" customFormat="1" ht="13.2"/>
    <row r="1863" s="66" customFormat="1" ht="13.2"/>
    <row r="1864" s="66" customFormat="1" ht="13.2"/>
    <row r="1865" s="66" customFormat="1" ht="13.2"/>
    <row r="1866" s="66" customFormat="1" ht="13.2"/>
    <row r="1867" s="66" customFormat="1" ht="13.2"/>
    <row r="1868" s="66" customFormat="1" ht="13.2"/>
    <row r="1869" s="66" customFormat="1" ht="13.2"/>
    <row r="1870" s="66" customFormat="1" ht="13.2"/>
    <row r="1871" s="66" customFormat="1" ht="13.2"/>
    <row r="1872" s="66" customFormat="1" ht="13.2"/>
    <row r="1873" s="66" customFormat="1" ht="13.2"/>
    <row r="1874" s="66" customFormat="1" ht="13.2"/>
    <row r="1875" s="66" customFormat="1" ht="13.2"/>
    <row r="1876" s="66" customFormat="1" ht="13.2"/>
    <row r="1877" s="66" customFormat="1" ht="13.2"/>
    <row r="1878" s="66" customFormat="1" ht="13.2"/>
    <row r="1879" s="66" customFormat="1" ht="13.2"/>
    <row r="1880" s="66" customFormat="1" ht="13.2"/>
    <row r="1881" s="66" customFormat="1" ht="13.2"/>
    <row r="1882" s="66" customFormat="1" ht="13.2"/>
    <row r="1883" s="66" customFormat="1" ht="13.2"/>
    <row r="1884" s="66" customFormat="1" ht="13.2"/>
    <row r="1885" s="66" customFormat="1" ht="13.2"/>
    <row r="1886" s="66" customFormat="1" ht="13.2"/>
    <row r="1887" s="66" customFormat="1" ht="13.2"/>
    <row r="1888" s="66" customFormat="1" ht="13.2"/>
    <row r="1889" s="66" customFormat="1" ht="13.2"/>
    <row r="1890" s="66" customFormat="1" ht="13.2"/>
    <row r="1891" s="66" customFormat="1" ht="13.2"/>
    <row r="1892" s="66" customFormat="1" ht="13.2"/>
    <row r="1893" s="66" customFormat="1" ht="13.2"/>
    <row r="1894" s="66" customFormat="1" ht="13.2"/>
    <row r="1895" s="66" customFormat="1" ht="13.2"/>
    <row r="1896" s="66" customFormat="1" ht="13.2"/>
    <row r="1897" s="66" customFormat="1" ht="13.2"/>
    <row r="1898" s="66" customFormat="1" ht="13.2"/>
    <row r="1899" s="66" customFormat="1" ht="13.2"/>
    <row r="1900" s="66" customFormat="1" ht="13.2"/>
    <row r="1901" s="66" customFormat="1" ht="13.2"/>
    <row r="1902" s="66" customFormat="1" ht="13.2"/>
    <row r="1903" s="66" customFormat="1" ht="13.2"/>
    <row r="1904" s="66" customFormat="1" ht="13.2"/>
    <row r="1905" s="66" customFormat="1" ht="13.2"/>
    <row r="1906" s="66" customFormat="1" ht="13.2"/>
    <row r="1907" s="66" customFormat="1" ht="13.2"/>
    <row r="1908" s="66" customFormat="1" ht="13.2"/>
    <row r="1909" s="66" customFormat="1" ht="13.2"/>
    <row r="1910" s="66" customFormat="1" ht="13.2"/>
    <row r="1911" s="66" customFormat="1" ht="13.2"/>
    <row r="1912" s="66" customFormat="1" ht="13.2"/>
    <row r="1913" s="66" customFormat="1" ht="13.2"/>
    <row r="1914" s="66" customFormat="1" ht="13.2"/>
    <row r="1915" s="66" customFormat="1" ht="13.2"/>
    <row r="1916" s="66" customFormat="1" ht="13.2"/>
    <row r="1917" s="66" customFormat="1" ht="13.2"/>
    <row r="1918" s="66" customFormat="1" ht="13.2"/>
    <row r="1919" s="66" customFormat="1" ht="13.2"/>
    <row r="1920" s="66" customFormat="1" ht="13.2"/>
    <row r="1921" s="66" customFormat="1" ht="13.2"/>
    <row r="1922" s="66" customFormat="1" ht="13.2"/>
    <row r="1923" s="66" customFormat="1" ht="13.2"/>
    <row r="1924" s="66" customFormat="1" ht="13.2"/>
    <row r="1925" s="66" customFormat="1" ht="13.2"/>
    <row r="1926" s="66" customFormat="1" ht="13.2"/>
    <row r="1927" s="66" customFormat="1" ht="13.2"/>
    <row r="1928" s="66" customFormat="1" ht="13.2"/>
    <row r="1929" s="66" customFormat="1" ht="13.2"/>
    <row r="1930" s="66" customFormat="1" ht="13.2"/>
    <row r="1931" s="66" customFormat="1" ht="13.2"/>
    <row r="1932" s="66" customFormat="1" ht="13.2"/>
    <row r="1933" s="66" customFormat="1" ht="13.2"/>
    <row r="1934" s="66" customFormat="1" ht="13.2"/>
    <row r="1935" s="66" customFormat="1" ht="13.2"/>
    <row r="1936" s="66" customFormat="1" ht="13.2"/>
    <row r="1937" s="66" customFormat="1" ht="13.2"/>
    <row r="1938" s="66" customFormat="1" ht="13.2"/>
    <row r="1939" s="66" customFormat="1" ht="13.2"/>
    <row r="1940" s="66" customFormat="1" ht="13.2"/>
    <row r="1941" s="66" customFormat="1" ht="13.2"/>
    <row r="1942" s="66" customFormat="1" ht="13.2"/>
    <row r="1943" s="66" customFormat="1" ht="13.2"/>
    <row r="1944" s="66" customFormat="1" ht="13.2"/>
    <row r="1945" s="66" customFormat="1" ht="13.2"/>
    <row r="1946" s="66" customFormat="1" ht="13.2"/>
    <row r="1947" s="66" customFormat="1" ht="13.2"/>
    <row r="1948" s="66" customFormat="1" ht="13.2"/>
    <row r="1949" s="66" customFormat="1" ht="13.2"/>
    <row r="1950" s="66" customFormat="1" ht="13.2"/>
    <row r="1951" s="66" customFormat="1" ht="13.2"/>
    <row r="1952" s="66" customFormat="1" ht="13.2"/>
    <row r="1953" s="66" customFormat="1" ht="13.2"/>
    <row r="1954" s="66" customFormat="1" ht="13.2"/>
    <row r="1955" s="66" customFormat="1" ht="13.2"/>
    <row r="1956" s="66" customFormat="1" ht="13.2"/>
    <row r="1957" s="66" customFormat="1" ht="13.2"/>
    <row r="1958" s="66" customFormat="1" ht="13.2"/>
    <row r="1959" s="66" customFormat="1" ht="13.2"/>
    <row r="1960" s="66" customFormat="1" ht="13.2"/>
    <row r="1961" s="66" customFormat="1" ht="13.2"/>
    <row r="1962" s="66" customFormat="1" ht="13.2"/>
    <row r="1963" s="66" customFormat="1" ht="13.2"/>
    <row r="1964" s="66" customFormat="1" ht="13.2"/>
    <row r="1965" s="66" customFormat="1" ht="13.2"/>
    <row r="1966" s="66" customFormat="1" ht="13.2"/>
    <row r="1967" s="66" customFormat="1" ht="13.2"/>
    <row r="1968" s="66" customFormat="1" ht="13.2"/>
    <row r="1969" s="66" customFormat="1" ht="13.2"/>
    <row r="1970" s="66" customFormat="1" ht="13.2"/>
    <row r="1971" s="66" customFormat="1" ht="13.2"/>
    <row r="1972" s="66" customFormat="1" ht="13.2"/>
    <row r="1973" s="66" customFormat="1" ht="13.2"/>
    <row r="1974" s="66" customFormat="1" ht="13.2"/>
    <row r="1975" s="66" customFormat="1" ht="13.2"/>
    <row r="1976" s="66" customFormat="1" ht="13.2"/>
    <row r="1977" s="66" customFormat="1" ht="13.2"/>
    <row r="1978" s="66" customFormat="1" ht="13.2"/>
    <row r="1979" s="66" customFormat="1" ht="13.2"/>
    <row r="1980" s="66" customFormat="1" ht="13.2"/>
    <row r="1981" s="66" customFormat="1" ht="13.2"/>
    <row r="1982" s="66" customFormat="1" ht="13.2"/>
    <row r="1983" s="66" customFormat="1" ht="13.2"/>
    <row r="1984" s="66" customFormat="1" ht="13.2"/>
    <row r="1985" s="66" customFormat="1" ht="13.2"/>
    <row r="1986" s="66" customFormat="1" ht="13.2"/>
    <row r="1987" s="66" customFormat="1" ht="13.2"/>
    <row r="1988" s="66" customFormat="1" ht="13.2"/>
    <row r="1989" s="66" customFormat="1" ht="13.2"/>
    <row r="1990" s="66" customFormat="1" ht="13.2"/>
    <row r="1991" s="66" customFormat="1" ht="13.2"/>
    <row r="1992" s="66" customFormat="1" ht="13.2"/>
    <row r="1993" s="66" customFormat="1" ht="13.2"/>
    <row r="1994" s="66" customFormat="1" ht="13.2"/>
    <row r="1995" s="66" customFormat="1" ht="13.2"/>
    <row r="1996" s="66" customFormat="1" ht="13.2"/>
    <row r="1997" s="66" customFormat="1" ht="13.2"/>
    <row r="1998" s="66" customFormat="1" ht="13.2"/>
    <row r="1999" s="66" customFormat="1" ht="13.2"/>
    <row r="2000" s="66" customFormat="1" ht="13.2"/>
    <row r="2001" s="66" customFormat="1" ht="13.2"/>
    <row r="2002" s="66" customFormat="1" ht="13.2"/>
    <row r="2003" s="66" customFormat="1" ht="13.2"/>
    <row r="2004" s="66" customFormat="1" ht="13.2"/>
    <row r="2005" s="66" customFormat="1" ht="13.2"/>
    <row r="2006" s="66" customFormat="1" ht="13.2"/>
    <row r="2007" s="66" customFormat="1" ht="13.2"/>
    <row r="2008" s="66" customFormat="1" ht="13.2"/>
    <row r="2009" s="66" customFormat="1" ht="13.2"/>
    <row r="2010" s="66" customFormat="1" ht="13.2"/>
    <row r="2011" s="66" customFormat="1" ht="13.2"/>
    <row r="2012" s="66" customFormat="1" ht="13.2"/>
    <row r="2013" s="66" customFormat="1" ht="13.2"/>
    <row r="2014" s="66" customFormat="1" ht="13.2"/>
    <row r="2015" s="66" customFormat="1" ht="13.2"/>
    <row r="2016" s="66" customFormat="1" ht="13.2"/>
    <row r="2017" s="66" customFormat="1" ht="13.2"/>
    <row r="2018" s="66" customFormat="1" ht="13.2"/>
    <row r="2019" s="66" customFormat="1" ht="13.2"/>
    <row r="2020" s="66" customFormat="1" ht="13.2"/>
    <row r="2021" s="66" customFormat="1" ht="13.2"/>
    <row r="2022" s="66" customFormat="1" ht="13.2"/>
    <row r="2023" s="66" customFormat="1" ht="13.2"/>
    <row r="2024" s="66" customFormat="1" ht="13.2"/>
    <row r="2025" s="66" customFormat="1" ht="13.2"/>
    <row r="2026" s="66" customFormat="1" ht="13.2"/>
    <row r="2027" s="66" customFormat="1" ht="13.2"/>
    <row r="2028" s="66" customFormat="1" ht="13.2"/>
    <row r="2029" s="66" customFormat="1" ht="13.2"/>
    <row r="2030" s="66" customFormat="1" ht="13.2"/>
    <row r="2031" s="66" customFormat="1" ht="13.2"/>
    <row r="2032" s="66" customFormat="1" ht="13.2"/>
    <row r="2033" s="66" customFormat="1" ht="13.2"/>
    <row r="2034" s="66" customFormat="1" ht="13.2"/>
    <row r="2035" s="66" customFormat="1" ht="13.2"/>
    <row r="2036" s="66" customFormat="1" ht="13.2"/>
    <row r="2037" s="66" customFormat="1" ht="13.2"/>
    <row r="2038" s="66" customFormat="1" ht="13.2"/>
    <row r="2039" s="66" customFormat="1" ht="13.2"/>
    <row r="2040" s="66" customFormat="1" ht="13.2"/>
    <row r="2041" s="66" customFormat="1" ht="13.2"/>
    <row r="2042" s="66" customFormat="1" ht="13.2"/>
    <row r="2043" s="66" customFormat="1" ht="13.2"/>
    <row r="2044" s="66" customFormat="1" ht="13.2"/>
    <row r="2045" s="66" customFormat="1" ht="13.2"/>
    <row r="2046" s="66" customFormat="1" ht="13.2"/>
    <row r="2047" s="66" customFormat="1" ht="13.2"/>
    <row r="2048" s="66" customFormat="1" ht="13.2"/>
    <row r="2049" s="66" customFormat="1" ht="13.2"/>
    <row r="2050" s="66" customFormat="1" ht="13.2"/>
    <row r="2051" s="66" customFormat="1" ht="13.2"/>
    <row r="2052" s="66" customFormat="1" ht="13.2"/>
    <row r="2053" s="66" customFormat="1" ht="13.2"/>
    <row r="2054" s="66" customFormat="1" ht="13.2"/>
    <row r="2055" s="66" customFormat="1" ht="13.2"/>
    <row r="2056" s="66" customFormat="1" ht="13.2"/>
    <row r="2057" s="66" customFormat="1" ht="13.2"/>
    <row r="2058" s="66" customFormat="1" ht="13.2"/>
    <row r="2059" s="66" customFormat="1" ht="13.2"/>
    <row r="2060" s="66" customFormat="1" ht="13.2"/>
    <row r="2061" s="66" customFormat="1" ht="13.2"/>
    <row r="2062" s="66" customFormat="1" ht="13.2"/>
    <row r="2063" s="66" customFormat="1" ht="13.2"/>
    <row r="2064" s="66" customFormat="1" ht="13.2"/>
    <row r="2065" s="66" customFormat="1" ht="13.2"/>
    <row r="2066" s="66" customFormat="1" ht="13.2"/>
    <row r="2067" s="66" customFormat="1" ht="13.2"/>
    <row r="2068" s="66" customFormat="1" ht="13.2"/>
    <row r="2069" s="66" customFormat="1" ht="13.2"/>
    <row r="2070" s="66" customFormat="1" ht="13.2"/>
    <row r="2071" s="66" customFormat="1" ht="13.2"/>
    <row r="2072" s="66" customFormat="1" ht="13.2"/>
    <row r="2073" s="66" customFormat="1" ht="13.2"/>
    <row r="2074" s="66" customFormat="1" ht="13.2"/>
    <row r="2075" s="66" customFormat="1" ht="13.2"/>
    <row r="2076" s="66" customFormat="1" ht="13.2"/>
    <row r="2077" s="66" customFormat="1" ht="13.2"/>
    <row r="2078" s="66" customFormat="1" ht="13.2"/>
    <row r="2079" s="66" customFormat="1" ht="13.2"/>
    <row r="2080" s="66" customFormat="1" ht="13.2"/>
    <row r="2081" s="66" customFormat="1" ht="13.2"/>
    <row r="2082" s="66" customFormat="1" ht="13.2"/>
    <row r="2083" s="66" customFormat="1" ht="13.2"/>
    <row r="2084" s="66" customFormat="1" ht="13.2"/>
    <row r="2085" s="66" customFormat="1" ht="13.2"/>
    <row r="2086" s="66" customFormat="1" ht="13.2"/>
    <row r="2087" s="66" customFormat="1" ht="13.2"/>
    <row r="2088" s="66" customFormat="1" ht="13.2"/>
    <row r="2089" s="66" customFormat="1" ht="13.2"/>
    <row r="2090" s="66" customFormat="1" ht="13.2"/>
    <row r="2091" s="66" customFormat="1" ht="13.2"/>
    <row r="2092" s="66" customFormat="1" ht="13.2"/>
    <row r="2093" s="66" customFormat="1" ht="13.2"/>
    <row r="2094" s="66" customFormat="1" ht="13.2"/>
    <row r="2095" s="66" customFormat="1" ht="13.2"/>
    <row r="2096" s="66" customFormat="1" ht="13.2"/>
    <row r="2097" s="66" customFormat="1" ht="13.2"/>
    <row r="2098" s="66" customFormat="1" ht="13.2"/>
    <row r="2099" s="66" customFormat="1" ht="13.2"/>
    <row r="2100" s="66" customFormat="1" ht="13.2"/>
    <row r="2101" s="66" customFormat="1" ht="13.2"/>
    <row r="2102" s="66" customFormat="1" ht="13.2"/>
    <row r="2103" s="66" customFormat="1" ht="13.2"/>
    <row r="2104" s="66" customFormat="1" ht="13.2"/>
    <row r="2105" s="66" customFormat="1" ht="13.2"/>
    <row r="2106" s="66" customFormat="1" ht="13.2"/>
    <row r="2107" s="66" customFormat="1" ht="13.2"/>
    <row r="2108" s="66" customFormat="1" ht="13.2"/>
    <row r="2109" s="66" customFormat="1" ht="13.2"/>
    <row r="2110" s="66" customFormat="1" ht="13.2"/>
    <row r="2111" s="66" customFormat="1" ht="13.2"/>
    <row r="2112" s="66" customFormat="1" ht="13.2"/>
    <row r="2113" s="66" customFormat="1" ht="13.2"/>
    <row r="2114" s="66" customFormat="1" ht="13.2"/>
    <row r="2115" s="66" customFormat="1" ht="13.2"/>
    <row r="2116" s="66" customFormat="1" ht="13.2"/>
    <row r="2117" s="66" customFormat="1" ht="13.2"/>
    <row r="2118" s="66" customFormat="1" ht="13.2"/>
    <row r="2119" s="66" customFormat="1" ht="13.2"/>
    <row r="2120" s="66" customFormat="1" ht="13.2"/>
    <row r="2121" s="66" customFormat="1" ht="13.2"/>
    <row r="2122" s="66" customFormat="1" ht="13.2"/>
    <row r="2123" s="66" customFormat="1" ht="13.2"/>
    <row r="2124" s="66" customFormat="1" ht="13.2"/>
    <row r="2125" s="66" customFormat="1" ht="13.2"/>
    <row r="2126" s="66" customFormat="1" ht="13.2"/>
    <row r="2127" s="66" customFormat="1" ht="13.2"/>
    <row r="2128" s="66" customFormat="1" ht="13.2"/>
    <row r="2129" s="66" customFormat="1" ht="13.2"/>
    <row r="2130" s="66" customFormat="1" ht="13.2"/>
    <row r="2131" s="66" customFormat="1" ht="13.2"/>
    <row r="2132" s="66" customFormat="1" ht="13.2"/>
    <row r="2133" s="66" customFormat="1" ht="13.2"/>
    <row r="2134" s="66" customFormat="1" ht="13.2"/>
    <row r="2135" s="66" customFormat="1" ht="13.2"/>
    <row r="2136" s="66" customFormat="1" ht="13.2"/>
    <row r="2137" s="66" customFormat="1" ht="13.2"/>
    <row r="2138" s="66" customFormat="1" ht="13.2"/>
    <row r="2139" s="66" customFormat="1" ht="13.2"/>
    <row r="2140" s="66" customFormat="1" ht="13.2"/>
    <row r="2141" s="66" customFormat="1" ht="13.2"/>
    <row r="2142" s="66" customFormat="1" ht="13.2"/>
    <row r="2143" s="66" customFormat="1" ht="13.2"/>
    <row r="2144" s="66" customFormat="1" ht="13.2"/>
    <row r="2145" s="66" customFormat="1" ht="13.2"/>
    <row r="2146" s="66" customFormat="1" ht="13.2"/>
    <row r="2147" s="66" customFormat="1" ht="13.2"/>
    <row r="2148" s="66" customFormat="1" ht="13.2"/>
    <row r="2149" s="66" customFormat="1" ht="13.2"/>
    <row r="2150" s="66" customFormat="1" ht="13.2"/>
    <row r="2151" s="66" customFormat="1" ht="13.2"/>
    <row r="2152" s="66" customFormat="1" ht="13.2"/>
    <row r="2153" s="66" customFormat="1" ht="13.2"/>
    <row r="2154" s="66" customFormat="1" ht="13.2"/>
    <row r="2155" s="66" customFormat="1" ht="13.2"/>
    <row r="2156" s="66" customFormat="1" ht="13.2"/>
    <row r="2157" s="66" customFormat="1" ht="13.2"/>
    <row r="2158" s="66" customFormat="1" ht="13.2"/>
    <row r="2159" s="66" customFormat="1" ht="13.2"/>
    <row r="2160" s="66" customFormat="1" ht="13.2"/>
    <row r="2161" s="66" customFormat="1" ht="13.2"/>
    <row r="2162" s="66" customFormat="1" ht="13.2"/>
    <row r="2163" s="66" customFormat="1" ht="13.2"/>
    <row r="2164" s="66" customFormat="1" ht="13.2"/>
    <row r="2165" s="66" customFormat="1" ht="13.2"/>
    <row r="2166" s="66" customFormat="1" ht="13.2"/>
    <row r="2167" s="66" customFormat="1" ht="13.2"/>
    <row r="2168" s="66" customFormat="1" ht="13.2"/>
    <row r="2169" s="66" customFormat="1" ht="13.2"/>
    <row r="2170" s="66" customFormat="1" ht="13.2"/>
    <row r="2171" s="66" customFormat="1" ht="13.2"/>
    <row r="2172" s="66" customFormat="1" ht="13.2"/>
    <row r="2173" s="66" customFormat="1" ht="13.2"/>
    <row r="2174" s="66" customFormat="1" ht="13.2"/>
    <row r="2175" s="66" customFormat="1" ht="13.2"/>
    <row r="2176" s="66" customFormat="1" ht="13.2"/>
    <row r="2177" s="66" customFormat="1" ht="13.2"/>
    <row r="2178" s="66" customFormat="1" ht="13.2"/>
    <row r="2179" s="66" customFormat="1" ht="13.2"/>
    <row r="2180" s="66" customFormat="1" ht="13.2"/>
    <row r="2181" s="66" customFormat="1" ht="13.2"/>
    <row r="2182" s="66" customFormat="1" ht="13.2"/>
    <row r="2183" s="66" customFormat="1" ht="13.2"/>
    <row r="2184" s="66" customFormat="1" ht="13.2"/>
    <row r="2185" s="66" customFormat="1" ht="13.2"/>
    <row r="2186" s="66" customFormat="1" ht="13.2"/>
    <row r="2187" s="66" customFormat="1" ht="13.2"/>
    <row r="2188" s="66" customFormat="1" ht="13.2"/>
    <row r="2189" s="66" customFormat="1" ht="13.2"/>
    <row r="2190" s="66" customFormat="1" ht="13.2"/>
    <row r="2191" s="66" customFormat="1" ht="13.2"/>
    <row r="2192" s="66" customFormat="1" ht="13.2"/>
    <row r="2193" s="66" customFormat="1" ht="13.2"/>
    <row r="2194" s="66" customFormat="1" ht="13.2"/>
    <row r="2195" s="66" customFormat="1" ht="13.2"/>
    <row r="2196" s="66" customFormat="1" ht="13.2"/>
    <row r="2197" s="66" customFormat="1" ht="13.2"/>
    <row r="2198" s="66" customFormat="1" ht="13.2"/>
    <row r="2199" s="66" customFormat="1" ht="13.2"/>
    <row r="2200" s="66" customFormat="1" ht="13.2"/>
    <row r="2201" s="66" customFormat="1" ht="13.2"/>
    <row r="2202" s="66" customFormat="1" ht="13.2"/>
    <row r="2203" s="66" customFormat="1" ht="13.2"/>
    <row r="2204" s="66" customFormat="1" ht="13.2"/>
    <row r="2205" s="66" customFormat="1" ht="13.2"/>
    <row r="2206" s="66" customFormat="1" ht="13.2"/>
    <row r="2207" s="66" customFormat="1" ht="13.2"/>
    <row r="2208" s="66" customFormat="1" ht="13.2"/>
    <row r="2209" s="66" customFormat="1" ht="13.2"/>
    <row r="2210" s="66" customFormat="1" ht="13.2"/>
    <row r="2211" s="66" customFormat="1" ht="13.2"/>
    <row r="2212" s="66" customFormat="1" ht="13.2"/>
    <row r="2213" s="66" customFormat="1" ht="13.2"/>
    <row r="2214" s="66" customFormat="1" ht="13.2"/>
    <row r="2215" s="66" customFormat="1" ht="13.2"/>
    <row r="2216" s="66" customFormat="1" ht="13.2"/>
    <row r="2217" s="66" customFormat="1" ht="13.2"/>
    <row r="2218" s="66" customFormat="1" ht="13.2"/>
    <row r="2219" s="66" customFormat="1" ht="13.2"/>
    <row r="2220" s="66" customFormat="1" ht="13.2"/>
    <row r="2221" s="66" customFormat="1" ht="13.2"/>
    <row r="2222" s="66" customFormat="1" ht="13.2"/>
    <row r="2223" s="66" customFormat="1" ht="13.2"/>
    <row r="2224" s="66" customFormat="1" ht="13.2"/>
    <row r="2225" s="66" customFormat="1" ht="13.2"/>
    <row r="2226" s="66" customFormat="1" ht="13.2"/>
    <row r="2227" s="66" customFormat="1" ht="13.2"/>
    <row r="2228" s="66" customFormat="1" ht="13.2"/>
    <row r="2229" s="66" customFormat="1" ht="13.2"/>
    <row r="2230" s="66" customFormat="1" ht="13.2"/>
    <row r="2231" s="66" customFormat="1" ht="13.2"/>
    <row r="2232" s="66" customFormat="1" ht="13.2"/>
    <row r="2233" s="66" customFormat="1" ht="13.2"/>
    <row r="2234" s="66" customFormat="1" ht="13.2"/>
    <row r="2235" s="66" customFormat="1" ht="13.2"/>
    <row r="2236" s="66" customFormat="1" ht="13.2"/>
    <row r="2237" s="66" customFormat="1" ht="13.2"/>
    <row r="2238" s="66" customFormat="1" ht="13.2"/>
    <row r="2239" s="66" customFormat="1" ht="13.2"/>
    <row r="2240" s="66" customFormat="1" ht="13.2"/>
    <row r="2241" s="66" customFormat="1" ht="13.2"/>
    <row r="2242" s="66" customFormat="1" ht="13.2"/>
    <row r="2243" s="66" customFormat="1" ht="13.2"/>
    <row r="2244" s="66" customFormat="1" ht="13.2"/>
    <row r="2245" s="66" customFormat="1" ht="13.2"/>
    <row r="2246" s="66" customFormat="1" ht="13.2"/>
    <row r="2247" s="66" customFormat="1" ht="13.2"/>
    <row r="2248" s="66" customFormat="1" ht="13.2"/>
    <row r="2249" s="66" customFormat="1" ht="13.2"/>
    <row r="2250" s="66" customFormat="1" ht="13.2"/>
    <row r="2251" s="66" customFormat="1" ht="13.2"/>
    <row r="2252" s="66" customFormat="1" ht="13.2"/>
    <row r="2253" s="66" customFormat="1" ht="13.2"/>
    <row r="2254" s="66" customFormat="1" ht="13.2"/>
    <row r="2255" s="66" customFormat="1" ht="13.2"/>
    <row r="2256" s="66" customFormat="1" ht="13.2"/>
    <row r="2257" s="66" customFormat="1" ht="13.2"/>
    <row r="2258" s="66" customFormat="1" ht="13.2"/>
    <row r="2259" s="66" customFormat="1" ht="13.2"/>
    <row r="2260" s="66" customFormat="1" ht="13.2"/>
    <row r="2261" s="66" customFormat="1" ht="13.2"/>
    <row r="2262" s="66" customFormat="1" ht="13.2"/>
    <row r="2263" s="66" customFormat="1" ht="13.2"/>
    <row r="2264" s="66" customFormat="1" ht="13.2"/>
    <row r="2265" s="66" customFormat="1" ht="13.2"/>
    <row r="2266" s="66" customFormat="1" ht="13.2"/>
    <row r="2267" s="66" customFormat="1" ht="13.2"/>
    <row r="2268" s="66" customFormat="1" ht="13.2"/>
    <row r="2269" s="66" customFormat="1" ht="13.2"/>
    <row r="2270" s="66" customFormat="1" ht="13.2"/>
    <row r="2271" s="66" customFormat="1" ht="13.2"/>
    <row r="2272" s="66" customFormat="1" ht="13.2"/>
    <row r="2273" s="66" customFormat="1" ht="13.2"/>
    <row r="2274" s="66" customFormat="1" ht="13.2"/>
    <row r="2275" s="66" customFormat="1" ht="13.2"/>
    <row r="2276" s="66" customFormat="1" ht="13.2"/>
    <row r="2277" s="66" customFormat="1" ht="13.2"/>
    <row r="2278" s="66" customFormat="1" ht="13.2"/>
    <row r="2279" s="66" customFormat="1" ht="13.2"/>
    <row r="2280" s="66" customFormat="1" ht="13.2"/>
    <row r="2281" s="66" customFormat="1" ht="13.2"/>
    <row r="2282" s="66" customFormat="1" ht="13.2"/>
    <row r="2283" s="66" customFormat="1" ht="13.2"/>
    <row r="2284" s="66" customFormat="1" ht="13.2"/>
    <row r="2285" s="66" customFormat="1" ht="13.2"/>
    <row r="2286" s="66" customFormat="1" ht="13.2"/>
    <row r="2287" s="66" customFormat="1" ht="13.2"/>
    <row r="2288" s="66" customFormat="1" ht="13.2"/>
    <row r="2289" s="66" customFormat="1" ht="13.2"/>
    <row r="2290" s="66" customFormat="1" ht="13.2"/>
    <row r="2291" s="66" customFormat="1" ht="13.2"/>
    <row r="2292" s="66" customFormat="1" ht="13.2"/>
    <row r="2293" s="66" customFormat="1" ht="13.2"/>
    <row r="2294" s="66" customFormat="1" ht="13.2"/>
    <row r="2295" s="66" customFormat="1" ht="13.2"/>
    <row r="2296" s="66" customFormat="1" ht="13.2"/>
    <row r="2297" s="66" customFormat="1" ht="13.2"/>
    <row r="2298" s="66" customFormat="1" ht="13.2"/>
    <row r="2299" s="66" customFormat="1" ht="13.2"/>
    <row r="2300" s="66" customFormat="1" ht="13.2"/>
    <row r="2301" s="66" customFormat="1" ht="13.2"/>
    <row r="2302" s="66" customFormat="1" ht="13.2"/>
    <row r="2303" s="66" customFormat="1" ht="13.2"/>
    <row r="2304" s="66" customFormat="1" ht="13.2"/>
    <row r="2305" s="66" customFormat="1" ht="13.2"/>
    <row r="2306" s="66" customFormat="1" ht="13.2"/>
    <row r="2307" s="66" customFormat="1" ht="13.2"/>
    <row r="2308" s="66" customFormat="1" ht="13.2"/>
    <row r="2309" s="66" customFormat="1" ht="13.2"/>
    <row r="2310" s="66" customFormat="1" ht="13.2"/>
    <row r="2311" s="66" customFormat="1" ht="13.2"/>
    <row r="2312" s="66" customFormat="1" ht="13.2"/>
    <row r="2313" s="66" customFormat="1" ht="13.2"/>
    <row r="2314" s="66" customFormat="1" ht="13.2"/>
    <row r="2315" s="66" customFormat="1" ht="13.2"/>
    <row r="2316" s="66" customFormat="1" ht="13.2"/>
    <row r="2317" s="66" customFormat="1" ht="13.2"/>
    <row r="2318" s="66" customFormat="1" ht="13.2"/>
    <row r="2319" s="66" customFormat="1" ht="13.2"/>
    <row r="2320" s="66" customFormat="1" ht="13.2"/>
    <row r="2321" s="66" customFormat="1" ht="13.2"/>
    <row r="2322" s="66" customFormat="1" ht="13.2"/>
    <row r="2323" s="66" customFormat="1" ht="13.2"/>
    <row r="2324" s="66" customFormat="1" ht="13.2"/>
    <row r="2325" s="66" customFormat="1" ht="13.2"/>
    <row r="2326" s="66" customFormat="1" ht="13.2"/>
    <row r="2327" s="66" customFormat="1" ht="13.2"/>
    <row r="2328" s="66" customFormat="1" ht="13.2"/>
    <row r="2329" s="66" customFormat="1" ht="13.2"/>
    <row r="2330" s="66" customFormat="1" ht="13.2"/>
    <row r="2331" s="66" customFormat="1" ht="13.2"/>
    <row r="2332" s="66" customFormat="1" ht="13.2"/>
    <row r="2333" s="66" customFormat="1" ht="13.2"/>
    <row r="2334" s="66" customFormat="1" ht="13.2"/>
    <row r="2335" s="66" customFormat="1" ht="13.2"/>
    <row r="2336" s="66" customFormat="1" ht="13.2"/>
    <row r="2337" s="66" customFormat="1" ht="13.2"/>
    <row r="2338" s="66" customFormat="1" ht="13.2"/>
    <row r="2339" s="66" customFormat="1" ht="13.2"/>
    <row r="2340" s="66" customFormat="1" ht="13.2"/>
    <row r="2341" s="66" customFormat="1" ht="13.2"/>
    <row r="2342" s="66" customFormat="1" ht="13.2"/>
    <row r="2343" s="66" customFormat="1" ht="13.2"/>
    <row r="2344" s="66" customFormat="1" ht="13.2"/>
    <row r="2345" s="66" customFormat="1" ht="13.2"/>
    <row r="2346" s="66" customFormat="1" ht="13.2"/>
    <row r="2347" s="66" customFormat="1" ht="13.2"/>
    <row r="2348" s="66" customFormat="1" ht="13.2"/>
    <row r="2349" s="66" customFormat="1" ht="13.2"/>
    <row r="2350" s="66" customFormat="1" ht="13.2"/>
    <row r="2351" s="66" customFormat="1" ht="13.2"/>
    <row r="2352" s="66" customFormat="1" ht="13.2"/>
    <row r="2353" s="66" customFormat="1" ht="13.2"/>
    <row r="2354" s="66" customFormat="1" ht="13.2"/>
    <row r="2355" s="66" customFormat="1" ht="13.2"/>
    <row r="2356" s="66" customFormat="1" ht="13.2"/>
    <row r="2357" s="66" customFormat="1" ht="13.2"/>
    <row r="2358" s="66" customFormat="1" ht="13.2"/>
    <row r="2359" s="66" customFormat="1" ht="13.2"/>
    <row r="2360" s="66" customFormat="1" ht="13.2"/>
    <row r="2361" s="66" customFormat="1" ht="13.2"/>
    <row r="2362" s="66" customFormat="1" ht="13.2"/>
    <row r="2363" s="66" customFormat="1" ht="13.2"/>
    <row r="2364" s="66" customFormat="1" ht="13.2"/>
    <row r="2365" s="66" customFormat="1" ht="13.2"/>
    <row r="2366" s="66" customFormat="1" ht="13.2"/>
    <row r="2367" s="66" customFormat="1" ht="13.2"/>
    <row r="2368" s="66" customFormat="1" ht="13.2"/>
    <row r="2369" s="66" customFormat="1" ht="13.2"/>
    <row r="2370" s="66" customFormat="1" ht="13.2"/>
    <row r="2371" s="66" customFormat="1" ht="13.2"/>
    <row r="2372" s="66" customFormat="1" ht="13.2"/>
    <row r="2373" s="66" customFormat="1" ht="13.2"/>
    <row r="2374" s="66" customFormat="1" ht="13.2"/>
    <row r="2375" s="66" customFormat="1" ht="13.2"/>
    <row r="2376" s="66" customFormat="1" ht="13.2"/>
    <row r="2377" s="66" customFormat="1" ht="13.2"/>
    <row r="2378" s="66" customFormat="1" ht="13.2"/>
    <row r="2379" s="66" customFormat="1" ht="13.2"/>
    <row r="2380" s="66" customFormat="1" ht="13.2"/>
    <row r="2381" s="66" customFormat="1" ht="13.2"/>
    <row r="2382" s="66" customFormat="1" ht="13.2"/>
    <row r="2383" s="66" customFormat="1" ht="13.2"/>
    <row r="2384" s="66" customFormat="1" ht="13.2"/>
    <row r="2385" s="66" customFormat="1" ht="13.2"/>
    <row r="2386" s="66" customFormat="1" ht="13.2"/>
    <row r="2387" s="66" customFormat="1" ht="13.2"/>
    <row r="2388" s="66" customFormat="1" ht="13.2"/>
    <row r="2389" s="66" customFormat="1" ht="13.2"/>
    <row r="2390" s="66" customFormat="1" ht="13.2"/>
    <row r="2391" s="66" customFormat="1" ht="13.2"/>
    <row r="2392" s="66" customFormat="1" ht="13.2"/>
    <row r="2393" s="66" customFormat="1" ht="13.2"/>
    <row r="2394" s="66" customFormat="1" ht="13.2"/>
    <row r="2395" s="66" customFormat="1" ht="13.2"/>
    <row r="2396" s="66" customFormat="1" ht="13.2"/>
    <row r="2397" s="66" customFormat="1" ht="13.2"/>
    <row r="2398" s="66" customFormat="1" ht="13.2"/>
    <row r="2399" s="66" customFormat="1" ht="13.2"/>
    <row r="2400" s="66" customFormat="1" ht="13.2"/>
    <row r="2401" s="66" customFormat="1" ht="13.2"/>
    <row r="2402" s="66" customFormat="1" ht="13.2"/>
    <row r="2403" s="66" customFormat="1" ht="13.2"/>
    <row r="2404" s="66" customFormat="1" ht="13.2"/>
    <row r="2405" s="66" customFormat="1" ht="13.2"/>
    <row r="2406" s="66" customFormat="1" ht="13.2"/>
    <row r="2407" s="66" customFormat="1" ht="13.2"/>
    <row r="2408" s="66" customFormat="1" ht="13.2"/>
    <row r="2409" s="66" customFormat="1" ht="13.2"/>
    <row r="2410" s="66" customFormat="1" ht="13.2"/>
    <row r="2411" s="66" customFormat="1" ht="13.2"/>
    <row r="2412" s="66" customFormat="1" ht="13.2"/>
    <row r="2413" s="66" customFormat="1" ht="13.2"/>
    <row r="2414" s="66" customFormat="1" ht="13.2"/>
    <row r="2415" s="66" customFormat="1" ht="13.2"/>
    <row r="2416" s="66" customFormat="1" ht="13.2"/>
    <row r="2417" s="66" customFormat="1" ht="13.2"/>
    <row r="2418" s="66" customFormat="1" ht="13.2"/>
    <row r="2419" s="66" customFormat="1" ht="13.2"/>
    <row r="2420" s="66" customFormat="1" ht="13.2"/>
    <row r="2421" s="66" customFormat="1" ht="13.2"/>
    <row r="2422" s="66" customFormat="1" ht="13.2"/>
    <row r="2423" s="66" customFormat="1" ht="13.2"/>
    <row r="2424" s="66" customFormat="1" ht="13.2"/>
    <row r="2425" s="66" customFormat="1" ht="13.2"/>
    <row r="2426" s="66" customFormat="1" ht="13.2"/>
    <row r="2427" s="66" customFormat="1" ht="13.2"/>
    <row r="2428" s="66" customFormat="1" ht="13.2"/>
    <row r="2429" s="66" customFormat="1" ht="13.2"/>
    <row r="2430" s="66" customFormat="1" ht="13.2"/>
    <row r="2431" s="66" customFormat="1" ht="13.2"/>
    <row r="2432" s="66" customFormat="1" ht="13.2"/>
    <row r="2433" s="66" customFormat="1" ht="13.2"/>
    <row r="2434" s="66" customFormat="1" ht="13.2"/>
    <row r="2435" s="66" customFormat="1" ht="13.2"/>
    <row r="2436" s="66" customFormat="1" ht="13.2"/>
    <row r="2437" s="66" customFormat="1" ht="13.2"/>
    <row r="2438" s="66" customFormat="1" ht="13.2"/>
    <row r="2439" s="66" customFormat="1" ht="13.2"/>
    <row r="2440" s="66" customFormat="1" ht="13.2"/>
    <row r="2441" s="66" customFormat="1" ht="13.2"/>
    <row r="2442" s="66" customFormat="1" ht="13.2"/>
    <row r="2443" s="66" customFormat="1" ht="13.2"/>
    <row r="2444" s="66" customFormat="1" ht="13.2"/>
    <row r="2445" s="66" customFormat="1" ht="13.2"/>
    <row r="2446" s="66" customFormat="1" ht="13.2"/>
    <row r="2447" s="66" customFormat="1" ht="13.2"/>
    <row r="2448" s="66" customFormat="1" ht="13.2"/>
    <row r="2449" s="66" customFormat="1" ht="13.2"/>
    <row r="2450" s="66" customFormat="1" ht="13.2"/>
    <row r="2451" s="66" customFormat="1" ht="13.2"/>
    <row r="2452" s="66" customFormat="1" ht="13.2"/>
    <row r="2453" s="66" customFormat="1" ht="13.2"/>
    <row r="2454" s="66" customFormat="1" ht="13.2"/>
    <row r="2455" s="66" customFormat="1" ht="13.2"/>
    <row r="2456" s="66" customFormat="1" ht="13.2"/>
    <row r="2457" s="66" customFormat="1" ht="13.2"/>
    <row r="2458" s="66" customFormat="1" ht="13.2"/>
    <row r="2459" s="66" customFormat="1" ht="13.2"/>
    <row r="2460" s="66" customFormat="1" ht="13.2"/>
    <row r="2461" s="66" customFormat="1" ht="13.2"/>
    <row r="2462" s="66" customFormat="1" ht="13.2"/>
    <row r="2463" s="66" customFormat="1" ht="13.2"/>
    <row r="2464" s="66" customFormat="1" ht="13.2"/>
    <row r="2465" s="66" customFormat="1" ht="13.2"/>
    <row r="2466" s="66" customFormat="1" ht="13.2"/>
    <row r="2467" s="66" customFormat="1" ht="13.2"/>
    <row r="2468" s="66" customFormat="1" ht="13.2"/>
    <row r="2469" s="66" customFormat="1" ht="13.2"/>
    <row r="2470" s="66" customFormat="1" ht="13.2"/>
    <row r="2471" s="66" customFormat="1" ht="13.2"/>
    <row r="2472" s="66" customFormat="1" ht="13.2"/>
    <row r="2473" s="66" customFormat="1" ht="13.2"/>
    <row r="2474" s="66" customFormat="1" ht="13.2"/>
    <row r="2475" s="66" customFormat="1" ht="13.2"/>
    <row r="2476" s="66" customFormat="1" ht="13.2"/>
    <row r="2477" s="66" customFormat="1" ht="13.2"/>
    <row r="2478" s="66" customFormat="1" ht="13.2"/>
    <row r="2479" s="66" customFormat="1" ht="13.2"/>
    <row r="2480" s="66" customFormat="1" ht="13.2"/>
    <row r="2481" s="66" customFormat="1" ht="13.2"/>
    <row r="2482" s="66" customFormat="1" ht="13.2"/>
    <row r="2483" s="66" customFormat="1" ht="13.2"/>
    <row r="2484" s="66" customFormat="1" ht="13.2"/>
    <row r="2485" s="66" customFormat="1" ht="13.2"/>
    <row r="2486" s="66" customFormat="1" ht="13.2"/>
    <row r="2487" s="66" customFormat="1" ht="13.2"/>
    <row r="2488" s="66" customFormat="1" ht="13.2"/>
    <row r="2489" s="66" customFormat="1" ht="13.2"/>
    <row r="2490" s="66" customFormat="1" ht="13.2"/>
    <row r="2491" s="66" customFormat="1" ht="13.2"/>
    <row r="2492" s="66" customFormat="1" ht="13.2"/>
    <row r="2493" s="66" customFormat="1" ht="13.2"/>
    <row r="2494" s="66" customFormat="1" ht="13.2"/>
    <row r="2495" s="66" customFormat="1" ht="13.2"/>
    <row r="2496" s="66" customFormat="1" ht="13.2"/>
    <row r="2497" s="66" customFormat="1" ht="13.2"/>
    <row r="2498" s="66" customFormat="1" ht="13.2"/>
    <row r="2499" s="66" customFormat="1" ht="13.2"/>
    <row r="2500" s="66" customFormat="1" ht="13.2"/>
    <row r="2501" s="66" customFormat="1" ht="13.2"/>
    <row r="2502" s="66" customFormat="1" ht="13.2"/>
    <row r="2503" s="66" customFormat="1" ht="13.2"/>
    <row r="2504" s="66" customFormat="1" ht="13.2"/>
    <row r="2505" s="66" customFormat="1" ht="13.2"/>
    <row r="2506" s="66" customFormat="1" ht="13.2"/>
    <row r="2507" s="66" customFormat="1" ht="13.2"/>
    <row r="2508" s="66" customFormat="1" ht="13.2"/>
    <row r="2509" s="66" customFormat="1" ht="13.2"/>
    <row r="2510" s="66" customFormat="1" ht="13.2"/>
    <row r="2511" s="66" customFormat="1" ht="13.2"/>
    <row r="2512" s="66" customFormat="1" ht="13.2"/>
    <row r="2513" s="66" customFormat="1" ht="13.2"/>
    <row r="2514" s="66" customFormat="1" ht="13.2"/>
    <row r="2515" s="66" customFormat="1" ht="13.2"/>
    <row r="2516" s="66" customFormat="1" ht="13.2"/>
    <row r="2517" s="66" customFormat="1" ht="13.2"/>
    <row r="2518" s="66" customFormat="1" ht="13.2"/>
    <row r="2519" s="66" customFormat="1" ht="13.2"/>
    <row r="2520" s="66" customFormat="1" ht="13.2"/>
    <row r="2521" s="66" customFormat="1" ht="13.2"/>
    <row r="2522" s="66" customFormat="1" ht="13.2"/>
    <row r="2523" s="66" customFormat="1" ht="13.2"/>
    <row r="2524" s="66" customFormat="1" ht="13.2"/>
    <row r="2525" s="66" customFormat="1" ht="13.2"/>
    <row r="2526" s="66" customFormat="1" ht="13.2"/>
    <row r="2527" s="66" customFormat="1" ht="13.2"/>
    <row r="2528" s="66" customFormat="1" ht="13.2"/>
    <row r="2529" s="66" customFormat="1" ht="13.2"/>
    <row r="2530" s="66" customFormat="1" ht="13.2"/>
    <row r="2531" s="66" customFormat="1" ht="13.2"/>
    <row r="2532" s="66" customFormat="1" ht="13.2"/>
    <row r="2533" s="66" customFormat="1" ht="13.2"/>
    <row r="2534" s="66" customFormat="1" ht="13.2"/>
    <row r="2535" s="66" customFormat="1" ht="13.2"/>
    <row r="2536" s="66" customFormat="1" ht="13.2"/>
    <row r="2537" s="66" customFormat="1" ht="13.2"/>
    <row r="2538" s="66" customFormat="1" ht="13.2"/>
    <row r="2539" s="66" customFormat="1" ht="13.2"/>
    <row r="2540" s="66" customFormat="1" ht="13.2"/>
    <row r="2541" s="66" customFormat="1" ht="13.2"/>
    <row r="2542" s="66" customFormat="1" ht="13.2"/>
    <row r="2543" s="66" customFormat="1" ht="13.2"/>
    <row r="2544" s="66" customFormat="1" ht="13.2"/>
    <row r="2545" s="66" customFormat="1" ht="13.2"/>
    <row r="2546" s="66" customFormat="1" ht="13.2"/>
    <row r="2547" s="66" customFormat="1" ht="13.2"/>
    <row r="2548" s="66" customFormat="1" ht="13.2"/>
    <row r="2549" s="66" customFormat="1" ht="13.2"/>
    <row r="2550" s="66" customFormat="1" ht="13.2"/>
    <row r="2551" s="66" customFormat="1" ht="13.2"/>
    <row r="2552" s="66" customFormat="1" ht="13.2"/>
    <row r="2553" s="66" customFormat="1" ht="13.2"/>
    <row r="2554" s="66" customFormat="1" ht="13.2"/>
    <row r="2555" s="66" customFormat="1" ht="13.2"/>
    <row r="2556" s="66" customFormat="1" ht="13.2"/>
    <row r="2557" s="66" customFormat="1" ht="13.2"/>
    <row r="2558" s="66" customFormat="1" ht="13.2"/>
    <row r="2559" s="66" customFormat="1" ht="13.2"/>
    <row r="2560" s="66" customFormat="1" ht="13.2"/>
    <row r="2561" s="66" customFormat="1" ht="13.2"/>
    <row r="2562" s="66" customFormat="1" ht="13.2"/>
    <row r="2563" s="66" customFormat="1" ht="13.2"/>
    <row r="2564" s="66" customFormat="1" ht="13.2"/>
    <row r="2565" s="66" customFormat="1" ht="13.2"/>
    <row r="2566" s="66" customFormat="1" ht="13.2"/>
    <row r="2567" s="66" customFormat="1" ht="13.2"/>
    <row r="2568" s="66" customFormat="1" ht="13.2"/>
    <row r="2569" s="66" customFormat="1" ht="13.2"/>
    <row r="2570" s="66" customFormat="1" ht="13.2"/>
    <row r="2571" s="66" customFormat="1" ht="13.2"/>
    <row r="2572" s="66" customFormat="1" ht="13.2"/>
    <row r="2573" s="66" customFormat="1" ht="13.2"/>
    <row r="2574" s="66" customFormat="1" ht="13.2"/>
    <row r="2575" s="66" customFormat="1" ht="13.2"/>
    <row r="2576" s="66" customFormat="1" ht="13.2"/>
    <row r="2577" s="66" customFormat="1" ht="13.2"/>
    <row r="2578" s="66" customFormat="1" ht="13.2"/>
    <row r="2579" s="66" customFormat="1" ht="13.2"/>
    <row r="2580" s="66" customFormat="1" ht="13.2"/>
    <row r="2581" s="66" customFormat="1" ht="13.2"/>
    <row r="2582" s="66" customFormat="1" ht="13.2"/>
    <row r="2583" s="66" customFormat="1" ht="13.2"/>
    <row r="2584" s="66" customFormat="1" ht="13.2"/>
    <row r="2585" s="66" customFormat="1" ht="13.2"/>
    <row r="2586" s="66" customFormat="1" ht="13.2"/>
    <row r="2587" s="66" customFormat="1" ht="13.2"/>
    <row r="2588" s="66" customFormat="1" ht="13.2"/>
    <row r="2589" s="66" customFormat="1" ht="13.2"/>
    <row r="2590" s="66" customFormat="1" ht="13.2"/>
    <row r="2591" s="66" customFormat="1" ht="13.2"/>
    <row r="2592" s="66" customFormat="1" ht="13.2"/>
    <row r="2593" s="66" customFormat="1" ht="13.2"/>
    <row r="2594" s="66" customFormat="1" ht="13.2"/>
    <row r="2595" s="66" customFormat="1" ht="13.2"/>
    <row r="2596" s="66" customFormat="1" ht="13.2"/>
    <row r="2597" s="66" customFormat="1" ht="13.2"/>
    <row r="2598" s="66" customFormat="1" ht="13.2"/>
    <row r="2599" s="66" customFormat="1" ht="13.2"/>
    <row r="2600" s="66" customFormat="1" ht="13.2"/>
    <row r="2601" s="66" customFormat="1" ht="13.2"/>
    <row r="2602" s="66" customFormat="1" ht="13.2"/>
    <row r="2603" s="66" customFormat="1" ht="13.2"/>
    <row r="2604" s="66" customFormat="1" ht="13.2"/>
    <row r="2605" s="66" customFormat="1" ht="13.2"/>
    <row r="2606" s="66" customFormat="1" ht="13.2"/>
    <row r="2607" s="66" customFormat="1" ht="13.2"/>
    <row r="2608" s="66" customFormat="1" ht="13.2"/>
    <row r="2609" s="66" customFormat="1" ht="13.2"/>
    <row r="2610" s="66" customFormat="1" ht="13.2"/>
    <row r="2611" s="66" customFormat="1" ht="13.2"/>
    <row r="2612" s="66" customFormat="1" ht="13.2"/>
    <row r="2613" s="66" customFormat="1" ht="13.2"/>
    <row r="2614" s="66" customFormat="1" ht="13.2"/>
    <row r="2615" s="66" customFormat="1" ht="13.2"/>
    <row r="2616" s="66" customFormat="1" ht="13.2"/>
    <row r="2617" s="66" customFormat="1" ht="13.2"/>
    <row r="2618" s="66" customFormat="1" ht="13.2"/>
    <row r="2619" s="66" customFormat="1" ht="13.2"/>
    <row r="2620" s="66" customFormat="1" ht="13.2"/>
    <row r="2621" s="66" customFormat="1" ht="13.2"/>
    <row r="2622" s="66" customFormat="1" ht="13.2"/>
    <row r="2623" s="66" customFormat="1" ht="13.2"/>
    <row r="2624" s="66" customFormat="1" ht="13.2"/>
    <row r="2625" s="66" customFormat="1" ht="13.2"/>
    <row r="2626" s="66" customFormat="1" ht="13.2"/>
    <row r="2627" s="66" customFormat="1" ht="13.2"/>
    <row r="2628" s="66" customFormat="1" ht="13.2"/>
    <row r="2629" s="66" customFormat="1" ht="13.2"/>
    <row r="2630" s="66" customFormat="1" ht="13.2"/>
    <row r="2631" s="66" customFormat="1" ht="13.2"/>
    <row r="2632" s="66" customFormat="1" ht="13.2"/>
    <row r="2633" s="66" customFormat="1" ht="13.2"/>
    <row r="2634" s="66" customFormat="1" ht="13.2"/>
    <row r="2635" s="66" customFormat="1" ht="13.2"/>
    <row r="2636" s="66" customFormat="1" ht="13.2"/>
    <row r="2637" s="66" customFormat="1" ht="13.2"/>
    <row r="2638" s="66" customFormat="1" ht="13.2"/>
    <row r="2639" s="66" customFormat="1" ht="13.2"/>
    <row r="2640" s="66" customFormat="1" ht="13.2"/>
    <row r="2641" s="66" customFormat="1" ht="13.2"/>
    <row r="2642" s="66" customFormat="1" ht="13.2"/>
    <row r="2643" s="66" customFormat="1" ht="13.2"/>
    <row r="2644" s="66" customFormat="1" ht="13.2"/>
    <row r="2645" s="66" customFormat="1" ht="13.2"/>
    <row r="2646" s="66" customFormat="1" ht="13.2"/>
    <row r="2647" s="66" customFormat="1" ht="13.2"/>
    <row r="2648" s="66" customFormat="1" ht="13.2"/>
    <row r="2649" s="66" customFormat="1" ht="13.2"/>
    <row r="2650" s="66" customFormat="1" ht="13.2"/>
    <row r="2651" s="66" customFormat="1" ht="13.2"/>
    <row r="2652" s="66" customFormat="1" ht="13.2"/>
    <row r="2653" s="66" customFormat="1" ht="13.2"/>
    <row r="2654" s="66" customFormat="1" ht="13.2"/>
    <row r="2655" s="66" customFormat="1" ht="13.2"/>
    <row r="2656" s="66" customFormat="1" ht="13.2"/>
    <row r="2657" s="66" customFormat="1" ht="13.2"/>
    <row r="2658" s="66" customFormat="1" ht="13.2"/>
    <row r="2659" s="66" customFormat="1" ht="13.2"/>
    <row r="2660" s="66" customFormat="1" ht="13.2"/>
    <row r="2661" s="66" customFormat="1" ht="13.2"/>
    <row r="2662" s="66" customFormat="1" ht="13.2"/>
    <row r="2663" s="66" customFormat="1" ht="13.2"/>
    <row r="2664" s="66" customFormat="1" ht="13.2"/>
    <row r="2665" s="66" customFormat="1" ht="13.2"/>
    <row r="2666" s="66" customFormat="1" ht="13.2"/>
    <row r="2667" s="66" customFormat="1" ht="13.2"/>
    <row r="2668" s="66" customFormat="1" ht="13.2"/>
    <row r="2669" s="66" customFormat="1" ht="13.2"/>
    <row r="2670" s="66" customFormat="1" ht="13.2"/>
    <row r="2671" s="66" customFormat="1" ht="13.2"/>
    <row r="2672" s="66" customFormat="1" ht="13.2"/>
    <row r="2673" s="66" customFormat="1" ht="13.2"/>
    <row r="2674" s="66" customFormat="1" ht="13.2"/>
    <row r="2675" s="66" customFormat="1" ht="13.2"/>
    <row r="2676" s="66" customFormat="1" ht="13.2"/>
    <row r="2677" s="66" customFormat="1" ht="13.2"/>
    <row r="2678" s="66" customFormat="1" ht="13.2"/>
    <row r="2679" s="66" customFormat="1" ht="13.2"/>
    <row r="2680" s="66" customFormat="1" ht="13.2"/>
    <row r="2681" s="66" customFormat="1" ht="13.2"/>
    <row r="2682" s="66" customFormat="1" ht="13.2"/>
    <row r="2683" s="66" customFormat="1" ht="13.2"/>
    <row r="2684" s="66" customFormat="1" ht="13.2"/>
    <row r="2685" s="66" customFormat="1" ht="13.2"/>
    <row r="2686" s="66" customFormat="1" ht="13.2"/>
    <row r="2687" s="66" customFormat="1" ht="13.2"/>
    <row r="2688" s="66" customFormat="1" ht="13.2"/>
    <row r="2689" s="66" customFormat="1" ht="13.2"/>
    <row r="2690" s="66" customFormat="1" ht="13.2"/>
    <row r="2691" s="66" customFormat="1" ht="13.2"/>
    <row r="2692" s="66" customFormat="1" ht="13.2"/>
    <row r="2693" s="66" customFormat="1" ht="13.2"/>
    <row r="2694" s="66" customFormat="1" ht="13.2"/>
    <row r="2695" s="66" customFormat="1" ht="13.2"/>
    <row r="2696" s="66" customFormat="1" ht="13.2"/>
    <row r="2697" s="66" customFormat="1" ht="13.2"/>
    <row r="2698" s="66" customFormat="1" ht="13.2"/>
    <row r="2699" s="66" customFormat="1" ht="13.2"/>
    <row r="2700" s="66" customFormat="1" ht="13.2"/>
    <row r="2701" s="66" customFormat="1" ht="13.2"/>
    <row r="2702" s="66" customFormat="1" ht="13.2"/>
    <row r="2703" s="66" customFormat="1" ht="13.2"/>
    <row r="2704" s="66" customFormat="1" ht="13.2"/>
    <row r="2705" s="66" customFormat="1" ht="13.2"/>
    <row r="2706" s="66" customFormat="1" ht="13.2"/>
    <row r="2707" s="66" customFormat="1" ht="13.2"/>
    <row r="2708" s="66" customFormat="1" ht="13.2"/>
    <row r="2709" s="66" customFormat="1" ht="13.2"/>
    <row r="2710" s="66" customFormat="1" ht="13.2"/>
    <row r="2711" s="66" customFormat="1" ht="13.2"/>
    <row r="2712" s="66" customFormat="1" ht="13.2"/>
    <row r="2713" s="66" customFormat="1" ht="13.2"/>
    <row r="2714" s="66" customFormat="1" ht="13.2"/>
    <row r="2715" s="66" customFormat="1" ht="13.2"/>
    <row r="2716" s="66" customFormat="1" ht="13.2"/>
    <row r="2717" s="66" customFormat="1" ht="13.2"/>
    <row r="2718" s="66" customFormat="1" ht="13.2"/>
    <row r="2719" s="66" customFormat="1" ht="13.2"/>
    <row r="2720" s="66" customFormat="1" ht="13.2"/>
    <row r="2721" s="66" customFormat="1" ht="13.2"/>
    <row r="2722" s="66" customFormat="1" ht="13.2"/>
    <row r="2723" s="66" customFormat="1" ht="13.2"/>
    <row r="2724" s="66" customFormat="1" ht="13.2"/>
    <row r="2725" s="66" customFormat="1" ht="13.2"/>
    <row r="2726" s="66" customFormat="1" ht="13.2"/>
    <row r="2727" s="66" customFormat="1" ht="13.2"/>
    <row r="2728" s="66" customFormat="1" ht="13.2"/>
    <row r="2729" s="66" customFormat="1" ht="13.2"/>
    <row r="2730" s="66" customFormat="1" ht="13.2"/>
    <row r="2731" s="66" customFormat="1" ht="13.2"/>
    <row r="2732" s="66" customFormat="1" ht="13.2"/>
    <row r="2733" s="66" customFormat="1" ht="13.2"/>
    <row r="2734" s="66" customFormat="1" ht="13.2"/>
    <row r="2735" s="66" customFormat="1" ht="13.2"/>
    <row r="2736" s="66" customFormat="1" ht="13.2"/>
    <row r="2737" s="66" customFormat="1" ht="13.2"/>
    <row r="2738" s="66" customFormat="1" ht="13.2"/>
    <row r="2739" s="66" customFormat="1" ht="13.2"/>
    <row r="2740" s="66" customFormat="1" ht="13.2"/>
    <row r="2741" s="66" customFormat="1" ht="13.2"/>
    <row r="2742" s="66" customFormat="1" ht="13.2"/>
    <row r="2743" s="66" customFormat="1" ht="13.2"/>
    <row r="2744" s="66" customFormat="1" ht="13.2"/>
    <row r="2745" s="66" customFormat="1" ht="13.2"/>
    <row r="2746" s="66" customFormat="1" ht="13.2"/>
    <row r="2747" s="66" customFormat="1" ht="13.2"/>
    <row r="2748" s="66" customFormat="1" ht="13.2"/>
    <row r="2749" s="66" customFormat="1" ht="13.2"/>
    <row r="2750" s="66" customFormat="1" ht="13.2"/>
    <row r="2751" s="66" customFormat="1" ht="13.2"/>
    <row r="2752" s="66" customFormat="1" ht="13.2"/>
    <row r="2753" s="66" customFormat="1" ht="13.2"/>
    <row r="2754" s="66" customFormat="1" ht="13.2"/>
    <row r="2755" s="66" customFormat="1" ht="13.2"/>
    <row r="2756" s="66" customFormat="1" ht="13.2"/>
    <row r="2757" s="66" customFormat="1" ht="13.2"/>
    <row r="2758" s="66" customFormat="1" ht="13.2"/>
    <row r="2759" s="66" customFormat="1" ht="13.2"/>
    <row r="2760" s="66" customFormat="1" ht="13.2"/>
    <row r="2761" s="66" customFormat="1" ht="13.2"/>
    <row r="2762" s="66" customFormat="1" ht="13.2"/>
    <row r="2763" s="66" customFormat="1" ht="13.2"/>
    <row r="2764" s="66" customFormat="1" ht="13.2"/>
    <row r="2765" s="66" customFormat="1" ht="13.2"/>
    <row r="2766" s="66" customFormat="1" ht="13.2"/>
    <row r="2767" s="66" customFormat="1" ht="13.2"/>
    <row r="2768" s="66" customFormat="1" ht="13.2"/>
    <row r="2769" s="66" customFormat="1" ht="13.2"/>
    <row r="2770" s="66" customFormat="1" ht="13.2"/>
    <row r="2771" s="66" customFormat="1" ht="13.2"/>
    <row r="2772" s="66" customFormat="1" ht="13.2"/>
    <row r="2773" s="66" customFormat="1" ht="13.2"/>
    <row r="2774" s="66" customFormat="1" ht="13.2"/>
    <row r="2775" s="66" customFormat="1" ht="13.2"/>
    <row r="2776" s="66" customFormat="1" ht="13.2"/>
    <row r="2777" s="66" customFormat="1" ht="13.2"/>
    <row r="2778" s="66" customFormat="1" ht="13.2"/>
    <row r="2779" s="66" customFormat="1" ht="13.2"/>
    <row r="2780" s="66" customFormat="1" ht="13.2"/>
    <row r="2781" s="66" customFormat="1" ht="13.2"/>
    <row r="2782" s="66" customFormat="1" ht="13.2"/>
    <row r="2783" s="66" customFormat="1" ht="13.2"/>
    <row r="2784" s="66" customFormat="1" ht="13.2"/>
    <row r="2785" s="66" customFormat="1" ht="13.2"/>
    <row r="2786" s="66" customFormat="1" ht="13.2"/>
    <row r="2787" s="66" customFormat="1" ht="13.2"/>
    <row r="2788" s="66" customFormat="1" ht="13.2"/>
    <row r="2789" s="66" customFormat="1" ht="13.2"/>
    <row r="2790" s="66" customFormat="1" ht="13.2"/>
    <row r="2791" s="66" customFormat="1" ht="13.2"/>
    <row r="2792" s="66" customFormat="1" ht="13.2"/>
    <row r="2793" s="66" customFormat="1" ht="13.2"/>
    <row r="2794" s="66" customFormat="1" ht="13.2"/>
    <row r="2795" s="66" customFormat="1" ht="13.2"/>
    <row r="2796" s="66" customFormat="1" ht="13.2"/>
    <row r="2797" s="66" customFormat="1" ht="13.2"/>
    <row r="2798" s="66" customFormat="1" ht="13.2"/>
    <row r="2799" s="66" customFormat="1" ht="13.2"/>
    <row r="2800" s="66" customFormat="1" ht="13.2"/>
    <row r="2801" s="66" customFormat="1" ht="13.2"/>
    <row r="2802" s="66" customFormat="1" ht="13.2"/>
    <row r="2803" s="66" customFormat="1" ht="13.2"/>
    <row r="2804" s="66" customFormat="1" ht="13.2"/>
    <row r="2805" s="66" customFormat="1" ht="13.2"/>
    <row r="2806" s="66" customFormat="1" ht="13.2"/>
    <row r="2807" s="66" customFormat="1" ht="13.2"/>
    <row r="2808" s="66" customFormat="1" ht="13.2"/>
    <row r="2809" s="66" customFormat="1" ht="13.2"/>
    <row r="2810" s="66" customFormat="1" ht="13.2"/>
    <row r="2811" s="66" customFormat="1" ht="13.2"/>
    <row r="2812" s="66" customFormat="1" ht="13.2"/>
    <row r="2813" s="66" customFormat="1" ht="13.2"/>
    <row r="2814" s="66" customFormat="1" ht="13.2"/>
    <row r="2815" s="66" customFormat="1" ht="13.2"/>
    <row r="2816" s="66" customFormat="1" ht="13.2"/>
    <row r="2817" s="66" customFormat="1" ht="13.2"/>
    <row r="2818" s="66" customFormat="1" ht="13.2"/>
    <row r="2819" s="66" customFormat="1" ht="13.2"/>
    <row r="2820" s="66" customFormat="1" ht="13.2"/>
    <row r="2821" s="66" customFormat="1" ht="13.2"/>
    <row r="2822" s="66" customFormat="1" ht="13.2"/>
    <row r="2823" s="66" customFormat="1" ht="13.2"/>
    <row r="2824" s="66" customFormat="1" ht="13.2"/>
    <row r="2825" s="66" customFormat="1" ht="13.2"/>
    <row r="2826" s="66" customFormat="1" ht="13.2"/>
    <row r="2827" s="66" customFormat="1" ht="13.2"/>
    <row r="2828" s="66" customFormat="1" ht="13.2"/>
    <row r="2829" s="66" customFormat="1" ht="13.2"/>
    <row r="2830" s="66" customFormat="1" ht="13.2"/>
    <row r="2831" s="66" customFormat="1" ht="13.2"/>
    <row r="2832" s="66" customFormat="1" ht="13.2"/>
    <row r="2833" s="66" customFormat="1" ht="13.2"/>
    <row r="2834" s="66" customFormat="1" ht="13.2"/>
    <row r="2835" s="66" customFormat="1" ht="13.2"/>
    <row r="2836" s="66" customFormat="1" ht="13.2"/>
    <row r="2837" s="66" customFormat="1" ht="13.2"/>
    <row r="2838" s="66" customFormat="1" ht="13.2"/>
    <row r="2839" s="66" customFormat="1" ht="13.2"/>
    <row r="2840" s="66" customFormat="1" ht="13.2"/>
    <row r="2841" s="66" customFormat="1" ht="13.2"/>
    <row r="2842" s="66" customFormat="1" ht="13.2"/>
    <row r="2843" s="66" customFormat="1" ht="13.2"/>
    <row r="2844" s="66" customFormat="1" ht="13.2"/>
    <row r="2845" s="66" customFormat="1" ht="13.2"/>
    <row r="2846" s="66" customFormat="1" ht="13.2"/>
    <row r="2847" s="66" customFormat="1" ht="13.2"/>
    <row r="2848" s="66" customFormat="1" ht="13.2"/>
    <row r="2849" s="66" customFormat="1" ht="13.2"/>
    <row r="2850" s="66" customFormat="1" ht="13.2"/>
    <row r="2851" s="66" customFormat="1" ht="13.2"/>
    <row r="2852" s="66" customFormat="1" ht="13.2"/>
    <row r="2853" s="66" customFormat="1" ht="13.2"/>
    <row r="2854" s="66" customFormat="1" ht="13.2"/>
    <row r="2855" s="66" customFormat="1" ht="13.2"/>
    <row r="2856" s="66" customFormat="1" ht="13.2"/>
    <row r="2857" s="66" customFormat="1" ht="13.2"/>
    <row r="2858" s="66" customFormat="1" ht="13.2"/>
    <row r="2859" s="66" customFormat="1" ht="13.2"/>
    <row r="2860" s="66" customFormat="1" ht="13.2"/>
    <row r="2861" s="66" customFormat="1" ht="13.2"/>
    <row r="2862" s="66" customFormat="1" ht="13.2"/>
    <row r="2863" s="66" customFormat="1" ht="13.2"/>
    <row r="2864" s="66" customFormat="1" ht="13.2"/>
    <row r="2865" s="66" customFormat="1" ht="13.2"/>
    <row r="2866" s="66" customFormat="1" ht="13.2"/>
    <row r="2867" s="66" customFormat="1" ht="13.2"/>
    <row r="2868" s="66" customFormat="1" ht="13.2"/>
    <row r="2869" s="66" customFormat="1" ht="13.2"/>
    <row r="2870" s="66" customFormat="1" ht="13.2"/>
    <row r="2871" s="66" customFormat="1" ht="13.2"/>
    <row r="2872" s="66" customFormat="1" ht="13.2"/>
    <row r="2873" s="66" customFormat="1" ht="13.2"/>
    <row r="2874" s="66" customFormat="1" ht="13.2"/>
    <row r="2875" s="66" customFormat="1" ht="13.2"/>
    <row r="2876" s="66" customFormat="1" ht="13.2"/>
    <row r="2877" s="66" customFormat="1" ht="13.2"/>
    <row r="2878" s="66" customFormat="1" ht="13.2"/>
    <row r="2879" s="66" customFormat="1" ht="13.2"/>
    <row r="2880" s="66" customFormat="1" ht="13.2"/>
    <row r="2881" s="66" customFormat="1" ht="13.2"/>
    <row r="2882" s="66" customFormat="1" ht="13.2"/>
    <row r="2883" s="66" customFormat="1" ht="13.2"/>
    <row r="2884" s="66" customFormat="1" ht="13.2"/>
    <row r="2885" s="66" customFormat="1" ht="13.2"/>
    <row r="2886" s="66" customFormat="1" ht="13.2"/>
    <row r="2887" s="66" customFormat="1" ht="13.2"/>
    <row r="2888" s="66" customFormat="1" ht="13.2"/>
    <row r="2889" s="66" customFormat="1" ht="13.2"/>
    <row r="2890" s="66" customFormat="1" ht="13.2"/>
    <row r="2891" s="66" customFormat="1" ht="13.2"/>
    <row r="2892" s="66" customFormat="1" ht="13.2"/>
    <row r="2893" s="66" customFormat="1" ht="13.2"/>
    <row r="2894" s="66" customFormat="1" ht="13.2"/>
    <row r="2895" s="66" customFormat="1" ht="13.2"/>
    <row r="2896" s="66" customFormat="1" ht="13.2"/>
    <row r="2897" s="66" customFormat="1" ht="13.2"/>
    <row r="2898" s="66" customFormat="1" ht="13.2"/>
    <row r="2899" s="66" customFormat="1" ht="13.2"/>
    <row r="2900" s="66" customFormat="1" ht="13.2"/>
    <row r="2901" s="66" customFormat="1" ht="13.2"/>
    <row r="2902" s="66" customFormat="1" ht="13.2"/>
    <row r="2903" s="66" customFormat="1" ht="13.2"/>
    <row r="2904" s="66" customFormat="1" ht="13.2"/>
    <row r="2905" s="66" customFormat="1" ht="13.2"/>
    <row r="2906" s="66" customFormat="1" ht="13.2"/>
    <row r="2907" s="66" customFormat="1" ht="13.2"/>
    <row r="2908" s="66" customFormat="1" ht="13.2"/>
    <row r="2909" s="66" customFormat="1" ht="13.2"/>
    <row r="2910" s="66" customFormat="1" ht="13.2"/>
    <row r="2911" s="66" customFormat="1" ht="13.2"/>
    <row r="2912" s="66" customFormat="1" ht="13.2"/>
    <row r="2913" s="66" customFormat="1" ht="13.2"/>
    <row r="2914" s="66" customFormat="1" ht="13.2"/>
    <row r="2915" s="66" customFormat="1" ht="13.2"/>
    <row r="2916" s="66" customFormat="1" ht="13.2"/>
    <row r="2917" s="66" customFormat="1" ht="13.2"/>
    <row r="2918" s="66" customFormat="1" ht="13.2"/>
    <row r="2919" s="66" customFormat="1" ht="13.2"/>
    <row r="2920" s="66" customFormat="1" ht="13.2"/>
    <row r="2921" s="66" customFormat="1" ht="13.2"/>
    <row r="2922" s="66" customFormat="1" ht="13.2"/>
    <row r="2923" s="66" customFormat="1" ht="13.2"/>
    <row r="2924" s="66" customFormat="1" ht="13.2"/>
    <row r="2925" s="66" customFormat="1" ht="13.2"/>
    <row r="2926" s="66" customFormat="1" ht="13.2"/>
    <row r="2927" s="66" customFormat="1" ht="13.2"/>
    <row r="2928" s="66" customFormat="1" ht="13.2"/>
    <row r="2929" s="66" customFormat="1" ht="13.2"/>
    <row r="2930" s="66" customFormat="1" ht="13.2"/>
    <row r="2931" s="66" customFormat="1" ht="13.2"/>
    <row r="2932" s="66" customFormat="1" ht="13.2"/>
    <row r="2933" s="66" customFormat="1" ht="13.2"/>
    <row r="2934" s="66" customFormat="1" ht="13.2"/>
    <row r="2935" s="66" customFormat="1" ht="13.2"/>
    <row r="2936" s="66" customFormat="1" ht="13.2"/>
    <row r="2937" s="66" customFormat="1" ht="13.2"/>
    <row r="2938" s="66" customFormat="1" ht="13.2"/>
    <row r="2939" s="66" customFormat="1" ht="13.2"/>
    <row r="2940" s="66" customFormat="1" ht="13.2"/>
    <row r="2941" s="66" customFormat="1" ht="13.2"/>
    <row r="2942" s="66" customFormat="1" ht="13.2"/>
    <row r="2943" s="66" customFormat="1" ht="13.2"/>
    <row r="2944" s="66" customFormat="1" ht="13.2"/>
    <row r="2945" s="66" customFormat="1" ht="13.2"/>
    <row r="2946" s="66" customFormat="1" ht="13.2"/>
    <row r="2947" s="66" customFormat="1" ht="13.2"/>
    <row r="2948" s="66" customFormat="1" ht="13.2"/>
    <row r="2949" s="66" customFormat="1" ht="13.2"/>
    <row r="2950" s="66" customFormat="1" ht="13.2"/>
    <row r="2951" s="66" customFormat="1" ht="13.2"/>
    <row r="2952" s="66" customFormat="1" ht="13.2"/>
    <row r="2953" s="66" customFormat="1" ht="13.2"/>
    <row r="2954" s="66" customFormat="1" ht="13.2"/>
    <row r="2955" s="66" customFormat="1" ht="13.2"/>
    <row r="2956" s="66" customFormat="1" ht="13.2"/>
    <row r="2957" s="66" customFormat="1" ht="13.2"/>
    <row r="2958" s="66" customFormat="1" ht="13.2"/>
    <row r="2959" s="66" customFormat="1" ht="13.2"/>
    <row r="2960" s="66" customFormat="1" ht="13.2"/>
    <row r="2961" s="66" customFormat="1" ht="13.2"/>
    <row r="2962" s="66" customFormat="1" ht="13.2"/>
    <row r="2963" s="66" customFormat="1" ht="13.2"/>
    <row r="2964" s="66" customFormat="1" ht="13.2"/>
    <row r="2965" s="66" customFormat="1" ht="13.2"/>
    <row r="2966" s="66" customFormat="1" ht="13.2"/>
    <row r="2967" s="66" customFormat="1" ht="13.2"/>
    <row r="2968" s="66" customFormat="1" ht="13.2"/>
    <row r="2969" s="66" customFormat="1" ht="13.2"/>
    <row r="2970" s="66" customFormat="1" ht="13.2"/>
    <row r="2971" s="66" customFormat="1" ht="13.2"/>
    <row r="2972" s="66" customFormat="1" ht="13.2"/>
    <row r="2973" s="66" customFormat="1" ht="13.2"/>
    <row r="2974" s="66" customFormat="1" ht="13.2"/>
    <row r="2975" s="66" customFormat="1" ht="13.2"/>
    <row r="2976" s="66" customFormat="1" ht="13.2"/>
    <row r="2977" s="66" customFormat="1" ht="13.2"/>
    <row r="2978" s="66" customFormat="1" ht="13.2"/>
    <row r="2979" s="66" customFormat="1" ht="13.2"/>
    <row r="2980" s="66" customFormat="1" ht="13.2"/>
    <row r="2981" s="66" customFormat="1" ht="13.2"/>
    <row r="2982" s="66" customFormat="1" ht="13.2"/>
    <row r="2983" s="66" customFormat="1" ht="13.2"/>
    <row r="2984" s="66" customFormat="1" ht="13.2"/>
    <row r="2985" s="66" customFormat="1" ht="13.2"/>
    <row r="2986" s="66" customFormat="1" ht="13.2"/>
    <row r="2987" s="66" customFormat="1" ht="13.2"/>
    <row r="2988" s="66" customFormat="1" ht="13.2"/>
    <row r="2989" s="66" customFormat="1" ht="13.2"/>
    <row r="2990" s="66" customFormat="1" ht="13.2"/>
    <row r="2991" s="66" customFormat="1" ht="13.2"/>
    <row r="2992" s="66" customFormat="1" ht="13.2"/>
    <row r="2993" s="66" customFormat="1" ht="13.2"/>
    <row r="2994" s="66" customFormat="1" ht="13.2"/>
    <row r="2995" s="66" customFormat="1" ht="13.2"/>
    <row r="2996" s="66" customFormat="1" ht="13.2"/>
    <row r="2997" s="66" customFormat="1" ht="13.2"/>
    <row r="2998" s="66" customFormat="1" ht="13.2"/>
    <row r="2999" s="66" customFormat="1" ht="13.2"/>
    <row r="3000" s="66" customFormat="1" ht="13.2"/>
    <row r="3001" s="66" customFormat="1" ht="13.2"/>
    <row r="3002" s="66" customFormat="1" ht="13.2"/>
    <row r="3003" s="66" customFormat="1" ht="13.2"/>
    <row r="3004" s="66" customFormat="1" ht="13.2"/>
    <row r="3005" s="66" customFormat="1" ht="13.2"/>
    <row r="3006" s="66" customFormat="1" ht="13.2"/>
    <row r="3007" s="66" customFormat="1" ht="13.2"/>
    <row r="3008" s="66" customFormat="1" ht="13.2"/>
    <row r="3009" s="66" customFormat="1" ht="13.2"/>
    <row r="3010" s="66" customFormat="1" ht="13.2"/>
    <row r="3011" s="66" customFormat="1" ht="13.2"/>
    <row r="3012" s="66" customFormat="1" ht="13.2"/>
    <row r="3013" s="66" customFormat="1" ht="13.2"/>
    <row r="3014" s="66" customFormat="1" ht="13.2"/>
    <row r="3015" s="66" customFormat="1" ht="13.2"/>
    <row r="3016" s="66" customFormat="1" ht="13.2"/>
    <row r="3017" s="66" customFormat="1" ht="13.2"/>
    <row r="3018" s="66" customFormat="1" ht="13.2"/>
    <row r="3019" s="66" customFormat="1" ht="13.2"/>
    <row r="3020" s="66" customFormat="1" ht="13.2"/>
    <row r="3021" s="66" customFormat="1" ht="13.2"/>
    <row r="3022" s="66" customFormat="1" ht="13.2"/>
    <row r="3023" s="66" customFormat="1" ht="13.2"/>
    <row r="3024" s="66" customFormat="1" ht="13.2"/>
    <row r="3025" s="66" customFormat="1" ht="13.2"/>
    <row r="3026" s="66" customFormat="1" ht="13.2"/>
    <row r="3027" s="66" customFormat="1" ht="13.2"/>
    <row r="3028" s="66" customFormat="1" ht="13.2"/>
    <row r="3029" s="66" customFormat="1" ht="13.2"/>
    <row r="3030" s="66" customFormat="1" ht="13.2"/>
    <row r="3031" s="66" customFormat="1" ht="13.2"/>
    <row r="3032" s="66" customFormat="1" ht="13.2"/>
    <row r="3033" s="66" customFormat="1" ht="13.2"/>
    <row r="3034" s="66" customFormat="1" ht="13.2"/>
    <row r="3035" s="66" customFormat="1" ht="13.2"/>
    <row r="3036" s="66" customFormat="1" ht="13.2"/>
    <row r="3037" s="66" customFormat="1" ht="13.2"/>
    <row r="3038" s="66" customFormat="1" ht="13.2"/>
    <row r="3039" s="66" customFormat="1" ht="13.2"/>
    <row r="3040" s="66" customFormat="1" ht="13.2"/>
    <row r="3041" s="66" customFormat="1" ht="13.2"/>
    <row r="3042" s="66" customFormat="1" ht="13.2"/>
    <row r="3043" s="66" customFormat="1" ht="13.2"/>
    <row r="3044" s="66" customFormat="1" ht="13.2"/>
    <row r="3045" s="66" customFormat="1" ht="13.2"/>
    <row r="3046" s="66" customFormat="1" ht="13.2"/>
    <row r="3047" s="66" customFormat="1" ht="13.2"/>
    <row r="3048" s="66" customFormat="1" ht="13.2"/>
    <row r="3049" s="66" customFormat="1" ht="13.2"/>
    <row r="3050" s="66" customFormat="1" ht="13.2"/>
    <row r="3051" s="66" customFormat="1" ht="13.2"/>
    <row r="3052" s="66" customFormat="1" ht="13.2"/>
    <row r="3053" s="66" customFormat="1" ht="13.2"/>
    <row r="3054" s="66" customFormat="1" ht="13.2"/>
    <row r="3055" s="66" customFormat="1" ht="13.2"/>
    <row r="3056" s="66" customFormat="1" ht="13.2"/>
    <row r="3057" s="66" customFormat="1" ht="13.2"/>
    <row r="3058" s="66" customFormat="1" ht="13.2"/>
    <row r="3059" s="66" customFormat="1" ht="13.2"/>
    <row r="3060" s="66" customFormat="1" ht="13.2"/>
    <row r="3061" s="66" customFormat="1" ht="13.2"/>
    <row r="3062" s="66" customFormat="1" ht="13.2"/>
    <row r="3063" s="66" customFormat="1" ht="13.2"/>
    <row r="3064" s="66" customFormat="1" ht="13.2"/>
    <row r="3065" s="66" customFormat="1" ht="13.2"/>
    <row r="3066" s="66" customFormat="1" ht="13.2"/>
    <row r="3067" s="66" customFormat="1" ht="13.2"/>
    <row r="3068" s="66" customFormat="1" ht="13.2"/>
    <row r="3069" s="66" customFormat="1" ht="13.2"/>
    <row r="3070" s="66" customFormat="1" ht="13.2"/>
    <row r="3071" s="66" customFormat="1" ht="13.2"/>
    <row r="3072" s="66" customFormat="1" ht="13.2"/>
    <row r="3073" s="66" customFormat="1" ht="13.2"/>
    <row r="3074" s="66" customFormat="1" ht="13.2"/>
    <row r="3075" s="66" customFormat="1" ht="13.2"/>
    <row r="3076" s="66" customFormat="1" ht="13.2"/>
    <row r="3077" s="66" customFormat="1" ht="13.2"/>
    <row r="3078" s="66" customFormat="1" ht="13.2"/>
    <row r="3079" s="66" customFormat="1" ht="13.2"/>
    <row r="3080" s="66" customFormat="1" ht="13.2"/>
    <row r="3081" s="66" customFormat="1" ht="13.2"/>
    <row r="3082" s="66" customFormat="1" ht="13.2"/>
    <row r="3083" s="66" customFormat="1" ht="13.2"/>
    <row r="3084" s="66" customFormat="1" ht="13.2"/>
    <row r="3085" s="66" customFormat="1" ht="13.2"/>
    <row r="3086" s="66" customFormat="1" ht="13.2"/>
    <row r="3087" s="66" customFormat="1" ht="13.2"/>
    <row r="3088" s="66" customFormat="1" ht="13.2"/>
    <row r="3089" s="66" customFormat="1" ht="13.2"/>
    <row r="3090" s="66" customFormat="1" ht="13.2"/>
    <row r="3091" s="66" customFormat="1" ht="13.2"/>
    <row r="3092" s="66" customFormat="1" ht="13.2"/>
    <row r="3093" s="66" customFormat="1" ht="13.2"/>
    <row r="3094" s="66" customFormat="1" ht="13.2"/>
    <row r="3095" s="66" customFormat="1" ht="13.2"/>
    <row r="3096" s="66" customFormat="1" ht="13.2"/>
    <row r="3097" s="66" customFormat="1" ht="13.2"/>
    <row r="3098" s="66" customFormat="1" ht="13.2"/>
    <row r="3099" s="66" customFormat="1" ht="13.2"/>
    <row r="3100" s="66" customFormat="1" ht="13.2"/>
    <row r="3101" s="66" customFormat="1" ht="13.2"/>
    <row r="3102" s="66" customFormat="1" ht="13.2"/>
    <row r="3103" s="66" customFormat="1" ht="13.2"/>
    <row r="3104" s="66" customFormat="1" ht="13.2"/>
    <row r="3105" s="66" customFormat="1" ht="13.2"/>
    <row r="3106" s="66" customFormat="1" ht="13.2"/>
    <row r="3107" s="66" customFormat="1" ht="13.2"/>
    <row r="3108" s="66" customFormat="1" ht="13.2"/>
    <row r="3109" s="66" customFormat="1" ht="13.2"/>
    <row r="3110" s="66" customFormat="1" ht="13.2"/>
    <row r="3111" s="66" customFormat="1" ht="13.2"/>
    <row r="3112" s="66" customFormat="1" ht="13.2"/>
    <row r="3113" s="66" customFormat="1" ht="13.2"/>
    <row r="3114" s="66" customFormat="1" ht="13.2"/>
    <row r="3115" s="66" customFormat="1" ht="13.2"/>
    <row r="3116" s="66" customFormat="1" ht="13.2"/>
    <row r="3117" s="66" customFormat="1" ht="13.2"/>
    <row r="3118" s="66" customFormat="1" ht="13.2"/>
    <row r="3119" s="66" customFormat="1" ht="13.2"/>
    <row r="3120" s="66" customFormat="1" ht="13.2"/>
    <row r="3121" s="66" customFormat="1" ht="13.2"/>
    <row r="3122" s="66" customFormat="1" ht="13.2"/>
    <row r="3123" s="66" customFormat="1" ht="13.2"/>
    <row r="3124" s="66" customFormat="1" ht="13.2"/>
    <row r="3125" s="66" customFormat="1" ht="13.2"/>
    <row r="3126" s="66" customFormat="1" ht="13.2"/>
    <row r="3127" s="66" customFormat="1" ht="13.2"/>
    <row r="3128" s="66" customFormat="1" ht="13.2"/>
    <row r="3129" s="66" customFormat="1" ht="13.2"/>
    <row r="3130" s="66" customFormat="1" ht="13.2"/>
    <row r="3131" s="66" customFormat="1" ht="13.2"/>
    <row r="3132" s="66" customFormat="1" ht="13.2"/>
    <row r="3133" s="66" customFormat="1" ht="13.2"/>
    <row r="3134" s="66" customFormat="1" ht="13.2"/>
    <row r="3135" s="66" customFormat="1" ht="13.2"/>
    <row r="3136" s="66" customFormat="1" ht="13.2"/>
    <row r="3137" s="66" customFormat="1" ht="13.2"/>
    <row r="3138" s="66" customFormat="1" ht="13.2"/>
    <row r="3139" s="66" customFormat="1" ht="13.2"/>
    <row r="3140" s="66" customFormat="1" ht="13.2"/>
    <row r="3141" s="66" customFormat="1" ht="13.2"/>
    <row r="3142" s="66" customFormat="1" ht="13.2"/>
    <row r="3143" s="66" customFormat="1" ht="13.2"/>
    <row r="3144" s="66" customFormat="1" ht="13.2"/>
    <row r="3145" s="66" customFormat="1" ht="13.2"/>
    <row r="3146" s="66" customFormat="1" ht="13.2"/>
    <row r="3147" s="66" customFormat="1" ht="13.2"/>
    <row r="3148" s="66" customFormat="1" ht="13.2"/>
    <row r="3149" s="66" customFormat="1" ht="13.2"/>
    <row r="3150" s="66" customFormat="1" ht="13.2"/>
    <row r="3151" s="66" customFormat="1" ht="13.2"/>
    <row r="3152" s="66" customFormat="1" ht="13.2"/>
    <row r="3153" s="66" customFormat="1" ht="13.2"/>
    <row r="3154" s="66" customFormat="1" ht="13.2"/>
    <row r="3155" s="66" customFormat="1" ht="13.2"/>
    <row r="3156" s="66" customFormat="1" ht="13.2"/>
    <row r="3157" s="66" customFormat="1" ht="13.2"/>
    <row r="3158" s="66" customFormat="1" ht="13.2"/>
    <row r="3159" s="66" customFormat="1" ht="13.2"/>
    <row r="3160" s="66" customFormat="1" ht="13.2"/>
    <row r="3161" s="66" customFormat="1" ht="13.2"/>
    <row r="3162" s="66" customFormat="1" ht="13.2"/>
    <row r="3163" s="66" customFormat="1" ht="13.2"/>
    <row r="3164" s="66" customFormat="1" ht="13.2"/>
    <row r="3165" s="66" customFormat="1" ht="13.2"/>
    <row r="3166" s="66" customFormat="1" ht="13.2"/>
    <row r="3167" s="66" customFormat="1" ht="13.2"/>
    <row r="3168" s="66" customFormat="1" ht="13.2"/>
    <row r="3169" s="66" customFormat="1" ht="13.2"/>
    <row r="3170" s="66" customFormat="1" ht="13.2"/>
    <row r="3171" s="66" customFormat="1" ht="13.2"/>
    <row r="3172" s="66" customFormat="1" ht="13.2"/>
    <row r="3173" s="66" customFormat="1" ht="13.2"/>
    <row r="3174" s="66" customFormat="1" ht="13.2"/>
    <row r="3175" s="66" customFormat="1" ht="13.2"/>
    <row r="3176" s="66" customFormat="1" ht="13.2"/>
    <row r="3177" s="66" customFormat="1" ht="13.2"/>
    <row r="3178" s="66" customFormat="1" ht="13.2"/>
    <row r="3179" s="66" customFormat="1" ht="13.2"/>
    <row r="3180" s="66" customFormat="1" ht="13.2"/>
    <row r="3181" s="66" customFormat="1" ht="13.2"/>
    <row r="3182" s="66" customFormat="1" ht="13.2"/>
    <row r="3183" s="66" customFormat="1" ht="13.2"/>
    <row r="3184" s="66" customFormat="1" ht="13.2"/>
    <row r="3185" s="66" customFormat="1" ht="13.2"/>
    <row r="3186" s="66" customFormat="1" ht="13.2"/>
    <row r="3187" s="66" customFormat="1" ht="13.2"/>
    <row r="3188" s="66" customFormat="1" ht="13.2"/>
    <row r="3189" s="66" customFormat="1" ht="13.2"/>
    <row r="3190" s="66" customFormat="1" ht="13.2"/>
    <row r="3191" s="66" customFormat="1" ht="13.2"/>
    <row r="3192" s="66" customFormat="1" ht="13.2"/>
    <row r="3193" s="66" customFormat="1" ht="13.2"/>
    <row r="3194" s="66" customFormat="1" ht="13.2"/>
    <row r="3195" s="66" customFormat="1" ht="13.2"/>
    <row r="3196" s="66" customFormat="1" ht="13.2"/>
    <row r="3197" s="66" customFormat="1" ht="13.2"/>
    <row r="3198" s="66" customFormat="1" ht="13.2"/>
    <row r="3199" s="66" customFormat="1" ht="13.2"/>
    <row r="3200" s="66" customFormat="1" ht="13.2"/>
    <row r="3201" s="66" customFormat="1" ht="13.2"/>
    <row r="3202" s="66" customFormat="1" ht="13.2"/>
    <row r="3203" s="66" customFormat="1" ht="13.2"/>
    <row r="3204" s="66" customFormat="1" ht="13.2"/>
    <row r="3205" s="66" customFormat="1" ht="13.2"/>
    <row r="3206" s="66" customFormat="1" ht="13.2"/>
    <row r="3207" s="66" customFormat="1" ht="13.2"/>
    <row r="3208" s="66" customFormat="1" ht="13.2"/>
    <row r="3209" s="66" customFormat="1" ht="13.2"/>
    <row r="3210" s="66" customFormat="1" ht="13.2"/>
    <row r="3211" s="66" customFormat="1" ht="13.2"/>
    <row r="3212" s="66" customFormat="1" ht="13.2"/>
    <row r="3213" s="66" customFormat="1" ht="13.2"/>
    <row r="3214" s="66" customFormat="1" ht="13.2"/>
    <row r="3215" s="66" customFormat="1" ht="13.2"/>
    <row r="3216" s="66" customFormat="1" ht="13.2"/>
    <row r="3217" s="66" customFormat="1" ht="13.2"/>
    <row r="3218" s="66" customFormat="1" ht="13.2"/>
    <row r="3219" s="66" customFormat="1" ht="13.2"/>
    <row r="3220" s="66" customFormat="1" ht="13.2"/>
    <row r="3221" s="66" customFormat="1" ht="13.2"/>
    <row r="3222" s="66" customFormat="1" ht="13.2"/>
    <row r="3223" s="66" customFormat="1" ht="13.2"/>
    <row r="3224" s="66" customFormat="1" ht="13.2"/>
    <row r="3225" s="66" customFormat="1" ht="13.2"/>
    <row r="3226" s="66" customFormat="1" ht="13.2"/>
    <row r="3227" s="66" customFormat="1" ht="13.2"/>
    <row r="3228" s="66" customFormat="1" ht="13.2"/>
    <row r="3229" s="66" customFormat="1" ht="13.2"/>
    <row r="3230" s="66" customFormat="1" ht="13.2"/>
    <row r="3231" s="66" customFormat="1" ht="13.2"/>
    <row r="3232" s="66" customFormat="1" ht="13.2"/>
    <row r="3233" s="66" customFormat="1" ht="13.2"/>
    <row r="3234" s="66" customFormat="1" ht="13.2"/>
    <row r="3235" s="66" customFormat="1" ht="13.2"/>
    <row r="3236" s="66" customFormat="1" ht="13.2"/>
    <row r="3237" s="66" customFormat="1" ht="13.2"/>
    <row r="3238" s="66" customFormat="1" ht="13.2"/>
    <row r="3239" s="66" customFormat="1" ht="13.2"/>
    <row r="3240" s="66" customFormat="1" ht="13.2"/>
    <row r="3241" s="66" customFormat="1" ht="13.2"/>
    <row r="3242" s="66" customFormat="1" ht="13.2"/>
    <row r="3243" s="66" customFormat="1" ht="13.2"/>
    <row r="3244" s="66" customFormat="1" ht="13.2"/>
    <row r="3245" s="66" customFormat="1" ht="13.2"/>
    <row r="3246" s="66" customFormat="1" ht="13.2"/>
    <row r="3247" s="66" customFormat="1" ht="13.2"/>
    <row r="3248" s="66" customFormat="1" ht="13.2"/>
    <row r="3249" s="66" customFormat="1" ht="13.2"/>
    <row r="3250" s="66" customFormat="1" ht="13.2"/>
    <row r="3251" s="66" customFormat="1" ht="13.2"/>
    <row r="3252" s="66" customFormat="1" ht="13.2"/>
    <row r="3253" s="66" customFormat="1" ht="13.2"/>
    <row r="3254" s="66" customFormat="1" ht="13.2"/>
    <row r="3255" s="66" customFormat="1" ht="13.2"/>
    <row r="3256" s="66" customFormat="1" ht="13.2"/>
    <row r="3257" s="66" customFormat="1" ht="13.2"/>
    <row r="3258" s="66" customFormat="1" ht="13.2"/>
    <row r="3259" s="66" customFormat="1" ht="13.2"/>
    <row r="3260" s="66" customFormat="1" ht="13.2"/>
    <row r="3261" s="66" customFormat="1" ht="13.2"/>
    <row r="3262" s="66" customFormat="1" ht="13.2"/>
    <row r="3263" s="66" customFormat="1" ht="13.2"/>
    <row r="3264" s="66" customFormat="1" ht="13.2"/>
    <row r="3265" s="66" customFormat="1" ht="13.2"/>
    <row r="3266" s="66" customFormat="1" ht="13.2"/>
    <row r="3267" s="66" customFormat="1" ht="13.2"/>
    <row r="3268" s="66" customFormat="1" ht="13.2"/>
    <row r="3269" s="66" customFormat="1" ht="13.2"/>
    <row r="3270" s="66" customFormat="1" ht="13.2"/>
    <row r="3271" s="66" customFormat="1" ht="13.2"/>
    <row r="3272" s="66" customFormat="1" ht="13.2"/>
    <row r="3273" s="66" customFormat="1" ht="13.2"/>
    <row r="3274" s="66" customFormat="1" ht="13.2"/>
    <row r="3275" s="66" customFormat="1" ht="13.2"/>
    <row r="3276" s="66" customFormat="1" ht="13.2"/>
    <row r="3277" s="66" customFormat="1" ht="13.2"/>
    <row r="3278" s="66" customFormat="1" ht="13.2"/>
    <row r="3279" s="66" customFormat="1" ht="13.2"/>
    <row r="3280" s="66" customFormat="1" ht="13.2"/>
    <row r="3281" s="66" customFormat="1" ht="13.2"/>
    <row r="3282" s="66" customFormat="1" ht="13.2"/>
    <row r="3283" s="66" customFormat="1" ht="13.2"/>
    <row r="3284" s="66" customFormat="1" ht="13.2"/>
    <row r="3285" s="66" customFormat="1" ht="13.2"/>
    <row r="3286" s="66" customFormat="1" ht="13.2"/>
    <row r="3287" s="66" customFormat="1" ht="13.2"/>
    <row r="3288" s="66" customFormat="1" ht="13.2"/>
    <row r="3289" s="66" customFormat="1" ht="13.2"/>
    <row r="3290" s="66" customFormat="1" ht="13.2"/>
    <row r="3291" s="66" customFormat="1" ht="13.2"/>
    <row r="3292" s="66" customFormat="1" ht="13.2"/>
    <row r="3293" s="66" customFormat="1" ht="13.2"/>
    <row r="3294" s="66" customFormat="1" ht="13.2"/>
    <row r="3295" s="66" customFormat="1" ht="13.2"/>
    <row r="3296" s="66" customFormat="1" ht="13.2"/>
    <row r="3297" s="66" customFormat="1" ht="13.2"/>
    <row r="3298" s="66" customFormat="1" ht="13.2"/>
    <row r="3299" s="66" customFormat="1" ht="13.2"/>
    <row r="3300" s="66" customFormat="1" ht="13.2"/>
    <row r="3301" s="66" customFormat="1" ht="13.2"/>
    <row r="3302" s="66" customFormat="1" ht="13.2"/>
    <row r="3303" s="66" customFormat="1" ht="13.2"/>
    <row r="3304" s="66" customFormat="1" ht="13.2"/>
    <row r="3305" s="66" customFormat="1" ht="13.2"/>
    <row r="3306" s="66" customFormat="1" ht="13.2"/>
    <row r="3307" s="66" customFormat="1" ht="13.2"/>
    <row r="3308" s="66" customFormat="1" ht="13.2"/>
    <row r="3309" s="66" customFormat="1" ht="13.2"/>
    <row r="3310" s="66" customFormat="1" ht="13.2"/>
    <row r="3311" s="66" customFormat="1" ht="13.2"/>
    <row r="3312" s="66" customFormat="1" ht="13.2"/>
    <row r="3313" s="66" customFormat="1" ht="13.2"/>
    <row r="3314" s="66" customFormat="1" ht="13.2"/>
    <row r="3315" s="66" customFormat="1" ht="13.2"/>
    <row r="3316" s="66" customFormat="1" ht="13.2"/>
    <row r="3317" s="66" customFormat="1" ht="13.2"/>
    <row r="3318" s="66" customFormat="1" ht="13.2"/>
    <row r="3319" s="66" customFormat="1" ht="13.2"/>
    <row r="3320" s="66" customFormat="1" ht="13.2"/>
    <row r="3321" s="66" customFormat="1" ht="13.2"/>
    <row r="3322" s="66" customFormat="1" ht="13.2"/>
    <row r="3323" s="66" customFormat="1" ht="13.2"/>
    <row r="3324" s="66" customFormat="1" ht="13.2"/>
    <row r="3325" s="66" customFormat="1" ht="13.2"/>
    <row r="3326" s="66" customFormat="1" ht="13.2"/>
    <row r="3327" s="66" customFormat="1" ht="13.2"/>
    <row r="3328" s="66" customFormat="1" ht="13.2"/>
    <row r="3329" s="66" customFormat="1" ht="13.2"/>
    <row r="3330" s="66" customFormat="1" ht="13.2"/>
    <row r="3331" s="66" customFormat="1" ht="13.2"/>
    <row r="3332" s="66" customFormat="1" ht="13.2"/>
    <row r="3333" s="66" customFormat="1" ht="13.2"/>
    <row r="3334" s="66" customFormat="1" ht="13.2"/>
    <row r="3335" s="66" customFormat="1" ht="13.2"/>
    <row r="3336" s="66" customFormat="1" ht="13.2"/>
    <row r="3337" s="66" customFormat="1" ht="13.2"/>
    <row r="3338" s="66" customFormat="1" ht="13.2"/>
    <row r="3339" s="66" customFormat="1" ht="13.2"/>
    <row r="3340" s="66" customFormat="1" ht="13.2"/>
    <row r="3341" s="66" customFormat="1" ht="13.2"/>
    <row r="3342" s="66" customFormat="1" ht="13.2"/>
    <row r="3343" s="66" customFormat="1" ht="13.2"/>
    <row r="3344" s="66" customFormat="1" ht="13.2"/>
    <row r="3345" s="66" customFormat="1" ht="13.2"/>
    <row r="3346" s="66" customFormat="1" ht="13.2"/>
    <row r="3347" s="66" customFormat="1" ht="13.2"/>
    <row r="3348" s="66" customFormat="1" ht="13.2"/>
    <row r="3349" s="66" customFormat="1" ht="13.2"/>
    <row r="3350" s="66" customFormat="1" ht="13.2"/>
    <row r="3351" s="66" customFormat="1" ht="13.2"/>
    <row r="3352" s="66" customFormat="1" ht="13.2"/>
    <row r="3353" s="66" customFormat="1" ht="13.2"/>
    <row r="3354" s="66" customFormat="1" ht="13.2"/>
    <row r="3355" s="66" customFormat="1" ht="13.2"/>
    <row r="3356" s="66" customFormat="1" ht="13.2"/>
    <row r="3357" s="66" customFormat="1" ht="13.2"/>
    <row r="3358" s="66" customFormat="1" ht="13.2"/>
    <row r="3359" s="66" customFormat="1" ht="13.2"/>
    <row r="3360" s="66" customFormat="1" ht="13.2"/>
    <row r="3361" s="66" customFormat="1" ht="13.2"/>
    <row r="3362" s="66" customFormat="1" ht="13.2"/>
    <row r="3363" s="66" customFormat="1" ht="13.2"/>
    <row r="3364" s="66" customFormat="1" ht="13.2"/>
    <row r="3365" s="66" customFormat="1" ht="13.2"/>
    <row r="3366" s="66" customFormat="1" ht="13.2"/>
    <row r="3367" s="66" customFormat="1" ht="13.2"/>
    <row r="3368" s="66" customFormat="1" ht="13.2"/>
    <row r="3369" s="66" customFormat="1" ht="13.2"/>
    <row r="3370" s="66" customFormat="1" ht="13.2"/>
    <row r="3371" s="66" customFormat="1" ht="13.2"/>
    <row r="3372" s="66" customFormat="1" ht="13.2"/>
    <row r="3373" s="66" customFormat="1" ht="13.2"/>
    <row r="3374" s="66" customFormat="1" ht="13.2"/>
    <row r="3375" s="66" customFormat="1" ht="13.2"/>
    <row r="3376" s="66" customFormat="1" ht="13.2"/>
    <row r="3377" s="66" customFormat="1" ht="13.2"/>
    <row r="3378" s="66" customFormat="1" ht="13.2"/>
    <row r="3379" s="66" customFormat="1" ht="13.2"/>
    <row r="3380" s="66" customFormat="1" ht="13.2"/>
    <row r="3381" s="66" customFormat="1" ht="13.2"/>
    <row r="3382" s="66" customFormat="1" ht="13.2"/>
    <row r="3383" s="66" customFormat="1" ht="13.2"/>
    <row r="3384" s="66" customFormat="1" ht="13.2"/>
    <row r="3385" s="66" customFormat="1" ht="13.2"/>
    <row r="3386" s="66" customFormat="1" ht="13.2"/>
    <row r="3387" s="66" customFormat="1" ht="13.2"/>
    <row r="3388" s="66" customFormat="1" ht="13.2"/>
    <row r="3389" s="66" customFormat="1" ht="13.2"/>
    <row r="3390" s="66" customFormat="1" ht="13.2"/>
    <row r="3391" s="66" customFormat="1" ht="13.2"/>
    <row r="3392" s="66" customFormat="1" ht="13.2"/>
    <row r="3393" s="66" customFormat="1" ht="13.2"/>
    <row r="3394" s="66" customFormat="1" ht="13.2"/>
    <row r="3395" s="66" customFormat="1" ht="13.2"/>
    <row r="3396" s="66" customFormat="1" ht="13.2"/>
    <row r="3397" s="66" customFormat="1" ht="13.2"/>
    <row r="3398" s="66" customFormat="1" ht="13.2"/>
    <row r="3399" s="66" customFormat="1" ht="13.2"/>
    <row r="3400" s="66" customFormat="1" ht="13.2"/>
    <row r="3401" s="66" customFormat="1" ht="13.2"/>
    <row r="3402" s="66" customFormat="1" ht="13.2"/>
    <row r="3403" s="66" customFormat="1" ht="13.2"/>
    <row r="3404" s="66" customFormat="1" ht="13.2"/>
    <row r="3405" s="66" customFormat="1" ht="13.2"/>
    <row r="3406" s="66" customFormat="1" ht="13.2"/>
    <row r="3407" s="66" customFormat="1" ht="13.2"/>
    <row r="3408" s="66" customFormat="1" ht="13.2"/>
    <row r="3409" s="66" customFormat="1" ht="13.2"/>
    <row r="3410" s="66" customFormat="1" ht="13.2"/>
    <row r="3411" s="66" customFormat="1" ht="13.2"/>
    <row r="3412" s="66" customFormat="1" ht="13.2"/>
    <row r="3413" s="66" customFormat="1" ht="13.2"/>
    <row r="3414" s="66" customFormat="1" ht="13.2"/>
    <row r="3415" s="66" customFormat="1" ht="13.2"/>
    <row r="3416" s="66" customFormat="1" ht="13.2"/>
    <row r="3417" s="66" customFormat="1" ht="13.2"/>
    <row r="3418" s="66" customFormat="1" ht="13.2"/>
    <row r="3419" s="66" customFormat="1" ht="13.2"/>
    <row r="3420" s="66" customFormat="1" ht="13.2"/>
    <row r="3421" s="66" customFormat="1" ht="13.2"/>
    <row r="3422" s="66" customFormat="1" ht="13.2"/>
    <row r="3423" s="66" customFormat="1" ht="13.2"/>
    <row r="3424" s="66" customFormat="1" ht="13.2"/>
    <row r="3425" s="66" customFormat="1" ht="13.2"/>
    <row r="3426" s="66" customFormat="1" ht="13.2"/>
    <row r="3427" s="66" customFormat="1" ht="13.2"/>
    <row r="3428" s="66" customFormat="1" ht="13.2"/>
    <row r="3429" s="66" customFormat="1" ht="13.2"/>
    <row r="3430" s="66" customFormat="1" ht="13.2"/>
    <row r="3431" s="66" customFormat="1" ht="13.2"/>
    <row r="3432" s="66" customFormat="1" ht="13.2"/>
    <row r="3433" s="66" customFormat="1" ht="13.2"/>
    <row r="3434" s="66" customFormat="1" ht="13.2"/>
    <row r="3435" s="66" customFormat="1" ht="13.2"/>
    <row r="3436" s="66" customFormat="1" ht="13.2"/>
    <row r="3437" s="66" customFormat="1" ht="13.2"/>
    <row r="3438" s="66" customFormat="1" ht="13.2"/>
    <row r="3439" s="66" customFormat="1" ht="13.2"/>
    <row r="3440" s="66" customFormat="1" ht="13.2"/>
    <row r="3441" s="66" customFormat="1" ht="13.2"/>
    <row r="3442" s="66" customFormat="1" ht="13.2"/>
    <row r="3443" s="66" customFormat="1" ht="13.2"/>
    <row r="3444" s="66" customFormat="1" ht="13.2"/>
    <row r="3445" s="66" customFormat="1" ht="13.2"/>
    <row r="3446" s="66" customFormat="1" ht="13.2"/>
    <row r="3447" s="66" customFormat="1" ht="13.2"/>
    <row r="3448" s="66" customFormat="1" ht="13.2"/>
    <row r="3449" s="66" customFormat="1" ht="13.2"/>
    <row r="3450" s="66" customFormat="1" ht="13.2"/>
    <row r="3451" s="66" customFormat="1" ht="13.2"/>
    <row r="3452" s="66" customFormat="1" ht="13.2"/>
    <row r="3453" s="66" customFormat="1" ht="13.2"/>
    <row r="3454" s="66" customFormat="1" ht="13.2"/>
    <row r="3455" s="66" customFormat="1" ht="13.2"/>
    <row r="3456" s="66" customFormat="1" ht="13.2"/>
    <row r="3457" s="66" customFormat="1" ht="13.2"/>
    <row r="3458" s="66" customFormat="1" ht="13.2"/>
    <row r="3459" s="66" customFormat="1" ht="13.2"/>
    <row r="3460" s="66" customFormat="1" ht="13.2"/>
    <row r="3461" s="66" customFormat="1" ht="13.2"/>
    <row r="3462" s="66" customFormat="1" ht="13.2"/>
    <row r="3463" s="66" customFormat="1" ht="13.2"/>
    <row r="3464" s="66" customFormat="1" ht="13.2"/>
    <row r="3465" s="66" customFormat="1" ht="13.2"/>
    <row r="3466" s="66" customFormat="1" ht="13.2"/>
    <row r="3467" s="66" customFormat="1" ht="13.2"/>
    <row r="3468" s="66" customFormat="1" ht="13.2"/>
    <row r="3469" s="66" customFormat="1" ht="13.2"/>
    <row r="3470" s="66" customFormat="1" ht="13.2"/>
    <row r="3471" s="66" customFormat="1" ht="13.2"/>
    <row r="3472" s="66" customFormat="1" ht="13.2"/>
    <row r="3473" s="66" customFormat="1" ht="13.2"/>
    <row r="3474" s="66" customFormat="1" ht="13.2"/>
    <row r="3475" s="66" customFormat="1" ht="13.2"/>
    <row r="3476" s="66" customFormat="1" ht="13.2"/>
    <row r="3477" s="66" customFormat="1" ht="13.2"/>
    <row r="3478" s="66" customFormat="1" ht="13.2"/>
    <row r="3479" s="66" customFormat="1" ht="13.2"/>
    <row r="3480" s="66" customFormat="1" ht="13.2"/>
    <row r="3481" s="66" customFormat="1" ht="13.2"/>
    <row r="3482" s="66" customFormat="1" ht="13.2"/>
    <row r="3483" s="66" customFormat="1" ht="13.2"/>
    <row r="3484" s="66" customFormat="1" ht="13.2"/>
    <row r="3485" s="66" customFormat="1" ht="13.2"/>
    <row r="3486" s="66" customFormat="1" ht="13.2"/>
    <row r="3487" s="66" customFormat="1" ht="13.2"/>
    <row r="3488" s="66" customFormat="1" ht="13.2"/>
    <row r="3489" s="66" customFormat="1" ht="13.2"/>
    <row r="3490" s="66" customFormat="1" ht="13.2"/>
    <row r="3491" s="66" customFormat="1" ht="13.2"/>
    <row r="3492" s="66" customFormat="1" ht="13.2"/>
    <row r="3493" s="66" customFormat="1" ht="13.2"/>
    <row r="3494" s="66" customFormat="1" ht="13.2"/>
    <row r="3495" s="66" customFormat="1" ht="13.2"/>
    <row r="3496" s="66" customFormat="1" ht="13.2"/>
    <row r="3497" s="66" customFormat="1" ht="13.2"/>
    <row r="3498" s="66" customFormat="1" ht="13.2"/>
    <row r="3499" s="66" customFormat="1" ht="13.2"/>
    <row r="3500" s="66" customFormat="1" ht="13.2"/>
    <row r="3501" s="66" customFormat="1" ht="13.2"/>
    <row r="3502" s="66" customFormat="1" ht="13.2"/>
    <row r="3503" s="66" customFormat="1" ht="13.2"/>
    <row r="3504" s="66" customFormat="1" ht="13.2"/>
    <row r="3505" s="66" customFormat="1" ht="13.2"/>
    <row r="3506" s="66" customFormat="1" ht="13.2"/>
    <row r="3507" s="66" customFormat="1" ht="13.2"/>
    <row r="3508" s="66" customFormat="1" ht="13.2"/>
    <row r="3509" s="66" customFormat="1" ht="13.2"/>
    <row r="3510" s="66" customFormat="1" ht="13.2"/>
  </sheetData>
  <mergeCells count="19">
    <mergeCell ref="P5:Q5"/>
    <mergeCell ref="R5:T5"/>
    <mergeCell ref="A1:W1"/>
    <mergeCell ref="P3:Q3"/>
    <mergeCell ref="R3:U3"/>
    <mergeCell ref="P4:Q4"/>
    <mergeCell ref="R4:T4"/>
    <mergeCell ref="N10:Q10"/>
    <mergeCell ref="R10:U10"/>
    <mergeCell ref="B7:W7"/>
    <mergeCell ref="A9:A11"/>
    <mergeCell ref="B9:B11"/>
    <mergeCell ref="C9:G10"/>
    <mergeCell ref="H9:H11"/>
    <mergeCell ref="I9:I11"/>
    <mergeCell ref="J9:M9"/>
    <mergeCell ref="N9:Q9"/>
    <mergeCell ref="R9:U9"/>
    <mergeCell ref="J10:M10"/>
  </mergeCells>
  <dataValidations count="3">
    <dataValidation type="whole" allowBlank="1" showErrorMessage="1" errorTitle="خطا في الادخال" error="ادخل العام فقط وبدون اي اضافات_x000a_مثلا 1999 " sqref="G13" xr:uid="{00000000-0002-0000-0300-000000000000}">
      <formula1>1950</formula1>
      <formula2>2017</formula2>
    </dataValidation>
    <dataValidation type="whole" allowBlank="1" showErrorMessage="1" errorTitle="خطا في الادخال" error="ادخل رقم الشهر فقط " sqref="F13" xr:uid="{00000000-0002-0000-0300-000001000000}">
      <formula1>1</formula1>
      <formula2>12</formula2>
    </dataValidation>
    <dataValidation type="whole" allowBlank="1" showErrorMessage="1" errorTitle="خطأ في الادخال" error="ادخل تاريخ اليوم " sqref="E13" xr:uid="{00000000-0002-0000-0300-000002000000}">
      <formula1>1</formula1>
      <formula2>30</formula2>
    </dataValidation>
  </dataValidations>
  <printOptions horizontalCentered="1"/>
  <pageMargins left="0" right="0" top="0.15748031496062992" bottom="1.73" header="0.19685039370078741" footer="0.31"/>
  <pageSetup paperSize="9" scale="86" orientation="landscape" r:id="rId1"/>
  <headerFooter scaleWithDoc="0">
    <oddHeader xml:space="preserve">&amp;L&amp;"Arial,غامق"&amp;12 (  &amp;P )  كشف رقم </oddHeader>
    <oddFooter xml:space="preserve">&amp;C&amp;G&amp;R&amp;"Arial,غامق"&amp;12 </oddFooter>
  </headerFooter>
  <rowBreaks count="1" manualBreakCount="1">
    <brk id="29" max="2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76"/>
  <sheetViews>
    <sheetView rightToLeft="1" view="pageBreakPreview" zoomScale="115" zoomScaleNormal="80" zoomScaleSheetLayoutView="115" zoomScalePageLayoutView="60" workbookViewId="0">
      <selection activeCell="G3" sqref="G3"/>
    </sheetView>
  </sheetViews>
  <sheetFormatPr defaultRowHeight="19.95" customHeight="1"/>
  <cols>
    <col min="1" max="1" width="4.44140625" customWidth="1"/>
    <col min="2" max="2" width="24.77734375" customWidth="1"/>
    <col min="3" max="3" width="5.77734375" customWidth="1"/>
    <col min="4" max="4" width="5.21875" customWidth="1"/>
    <col min="5" max="5" width="2.77734375" customWidth="1"/>
    <col min="6" max="6" width="3" customWidth="1"/>
    <col min="7" max="7" width="5.21875" customWidth="1"/>
    <col min="8" max="9" width="3.44140625" customWidth="1"/>
    <col min="10" max="10" width="6.77734375" customWidth="1"/>
    <col min="11" max="11" width="5.44140625" customWidth="1"/>
    <col min="12" max="12" width="8.44140625" customWidth="1"/>
    <col min="13" max="13" width="6.5546875" customWidth="1"/>
    <col min="14" max="14" width="9.5546875" customWidth="1"/>
    <col min="15" max="15" width="5.21875" customWidth="1"/>
    <col min="16" max="16" width="4.21875" customWidth="1"/>
    <col min="17" max="17" width="6.77734375" customWidth="1"/>
    <col min="18" max="18" width="10" customWidth="1"/>
    <col min="19" max="19" width="6.21875" customWidth="1"/>
    <col min="20" max="20" width="4.44140625" customWidth="1"/>
    <col min="21" max="21" width="7" customWidth="1"/>
    <col min="22" max="22" width="8.77734375" customWidth="1"/>
    <col min="23" max="23" width="6.77734375" customWidth="1"/>
    <col min="24" max="24" width="5.77734375" customWidth="1"/>
    <col min="25" max="56" width="3.21875" customWidth="1"/>
    <col min="57" max="57" width="3.77734375" customWidth="1"/>
    <col min="58" max="58" width="3.44140625" customWidth="1"/>
    <col min="59" max="59" width="1" customWidth="1"/>
  </cols>
  <sheetData>
    <row r="1" spans="1:60" ht="11.25" customHeight="1" thickBot="1">
      <c r="A1" s="611" t="s">
        <v>9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25"/>
      <c r="Y1" s="26"/>
      <c r="Z1" s="23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4"/>
      <c r="BF1" s="24"/>
      <c r="BG1" s="24"/>
    </row>
    <row r="2" spans="1:60" ht="15" customHeight="1" thickBot="1">
      <c r="A2" s="91"/>
      <c r="B2" s="2" t="s">
        <v>10</v>
      </c>
      <c r="C2" s="91"/>
      <c r="D2" s="91"/>
      <c r="E2" s="91"/>
      <c r="F2" s="91"/>
      <c r="G2" s="17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19"/>
      <c r="W2" s="20"/>
      <c r="X2" s="25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605" t="s">
        <v>42</v>
      </c>
      <c r="AU2" s="605"/>
      <c r="AV2" s="606">
        <f>Q3</f>
        <v>0</v>
      </c>
      <c r="AW2" s="606"/>
      <c r="AX2" s="606"/>
      <c r="AY2" s="606"/>
      <c r="AZ2" s="606"/>
      <c r="BA2" s="606"/>
      <c r="BB2" s="23"/>
      <c r="BC2" s="23"/>
      <c r="BD2" s="23"/>
      <c r="BE2" s="24"/>
      <c r="BF2" s="24"/>
      <c r="BG2" s="24"/>
    </row>
    <row r="3" spans="1:60" ht="15.75" customHeight="1" thickBot="1">
      <c r="A3" s="91"/>
      <c r="B3" s="2" t="s">
        <v>11</v>
      </c>
      <c r="C3" s="91"/>
      <c r="D3" s="91"/>
      <c r="E3" s="91"/>
      <c r="F3" s="91"/>
      <c r="G3" s="17"/>
      <c r="H3" s="91"/>
      <c r="I3" s="91"/>
      <c r="J3" s="91"/>
      <c r="K3" s="91"/>
      <c r="L3" s="91"/>
      <c r="M3" s="91"/>
      <c r="N3" s="91"/>
      <c r="O3" s="605" t="s">
        <v>42</v>
      </c>
      <c r="P3" s="605"/>
      <c r="Q3" s="606"/>
      <c r="R3" s="606"/>
      <c r="S3" s="606"/>
      <c r="T3" s="606"/>
      <c r="U3" s="18"/>
      <c r="V3" s="19"/>
      <c r="W3" s="20"/>
      <c r="X3" s="25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605" t="s">
        <v>12</v>
      </c>
      <c r="AU3" s="605"/>
      <c r="AV3" s="606" t="str">
        <f>Q4</f>
        <v>صالة</v>
      </c>
      <c r="AW3" s="606"/>
      <c r="AX3" s="21"/>
      <c r="AY3" s="92"/>
      <c r="AZ3" s="26"/>
      <c r="BA3" s="26"/>
      <c r="BB3" s="26"/>
      <c r="BC3" s="26"/>
      <c r="BD3" s="26"/>
      <c r="BE3" s="24"/>
      <c r="BF3" s="24"/>
      <c r="BG3" s="24"/>
    </row>
    <row r="4" spans="1:60" ht="12.75" customHeight="1" thickBot="1">
      <c r="A4" s="91"/>
      <c r="B4" s="1" t="s">
        <v>4</v>
      </c>
      <c r="C4" s="91"/>
      <c r="D4" s="91"/>
      <c r="E4" s="91"/>
      <c r="F4" s="91"/>
      <c r="G4" s="17"/>
      <c r="H4" s="91"/>
      <c r="I4" s="91"/>
      <c r="J4" s="91"/>
      <c r="K4" s="91"/>
      <c r="L4" s="91"/>
      <c r="M4" s="91"/>
      <c r="N4" s="91"/>
      <c r="O4" s="605" t="s">
        <v>12</v>
      </c>
      <c r="P4" s="605"/>
      <c r="Q4" s="606" t="s">
        <v>3</v>
      </c>
      <c r="R4" s="606"/>
      <c r="S4" s="21"/>
      <c r="T4" s="92"/>
      <c r="U4" s="18"/>
      <c r="V4" s="19"/>
      <c r="W4" s="20"/>
      <c r="X4" s="25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605" t="s">
        <v>13</v>
      </c>
      <c r="AU4" s="605"/>
      <c r="AV4" s="606" t="s">
        <v>14</v>
      </c>
      <c r="AW4" s="606"/>
      <c r="AX4" s="21"/>
      <c r="AY4" s="92"/>
      <c r="AZ4" s="26"/>
      <c r="BA4" s="26"/>
      <c r="BB4" s="26"/>
      <c r="BC4" s="26"/>
      <c r="BD4" s="26"/>
      <c r="BE4" s="24"/>
      <c r="BF4" s="24"/>
      <c r="BG4" s="24"/>
    </row>
    <row r="5" spans="1:60" ht="13.5" customHeight="1" thickBot="1">
      <c r="A5" s="91"/>
      <c r="B5" s="3" t="s">
        <v>45</v>
      </c>
      <c r="C5" s="91"/>
      <c r="D5" s="91"/>
      <c r="E5" s="91"/>
      <c r="F5" s="91"/>
      <c r="G5" s="17"/>
      <c r="H5" s="91"/>
      <c r="I5" s="91"/>
      <c r="J5" s="91"/>
      <c r="K5" s="91"/>
      <c r="L5" s="91"/>
      <c r="M5" s="91"/>
      <c r="N5" s="91"/>
      <c r="O5" s="605" t="s">
        <v>13</v>
      </c>
      <c r="P5" s="605"/>
      <c r="Q5" s="606" t="s">
        <v>14</v>
      </c>
      <c r="R5" s="606"/>
      <c r="S5" s="21"/>
      <c r="T5" s="92"/>
      <c r="U5" s="18"/>
      <c r="V5" s="607" t="s">
        <v>15</v>
      </c>
      <c r="W5" s="607"/>
      <c r="X5" s="25"/>
      <c r="Y5" s="26"/>
      <c r="Z5" s="26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24"/>
      <c r="BG5" s="24"/>
    </row>
    <row r="6" spans="1:60" ht="21.75" customHeight="1" thickTop="1" thickBot="1">
      <c r="A6" s="91"/>
      <c r="C6" s="91"/>
      <c r="D6" s="91"/>
      <c r="E6" s="91"/>
      <c r="F6" s="91"/>
      <c r="G6" s="17"/>
      <c r="H6" s="91"/>
      <c r="I6" s="609" t="s">
        <v>43</v>
      </c>
      <c r="J6" s="609"/>
      <c r="K6" s="609"/>
      <c r="L6" s="609"/>
      <c r="M6" s="609"/>
      <c r="N6" s="609"/>
      <c r="O6" s="609"/>
      <c r="P6" s="609"/>
      <c r="Q6" s="609"/>
      <c r="R6" s="609"/>
      <c r="S6" s="609"/>
      <c r="T6" s="609"/>
      <c r="U6" s="609"/>
      <c r="V6" s="608"/>
      <c r="W6" s="608"/>
      <c r="X6" s="10"/>
      <c r="Y6" s="26"/>
      <c r="Z6" s="610" t="s">
        <v>44</v>
      </c>
      <c r="AA6" s="610"/>
      <c r="AB6" s="610"/>
      <c r="AC6" s="610"/>
      <c r="AD6" s="610"/>
      <c r="AE6" s="610"/>
      <c r="AF6" s="610"/>
      <c r="AG6" s="610"/>
      <c r="AH6" s="610"/>
      <c r="AI6" s="610"/>
      <c r="AJ6" s="610"/>
      <c r="AK6" s="610"/>
      <c r="AL6" s="610"/>
      <c r="AM6" s="610"/>
      <c r="AN6" s="610"/>
      <c r="AO6" s="610"/>
      <c r="AP6" s="610"/>
      <c r="AQ6" s="610"/>
      <c r="AR6" s="610"/>
      <c r="AS6" s="610"/>
      <c r="AT6" s="610"/>
      <c r="AU6" s="610"/>
      <c r="AV6" s="610"/>
      <c r="AW6" s="610"/>
      <c r="AX6" s="610"/>
      <c r="AY6" s="610"/>
      <c r="AZ6" s="610"/>
      <c r="BA6" s="610"/>
      <c r="BB6" s="610"/>
      <c r="BC6" s="610"/>
      <c r="BD6" s="610"/>
      <c r="BE6" s="24"/>
      <c r="BF6" s="24"/>
      <c r="BG6" s="24"/>
    </row>
    <row r="7" spans="1:60" ht="15" customHeight="1" thickTop="1" thickBot="1">
      <c r="A7" s="587" t="s">
        <v>0</v>
      </c>
      <c r="B7" s="590" t="s">
        <v>8</v>
      </c>
      <c r="C7" s="593" t="s">
        <v>2</v>
      </c>
      <c r="D7" s="594"/>
      <c r="E7" s="594"/>
      <c r="F7" s="594"/>
      <c r="G7" s="595"/>
      <c r="H7" s="599" t="s">
        <v>1</v>
      </c>
      <c r="I7" s="602" t="s">
        <v>16</v>
      </c>
      <c r="J7" s="582" t="s">
        <v>7</v>
      </c>
      <c r="K7" s="583"/>
      <c r="L7" s="583"/>
      <c r="M7" s="584"/>
      <c r="N7" s="582" t="s">
        <v>17</v>
      </c>
      <c r="O7" s="583"/>
      <c r="P7" s="583"/>
      <c r="Q7" s="584"/>
      <c r="R7" s="582" t="s">
        <v>7</v>
      </c>
      <c r="S7" s="583"/>
      <c r="T7" s="583"/>
      <c r="U7" s="584"/>
      <c r="V7" s="582" t="s">
        <v>18</v>
      </c>
      <c r="W7" s="584"/>
      <c r="X7" s="515" t="s">
        <v>26</v>
      </c>
      <c r="Y7" s="577" t="s">
        <v>27</v>
      </c>
      <c r="Z7" s="578"/>
      <c r="AA7" s="578"/>
      <c r="AB7" s="585"/>
      <c r="AC7" s="579" t="s">
        <v>28</v>
      </c>
      <c r="AD7" s="578"/>
      <c r="AE7" s="578"/>
      <c r="AF7" s="586"/>
      <c r="AG7" s="577" t="s">
        <v>29</v>
      </c>
      <c r="AH7" s="578"/>
      <c r="AI7" s="578"/>
      <c r="AJ7" s="578"/>
      <c r="AK7" s="579" t="s">
        <v>30</v>
      </c>
      <c r="AL7" s="577"/>
      <c r="AM7" s="578"/>
      <c r="AN7" s="578"/>
      <c r="AO7" s="579" t="s">
        <v>31</v>
      </c>
      <c r="AP7" s="578"/>
      <c r="AQ7" s="578"/>
      <c r="AR7" s="578"/>
      <c r="AS7" s="580" t="s">
        <v>32</v>
      </c>
      <c r="AT7" s="580"/>
      <c r="AU7" s="580"/>
      <c r="AV7" s="580"/>
      <c r="AW7" s="580" t="s">
        <v>33</v>
      </c>
      <c r="AX7" s="580"/>
      <c r="AY7" s="580"/>
      <c r="AZ7" s="580"/>
      <c r="BA7" s="580" t="s">
        <v>34</v>
      </c>
      <c r="BB7" s="580"/>
      <c r="BC7" s="580"/>
      <c r="BD7" s="581"/>
      <c r="BE7" s="499" t="s">
        <v>35</v>
      </c>
      <c r="BF7" s="502" t="s">
        <v>26</v>
      </c>
      <c r="BG7" s="29"/>
    </row>
    <row r="8" spans="1:60" ht="19.5" customHeight="1" thickTop="1" thickBot="1">
      <c r="A8" s="588"/>
      <c r="B8" s="591"/>
      <c r="C8" s="596"/>
      <c r="D8" s="597"/>
      <c r="E8" s="597"/>
      <c r="F8" s="597"/>
      <c r="G8" s="598"/>
      <c r="H8" s="600"/>
      <c r="I8" s="603"/>
      <c r="J8" s="574" t="s">
        <v>19</v>
      </c>
      <c r="K8" s="575"/>
      <c r="L8" s="575"/>
      <c r="M8" s="576"/>
      <c r="N8" s="574" t="s">
        <v>20</v>
      </c>
      <c r="O8" s="575"/>
      <c r="P8" s="575"/>
      <c r="Q8" s="576"/>
      <c r="R8" s="574" t="s">
        <v>21</v>
      </c>
      <c r="S8" s="575"/>
      <c r="T8" s="575"/>
      <c r="U8" s="576"/>
      <c r="V8" s="574" t="s">
        <v>22</v>
      </c>
      <c r="W8" s="576"/>
      <c r="X8" s="516"/>
      <c r="Y8" s="59" t="s">
        <v>36</v>
      </c>
      <c r="Z8" s="59" t="s">
        <v>37</v>
      </c>
      <c r="AA8" s="59" t="s">
        <v>38</v>
      </c>
      <c r="AB8" s="60" t="s">
        <v>39</v>
      </c>
      <c r="AC8" s="61" t="s">
        <v>36</v>
      </c>
      <c r="AD8" s="59" t="s">
        <v>37</v>
      </c>
      <c r="AE8" s="59" t="s">
        <v>38</v>
      </c>
      <c r="AF8" s="62" t="s">
        <v>39</v>
      </c>
      <c r="AG8" s="59" t="s">
        <v>36</v>
      </c>
      <c r="AH8" s="59" t="s">
        <v>37</v>
      </c>
      <c r="AI8" s="59" t="s">
        <v>38</v>
      </c>
      <c r="AJ8" s="62" t="s">
        <v>39</v>
      </c>
      <c r="AK8" s="59" t="s">
        <v>36</v>
      </c>
      <c r="AL8" s="59" t="s">
        <v>37</v>
      </c>
      <c r="AM8" s="59" t="s">
        <v>38</v>
      </c>
      <c r="AN8" s="62" t="s">
        <v>39</v>
      </c>
      <c r="AO8" s="59" t="s">
        <v>36</v>
      </c>
      <c r="AP8" s="59" t="s">
        <v>37</v>
      </c>
      <c r="AQ8" s="59" t="s">
        <v>38</v>
      </c>
      <c r="AR8" s="62" t="s">
        <v>39</v>
      </c>
      <c r="AS8" s="59" t="s">
        <v>36</v>
      </c>
      <c r="AT8" s="59" t="s">
        <v>37</v>
      </c>
      <c r="AU8" s="59" t="s">
        <v>38</v>
      </c>
      <c r="AV8" s="62" t="s">
        <v>39</v>
      </c>
      <c r="AW8" s="59" t="s">
        <v>36</v>
      </c>
      <c r="AX8" s="59" t="s">
        <v>37</v>
      </c>
      <c r="AY8" s="59" t="s">
        <v>38</v>
      </c>
      <c r="AZ8" s="62" t="s">
        <v>39</v>
      </c>
      <c r="BA8" s="59" t="s">
        <v>36</v>
      </c>
      <c r="BB8" s="59" t="s">
        <v>37</v>
      </c>
      <c r="BC8" s="59" t="s">
        <v>38</v>
      </c>
      <c r="BD8" s="62" t="s">
        <v>39</v>
      </c>
      <c r="BE8" s="500"/>
      <c r="BF8" s="503"/>
      <c r="BG8" s="29"/>
    </row>
    <row r="9" spans="1:60" ht="16.5" customHeight="1" thickBot="1">
      <c r="A9" s="589"/>
      <c r="B9" s="592"/>
      <c r="C9" s="87" t="s">
        <v>23</v>
      </c>
      <c r="D9" s="88" t="s">
        <v>24</v>
      </c>
      <c r="E9" s="89" t="s">
        <v>40</v>
      </c>
      <c r="F9" s="89" t="s">
        <v>41</v>
      </c>
      <c r="G9" s="90" t="s">
        <v>6</v>
      </c>
      <c r="H9" s="601"/>
      <c r="I9" s="604"/>
      <c r="J9" s="31" t="s">
        <v>23</v>
      </c>
      <c r="K9" s="32" t="s">
        <v>24</v>
      </c>
      <c r="L9" s="32" t="s">
        <v>5</v>
      </c>
      <c r="M9" s="33" t="s">
        <v>6</v>
      </c>
      <c r="N9" s="31" t="s">
        <v>25</v>
      </c>
      <c r="O9" s="32" t="s">
        <v>23</v>
      </c>
      <c r="P9" s="32" t="s">
        <v>24</v>
      </c>
      <c r="Q9" s="33" t="s">
        <v>6</v>
      </c>
      <c r="R9" s="31" t="s">
        <v>25</v>
      </c>
      <c r="S9" s="32" t="s">
        <v>23</v>
      </c>
      <c r="T9" s="32" t="s">
        <v>24</v>
      </c>
      <c r="U9" s="33" t="s">
        <v>6</v>
      </c>
      <c r="V9" s="31" t="s">
        <v>5</v>
      </c>
      <c r="W9" s="33" t="s">
        <v>6</v>
      </c>
      <c r="X9" s="517"/>
      <c r="Y9" s="63">
        <v>20</v>
      </c>
      <c r="Z9" s="64">
        <v>20</v>
      </c>
      <c r="AA9" s="64">
        <v>10</v>
      </c>
      <c r="AB9" s="65">
        <v>50</v>
      </c>
      <c r="AC9" s="63">
        <v>20</v>
      </c>
      <c r="AD9" s="64">
        <v>20</v>
      </c>
      <c r="AE9" s="64">
        <v>10</v>
      </c>
      <c r="AF9" s="65">
        <v>50</v>
      </c>
      <c r="AG9" s="63">
        <v>20</v>
      </c>
      <c r="AH9" s="64">
        <v>20</v>
      </c>
      <c r="AI9" s="64">
        <v>10</v>
      </c>
      <c r="AJ9" s="65">
        <v>50</v>
      </c>
      <c r="AK9" s="63">
        <v>20</v>
      </c>
      <c r="AL9" s="64">
        <v>20</v>
      </c>
      <c r="AM9" s="64">
        <v>10</v>
      </c>
      <c r="AN9" s="65">
        <v>50</v>
      </c>
      <c r="AO9" s="63">
        <v>20</v>
      </c>
      <c r="AP9" s="64">
        <v>20</v>
      </c>
      <c r="AQ9" s="64">
        <v>10</v>
      </c>
      <c r="AR9" s="65">
        <v>50</v>
      </c>
      <c r="AS9" s="63">
        <v>20</v>
      </c>
      <c r="AT9" s="64">
        <v>20</v>
      </c>
      <c r="AU9" s="64">
        <v>10</v>
      </c>
      <c r="AV9" s="65">
        <v>50</v>
      </c>
      <c r="AW9" s="63">
        <v>20</v>
      </c>
      <c r="AX9" s="64">
        <v>20</v>
      </c>
      <c r="AY9" s="64">
        <v>10</v>
      </c>
      <c r="AZ9" s="65">
        <v>50</v>
      </c>
      <c r="BA9" s="63">
        <v>20</v>
      </c>
      <c r="BB9" s="64">
        <v>20</v>
      </c>
      <c r="BC9" s="64">
        <v>10</v>
      </c>
      <c r="BD9" s="65">
        <v>50</v>
      </c>
      <c r="BE9" s="501"/>
      <c r="BF9" s="27"/>
      <c r="BG9" s="28"/>
    </row>
    <row r="10" spans="1:60" ht="18" customHeight="1">
      <c r="A10" s="22"/>
      <c r="B10" s="34"/>
      <c r="C10" s="35"/>
      <c r="D10" s="36"/>
      <c r="E10" s="37"/>
      <c r="F10" s="37"/>
      <c r="G10" s="56"/>
      <c r="H10" s="42"/>
      <c r="I10" s="43"/>
      <c r="J10" s="38"/>
      <c r="K10" s="39"/>
      <c r="L10" s="36"/>
      <c r="M10" s="40"/>
      <c r="N10" s="38"/>
      <c r="O10" s="39"/>
      <c r="P10" s="36"/>
      <c r="Q10" s="40"/>
      <c r="R10" s="38"/>
      <c r="S10" s="39"/>
      <c r="T10" s="36"/>
      <c r="U10" s="41"/>
      <c r="V10" s="44"/>
      <c r="W10" s="45"/>
      <c r="X10" s="46"/>
      <c r="Y10" s="52"/>
      <c r="Z10" s="53"/>
      <c r="AA10" s="53"/>
      <c r="AB10" s="54"/>
      <c r="AC10" s="55"/>
      <c r="AD10" s="53"/>
      <c r="AE10" s="53"/>
      <c r="AF10" s="54"/>
      <c r="AG10" s="55"/>
      <c r="AH10" s="53"/>
      <c r="AI10" s="53"/>
      <c r="AJ10" s="54"/>
      <c r="AK10" s="55"/>
      <c r="AL10" s="53"/>
      <c r="AM10" s="53"/>
      <c r="AN10" s="54"/>
      <c r="AO10" s="55"/>
      <c r="AP10" s="53"/>
      <c r="AQ10" s="53"/>
      <c r="AR10" s="54"/>
      <c r="AS10" s="55"/>
      <c r="AT10" s="53"/>
      <c r="AU10" s="53"/>
      <c r="AV10" s="54"/>
      <c r="AW10" s="55"/>
      <c r="AX10" s="53"/>
      <c r="AY10" s="53"/>
      <c r="AZ10" s="54"/>
      <c r="BA10" s="49"/>
      <c r="BB10" s="47"/>
      <c r="BC10" s="53"/>
      <c r="BD10" s="48"/>
      <c r="BE10" s="48"/>
      <c r="BF10" s="51"/>
      <c r="BG10" s="57"/>
      <c r="BH10" s="58"/>
    </row>
    <row r="11" spans="1:60" ht="18" customHeight="1">
      <c r="A11" s="22"/>
      <c r="B11" s="34"/>
      <c r="C11" s="35"/>
      <c r="D11" s="36"/>
      <c r="E11" s="37"/>
      <c r="F11" s="37"/>
      <c r="G11" s="56"/>
      <c r="H11" s="42"/>
      <c r="I11" s="43"/>
      <c r="J11" s="38"/>
      <c r="K11" s="39"/>
      <c r="L11" s="36"/>
      <c r="M11" s="40"/>
      <c r="N11" s="38"/>
      <c r="O11" s="39"/>
      <c r="P11" s="36"/>
      <c r="Q11" s="40"/>
      <c r="R11" s="38"/>
      <c r="S11" s="39"/>
      <c r="T11" s="36"/>
      <c r="U11" s="41"/>
      <c r="V11" s="44"/>
      <c r="W11" s="45"/>
      <c r="X11" s="46"/>
      <c r="Y11" s="52"/>
      <c r="Z11" s="53"/>
      <c r="AA11" s="53"/>
      <c r="AB11" s="54"/>
      <c r="AC11" s="55"/>
      <c r="AD11" s="53"/>
      <c r="AE11" s="53"/>
      <c r="AF11" s="54"/>
      <c r="AG11" s="55"/>
      <c r="AH11" s="53"/>
      <c r="AI11" s="53"/>
      <c r="AJ11" s="54"/>
      <c r="AK11" s="55"/>
      <c r="AL11" s="53"/>
      <c r="AM11" s="53"/>
      <c r="AN11" s="54"/>
      <c r="AO11" s="55"/>
      <c r="AP11" s="53"/>
      <c r="AQ11" s="53"/>
      <c r="AR11" s="54"/>
      <c r="AS11" s="55"/>
      <c r="AT11" s="53"/>
      <c r="AU11" s="53"/>
      <c r="AV11" s="54"/>
      <c r="AW11" s="55"/>
      <c r="AX11" s="53"/>
      <c r="AY11" s="53"/>
      <c r="AZ11" s="54"/>
      <c r="BA11" s="49"/>
      <c r="BB11" s="47"/>
      <c r="BC11" s="53"/>
      <c r="BD11" s="48"/>
      <c r="BE11" s="48"/>
      <c r="BF11" s="51"/>
      <c r="BG11" s="57"/>
      <c r="BH11" s="58"/>
    </row>
    <row r="12" spans="1:60" ht="18" customHeight="1">
      <c r="A12" s="22"/>
      <c r="B12" s="34"/>
      <c r="C12" s="35"/>
      <c r="D12" s="36"/>
      <c r="E12" s="37"/>
      <c r="F12" s="37"/>
      <c r="G12" s="56"/>
      <c r="H12" s="42"/>
      <c r="I12" s="43"/>
      <c r="J12" s="38"/>
      <c r="K12" s="39"/>
      <c r="L12" s="36"/>
      <c r="M12" s="40"/>
      <c r="N12" s="38"/>
      <c r="O12" s="39"/>
      <c r="P12" s="36"/>
      <c r="Q12" s="40"/>
      <c r="R12" s="38"/>
      <c r="S12" s="39"/>
      <c r="T12" s="36"/>
      <c r="U12" s="41"/>
      <c r="V12" s="44"/>
      <c r="W12" s="45"/>
      <c r="X12" s="46"/>
      <c r="Y12" s="52"/>
      <c r="Z12" s="53"/>
      <c r="AA12" s="53"/>
      <c r="AB12" s="54"/>
      <c r="AC12" s="55"/>
      <c r="AD12" s="53"/>
      <c r="AE12" s="53"/>
      <c r="AF12" s="54"/>
      <c r="AG12" s="55"/>
      <c r="AH12" s="53"/>
      <c r="AI12" s="53"/>
      <c r="AJ12" s="54"/>
      <c r="AK12" s="55"/>
      <c r="AL12" s="53"/>
      <c r="AM12" s="53"/>
      <c r="AN12" s="54"/>
      <c r="AO12" s="55"/>
      <c r="AP12" s="53"/>
      <c r="AQ12" s="53"/>
      <c r="AR12" s="54"/>
      <c r="AS12" s="55"/>
      <c r="AT12" s="53"/>
      <c r="AU12" s="53"/>
      <c r="AV12" s="54"/>
      <c r="AW12" s="55"/>
      <c r="AX12" s="53"/>
      <c r="AY12" s="53"/>
      <c r="AZ12" s="54"/>
      <c r="BA12" s="49"/>
      <c r="BB12" s="47"/>
      <c r="BC12" s="53"/>
      <c r="BD12" s="48"/>
      <c r="BE12" s="48"/>
      <c r="BF12" s="51"/>
      <c r="BG12" s="57"/>
      <c r="BH12" s="58"/>
    </row>
    <row r="13" spans="1:60" ht="18" customHeight="1">
      <c r="A13" s="22"/>
      <c r="B13" s="34"/>
      <c r="C13" s="35"/>
      <c r="D13" s="36"/>
      <c r="E13" s="37"/>
      <c r="F13" s="37"/>
      <c r="G13" s="56"/>
      <c r="H13" s="42"/>
      <c r="I13" s="43"/>
      <c r="J13" s="38"/>
      <c r="K13" s="39"/>
      <c r="L13" s="36"/>
      <c r="M13" s="40"/>
      <c r="N13" s="38"/>
      <c r="O13" s="39"/>
      <c r="P13" s="36"/>
      <c r="Q13" s="40"/>
      <c r="R13" s="38"/>
      <c r="S13" s="39"/>
      <c r="T13" s="36"/>
      <c r="U13" s="41"/>
      <c r="V13" s="44"/>
      <c r="W13" s="45"/>
      <c r="X13" s="46"/>
      <c r="Y13" s="52"/>
      <c r="Z13" s="53"/>
      <c r="AA13" s="53"/>
      <c r="AB13" s="54"/>
      <c r="AC13" s="55"/>
      <c r="AD13" s="53"/>
      <c r="AE13" s="53"/>
      <c r="AF13" s="54"/>
      <c r="AG13" s="55"/>
      <c r="AH13" s="53"/>
      <c r="AI13" s="53"/>
      <c r="AJ13" s="54"/>
      <c r="AK13" s="55"/>
      <c r="AL13" s="53"/>
      <c r="AM13" s="53"/>
      <c r="AN13" s="54"/>
      <c r="AO13" s="55"/>
      <c r="AP13" s="53"/>
      <c r="AQ13" s="53"/>
      <c r="AR13" s="54"/>
      <c r="AS13" s="55"/>
      <c r="AT13" s="53"/>
      <c r="AU13" s="53"/>
      <c r="AV13" s="54"/>
      <c r="AW13" s="55"/>
      <c r="AX13" s="53"/>
      <c r="AY13" s="53"/>
      <c r="AZ13" s="54"/>
      <c r="BA13" s="49"/>
      <c r="BB13" s="47"/>
      <c r="BC13" s="53"/>
      <c r="BD13" s="48"/>
      <c r="BE13" s="48"/>
      <c r="BF13" s="51"/>
      <c r="BG13" s="57"/>
      <c r="BH13" s="58"/>
    </row>
    <row r="14" spans="1:60" ht="23.1" customHeight="1">
      <c r="A14" s="22"/>
      <c r="B14" s="34"/>
      <c r="C14" s="35"/>
      <c r="D14" s="36"/>
      <c r="E14" s="37"/>
      <c r="F14" s="37"/>
      <c r="G14" s="56"/>
      <c r="H14" s="42"/>
      <c r="I14" s="43"/>
      <c r="J14" s="38"/>
      <c r="K14" s="39"/>
      <c r="L14" s="36"/>
      <c r="M14" s="40"/>
      <c r="N14" s="38"/>
      <c r="O14" s="39"/>
      <c r="P14" s="36"/>
      <c r="Q14" s="40"/>
      <c r="R14" s="38"/>
      <c r="S14" s="39"/>
      <c r="T14" s="36"/>
      <c r="U14" s="41"/>
      <c r="V14" s="44"/>
      <c r="W14" s="45"/>
      <c r="X14" s="46"/>
      <c r="Y14" s="52"/>
      <c r="Z14" s="53"/>
      <c r="AA14" s="53"/>
      <c r="AB14" s="54"/>
      <c r="AC14" s="55"/>
      <c r="AD14" s="53"/>
      <c r="AE14" s="53"/>
      <c r="AF14" s="54"/>
      <c r="AG14" s="55"/>
      <c r="AH14" s="53"/>
      <c r="AI14" s="53"/>
      <c r="AJ14" s="54"/>
      <c r="AK14" s="55"/>
      <c r="AL14" s="53"/>
      <c r="AM14" s="53"/>
      <c r="AN14" s="54"/>
      <c r="AO14" s="55"/>
      <c r="AP14" s="53"/>
      <c r="AQ14" s="53"/>
      <c r="AR14" s="54"/>
      <c r="AS14" s="55"/>
      <c r="AT14" s="53"/>
      <c r="AU14" s="53"/>
      <c r="AV14" s="54"/>
      <c r="AW14" s="55"/>
      <c r="AX14" s="53"/>
      <c r="AY14" s="53"/>
      <c r="AZ14" s="54"/>
      <c r="BA14" s="49"/>
      <c r="BB14" s="47"/>
      <c r="BC14" s="53"/>
      <c r="BD14" s="50"/>
      <c r="BE14" s="48"/>
      <c r="BF14" s="51"/>
      <c r="BG14" s="57"/>
      <c r="BH14" s="58"/>
    </row>
    <row r="15" spans="1:60" ht="23.1" customHeight="1">
      <c r="A15" s="22"/>
      <c r="B15" s="34"/>
      <c r="C15" s="35"/>
      <c r="D15" s="36"/>
      <c r="E15" s="37"/>
      <c r="F15" s="37"/>
      <c r="G15" s="56"/>
      <c r="H15" s="42"/>
      <c r="I15" s="43"/>
      <c r="J15" s="38"/>
      <c r="K15" s="39"/>
      <c r="L15" s="36"/>
      <c r="M15" s="40"/>
      <c r="N15" s="38"/>
      <c r="O15" s="39"/>
      <c r="P15" s="36"/>
      <c r="Q15" s="40"/>
      <c r="R15" s="38"/>
      <c r="S15" s="39"/>
      <c r="T15" s="36"/>
      <c r="U15" s="41"/>
      <c r="V15" s="44"/>
      <c r="W15" s="45"/>
      <c r="X15" s="46"/>
      <c r="Y15" s="52"/>
      <c r="Z15" s="53"/>
      <c r="AA15" s="53"/>
      <c r="AB15" s="54"/>
      <c r="AC15" s="55"/>
      <c r="AD15" s="53"/>
      <c r="AE15" s="53"/>
      <c r="AF15" s="54"/>
      <c r="AG15" s="55"/>
      <c r="AH15" s="53"/>
      <c r="AI15" s="53"/>
      <c r="AJ15" s="54"/>
      <c r="AK15" s="55"/>
      <c r="AL15" s="53"/>
      <c r="AM15" s="53"/>
      <c r="AN15" s="54"/>
      <c r="AO15" s="55"/>
      <c r="AP15" s="53"/>
      <c r="AQ15" s="53"/>
      <c r="AR15" s="54"/>
      <c r="AS15" s="55"/>
      <c r="AT15" s="53"/>
      <c r="AU15" s="53"/>
      <c r="AV15" s="54"/>
      <c r="AW15" s="55"/>
      <c r="AX15" s="53"/>
      <c r="AY15" s="53"/>
      <c r="AZ15" s="54"/>
      <c r="BA15" s="49"/>
      <c r="BB15" s="47"/>
      <c r="BC15" s="53"/>
      <c r="BD15" s="50"/>
      <c r="BE15" s="48"/>
      <c r="BF15" s="51"/>
      <c r="BG15" s="57"/>
      <c r="BH15" s="58"/>
    </row>
    <row r="16" spans="1:60" ht="23.1" customHeight="1">
      <c r="A16" s="22"/>
      <c r="B16" s="34"/>
      <c r="C16" s="35"/>
      <c r="D16" s="36"/>
      <c r="E16" s="37"/>
      <c r="F16" s="37"/>
      <c r="G16" s="56"/>
      <c r="H16" s="42"/>
      <c r="I16" s="43"/>
      <c r="J16" s="38"/>
      <c r="K16" s="39"/>
      <c r="L16" s="36"/>
      <c r="M16" s="40"/>
      <c r="N16" s="38"/>
      <c r="O16" s="39"/>
      <c r="P16" s="36"/>
      <c r="Q16" s="40"/>
      <c r="R16" s="38"/>
      <c r="S16" s="39"/>
      <c r="T16" s="36"/>
      <c r="U16" s="41"/>
      <c r="V16" s="44"/>
      <c r="W16" s="45"/>
      <c r="X16" s="46"/>
      <c r="Y16" s="52"/>
      <c r="Z16" s="53"/>
      <c r="AA16" s="53"/>
      <c r="AB16" s="54"/>
      <c r="AC16" s="55"/>
      <c r="AD16" s="53"/>
      <c r="AE16" s="53"/>
      <c r="AF16" s="54"/>
      <c r="AG16" s="55"/>
      <c r="AH16" s="53"/>
      <c r="AI16" s="53"/>
      <c r="AJ16" s="54"/>
      <c r="AK16" s="55"/>
      <c r="AL16" s="53"/>
      <c r="AM16" s="53"/>
      <c r="AN16" s="54"/>
      <c r="AO16" s="55"/>
      <c r="AP16" s="53"/>
      <c r="AQ16" s="53"/>
      <c r="AR16" s="54"/>
      <c r="AS16" s="55"/>
      <c r="AT16" s="53"/>
      <c r="AU16" s="53"/>
      <c r="AV16" s="54"/>
      <c r="AW16" s="55"/>
      <c r="AX16" s="53"/>
      <c r="AY16" s="53"/>
      <c r="AZ16" s="54"/>
      <c r="BA16" s="49"/>
      <c r="BB16" s="47"/>
      <c r="BC16" s="53"/>
      <c r="BD16" s="50"/>
      <c r="BE16" s="48"/>
      <c r="BF16" s="51"/>
      <c r="BG16" s="57"/>
      <c r="BH16" s="58"/>
    </row>
    <row r="17" spans="1:60" ht="23.1" customHeight="1">
      <c r="A17" s="22"/>
      <c r="B17" s="34"/>
      <c r="C17" s="35"/>
      <c r="D17" s="36"/>
      <c r="E17" s="37"/>
      <c r="F17" s="37"/>
      <c r="G17" s="56"/>
      <c r="H17" s="42"/>
      <c r="I17" s="43"/>
      <c r="J17" s="38"/>
      <c r="K17" s="39"/>
      <c r="L17" s="36"/>
      <c r="M17" s="40"/>
      <c r="N17" s="38"/>
      <c r="O17" s="39"/>
      <c r="P17" s="36"/>
      <c r="Q17" s="40"/>
      <c r="R17" s="38"/>
      <c r="S17" s="39"/>
      <c r="T17" s="36"/>
      <c r="U17" s="41"/>
      <c r="V17" s="44"/>
      <c r="W17" s="45"/>
      <c r="X17" s="46"/>
      <c r="Y17" s="52"/>
      <c r="Z17" s="53"/>
      <c r="AA17" s="53"/>
      <c r="AB17" s="54"/>
      <c r="AC17" s="55"/>
      <c r="AD17" s="53"/>
      <c r="AE17" s="53"/>
      <c r="AF17" s="54"/>
      <c r="AG17" s="55"/>
      <c r="AH17" s="53"/>
      <c r="AI17" s="53"/>
      <c r="AJ17" s="54"/>
      <c r="AK17" s="55"/>
      <c r="AL17" s="53"/>
      <c r="AM17" s="53"/>
      <c r="AN17" s="54"/>
      <c r="AO17" s="55"/>
      <c r="AP17" s="53"/>
      <c r="AQ17" s="53"/>
      <c r="AR17" s="54"/>
      <c r="AS17" s="55"/>
      <c r="AT17" s="53"/>
      <c r="AU17" s="53"/>
      <c r="AV17" s="54"/>
      <c r="AW17" s="55"/>
      <c r="AX17" s="53"/>
      <c r="AY17" s="53"/>
      <c r="AZ17" s="54"/>
      <c r="BA17" s="49"/>
      <c r="BB17" s="47"/>
      <c r="BC17" s="53"/>
      <c r="BD17" s="50"/>
      <c r="BE17" s="48"/>
      <c r="BF17" s="51"/>
      <c r="BG17" s="57"/>
      <c r="BH17" s="58"/>
    </row>
    <row r="18" spans="1:60" ht="23.1" customHeight="1">
      <c r="A18" s="22"/>
      <c r="B18" s="34"/>
      <c r="C18" s="35"/>
      <c r="D18" s="36"/>
      <c r="E18" s="37"/>
      <c r="F18" s="37"/>
      <c r="G18" s="56"/>
      <c r="H18" s="42"/>
      <c r="I18" s="43"/>
      <c r="J18" s="38"/>
      <c r="K18" s="39"/>
      <c r="L18" s="36"/>
      <c r="M18" s="40"/>
      <c r="N18" s="38"/>
      <c r="O18" s="39"/>
      <c r="P18" s="36"/>
      <c r="Q18" s="40"/>
      <c r="R18" s="38"/>
      <c r="S18" s="39"/>
      <c r="T18" s="36"/>
      <c r="U18" s="41"/>
      <c r="V18" s="44"/>
      <c r="W18" s="45"/>
      <c r="X18" s="46"/>
      <c r="Y18" s="52"/>
      <c r="Z18" s="53"/>
      <c r="AA18" s="53"/>
      <c r="AB18" s="54"/>
      <c r="AC18" s="55"/>
      <c r="AD18" s="53"/>
      <c r="AE18" s="53"/>
      <c r="AF18" s="54"/>
      <c r="AG18" s="55"/>
      <c r="AH18" s="53"/>
      <c r="AI18" s="53"/>
      <c r="AJ18" s="54"/>
      <c r="AK18" s="55"/>
      <c r="AL18" s="53"/>
      <c r="AM18" s="53"/>
      <c r="AN18" s="54"/>
      <c r="AO18" s="55"/>
      <c r="AP18" s="53"/>
      <c r="AQ18" s="53"/>
      <c r="AR18" s="54"/>
      <c r="AS18" s="55"/>
      <c r="AT18" s="53"/>
      <c r="AU18" s="53"/>
      <c r="AV18" s="54"/>
      <c r="AW18" s="55"/>
      <c r="AX18" s="53"/>
      <c r="AY18" s="53"/>
      <c r="AZ18" s="54"/>
      <c r="BA18" s="49"/>
      <c r="BB18" s="47"/>
      <c r="BC18" s="53"/>
      <c r="BD18" s="50"/>
      <c r="BE18" s="48"/>
      <c r="BF18" s="51"/>
      <c r="BG18" s="57"/>
      <c r="BH18" s="58"/>
    </row>
    <row r="19" spans="1:60" ht="23.1" customHeight="1">
      <c r="A19" s="22"/>
      <c r="B19" s="34"/>
      <c r="C19" s="35"/>
      <c r="D19" s="36"/>
      <c r="E19" s="37"/>
      <c r="F19" s="37"/>
      <c r="G19" s="56"/>
      <c r="H19" s="42"/>
      <c r="I19" s="43"/>
      <c r="J19" s="38"/>
      <c r="K19" s="39"/>
      <c r="L19" s="36"/>
      <c r="M19" s="40"/>
      <c r="N19" s="38"/>
      <c r="O19" s="39"/>
      <c r="P19" s="36"/>
      <c r="Q19" s="40"/>
      <c r="R19" s="38"/>
      <c r="S19" s="39"/>
      <c r="T19" s="36"/>
      <c r="U19" s="41"/>
      <c r="V19" s="44"/>
      <c r="W19" s="45"/>
      <c r="X19" s="46"/>
      <c r="Y19" s="52"/>
      <c r="Z19" s="53"/>
      <c r="AA19" s="53"/>
      <c r="AB19" s="54"/>
      <c r="AC19" s="55"/>
      <c r="AD19" s="53"/>
      <c r="AE19" s="53"/>
      <c r="AF19" s="54"/>
      <c r="AG19" s="55"/>
      <c r="AH19" s="53"/>
      <c r="AI19" s="53"/>
      <c r="AJ19" s="54"/>
      <c r="AK19" s="55"/>
      <c r="AL19" s="53"/>
      <c r="AM19" s="53"/>
      <c r="AN19" s="54"/>
      <c r="AO19" s="55"/>
      <c r="AP19" s="53"/>
      <c r="AQ19" s="53"/>
      <c r="AR19" s="54"/>
      <c r="AS19" s="55"/>
      <c r="AT19" s="53"/>
      <c r="AU19" s="53"/>
      <c r="AV19" s="54"/>
      <c r="AW19" s="55"/>
      <c r="AX19" s="53"/>
      <c r="AY19" s="53"/>
      <c r="AZ19" s="54"/>
      <c r="BA19" s="49"/>
      <c r="BB19" s="47"/>
      <c r="BC19" s="53"/>
      <c r="BD19" s="50"/>
      <c r="BE19" s="48"/>
      <c r="BF19" s="51"/>
      <c r="BG19" s="57"/>
      <c r="BH19" s="58"/>
    </row>
    <row r="20" spans="1:60" ht="23.1" customHeight="1">
      <c r="A20" s="22"/>
      <c r="B20" s="34"/>
      <c r="C20" s="35"/>
      <c r="D20" s="36"/>
      <c r="E20" s="37"/>
      <c r="F20" s="37"/>
      <c r="G20" s="56"/>
      <c r="H20" s="42"/>
      <c r="I20" s="43"/>
      <c r="J20" s="38"/>
      <c r="K20" s="39"/>
      <c r="L20" s="36"/>
      <c r="M20" s="40"/>
      <c r="N20" s="38"/>
      <c r="O20" s="39"/>
      <c r="P20" s="36"/>
      <c r="Q20" s="40"/>
      <c r="R20" s="38"/>
      <c r="S20" s="39"/>
      <c r="T20" s="36"/>
      <c r="U20" s="41"/>
      <c r="V20" s="44"/>
      <c r="W20" s="45"/>
      <c r="X20" s="46"/>
      <c r="Y20" s="52"/>
      <c r="Z20" s="53"/>
      <c r="AA20" s="53"/>
      <c r="AB20" s="54"/>
      <c r="AC20" s="55"/>
      <c r="AD20" s="53"/>
      <c r="AE20" s="53"/>
      <c r="AF20" s="54"/>
      <c r="AG20" s="55"/>
      <c r="AH20" s="53"/>
      <c r="AI20" s="53"/>
      <c r="AJ20" s="54"/>
      <c r="AK20" s="55"/>
      <c r="AL20" s="53"/>
      <c r="AM20" s="53"/>
      <c r="AN20" s="54"/>
      <c r="AO20" s="55"/>
      <c r="AP20" s="53"/>
      <c r="AQ20" s="53"/>
      <c r="AR20" s="54"/>
      <c r="AS20" s="55"/>
      <c r="AT20" s="53"/>
      <c r="AU20" s="53"/>
      <c r="AV20" s="54"/>
      <c r="AW20" s="55"/>
      <c r="AX20" s="53"/>
      <c r="AY20" s="53"/>
      <c r="AZ20" s="54"/>
      <c r="BA20" s="49"/>
      <c r="BB20" s="47"/>
      <c r="BC20" s="53"/>
      <c r="BD20" s="50"/>
      <c r="BE20" s="48"/>
      <c r="BF20" s="51"/>
      <c r="BG20" s="57"/>
      <c r="BH20" s="58"/>
    </row>
    <row r="21" spans="1:60" ht="23.1" customHeight="1">
      <c r="A21" s="22"/>
      <c r="B21" s="34"/>
      <c r="C21" s="35"/>
      <c r="D21" s="36"/>
      <c r="E21" s="37"/>
      <c r="F21" s="37"/>
      <c r="G21" s="56"/>
      <c r="H21" s="42"/>
      <c r="I21" s="43"/>
      <c r="J21" s="38"/>
      <c r="K21" s="39"/>
      <c r="L21" s="36"/>
      <c r="M21" s="40"/>
      <c r="N21" s="38"/>
      <c r="O21" s="39"/>
      <c r="P21" s="36"/>
      <c r="Q21" s="40"/>
      <c r="R21" s="38"/>
      <c r="S21" s="39"/>
      <c r="T21" s="36"/>
      <c r="U21" s="41"/>
      <c r="V21" s="44"/>
      <c r="W21" s="45"/>
      <c r="X21" s="46"/>
      <c r="Y21" s="52"/>
      <c r="Z21" s="53"/>
      <c r="AA21" s="53"/>
      <c r="AB21" s="54"/>
      <c r="AC21" s="55"/>
      <c r="AD21" s="53"/>
      <c r="AE21" s="53"/>
      <c r="AF21" s="54"/>
      <c r="AG21" s="55"/>
      <c r="AH21" s="53"/>
      <c r="AI21" s="53"/>
      <c r="AJ21" s="54"/>
      <c r="AK21" s="55"/>
      <c r="AL21" s="53"/>
      <c r="AM21" s="53"/>
      <c r="AN21" s="54"/>
      <c r="AO21" s="55"/>
      <c r="AP21" s="53"/>
      <c r="AQ21" s="53"/>
      <c r="AR21" s="54"/>
      <c r="AS21" s="55"/>
      <c r="AT21" s="53"/>
      <c r="AU21" s="53"/>
      <c r="AV21" s="54"/>
      <c r="AW21" s="55"/>
      <c r="AX21" s="53"/>
      <c r="AY21" s="53"/>
      <c r="AZ21" s="54"/>
      <c r="BA21" s="49"/>
      <c r="BB21" s="47"/>
      <c r="BC21" s="53"/>
      <c r="BD21" s="50"/>
      <c r="BE21" s="48"/>
      <c r="BF21" s="51"/>
      <c r="BG21" s="57"/>
      <c r="BH21" s="58"/>
    </row>
    <row r="22" spans="1:60" ht="23.1" customHeight="1">
      <c r="A22" s="22"/>
      <c r="B22" s="34"/>
      <c r="C22" s="35"/>
      <c r="D22" s="36"/>
      <c r="E22" s="37"/>
      <c r="F22" s="37"/>
      <c r="G22" s="56"/>
      <c r="H22" s="42"/>
      <c r="I22" s="43"/>
      <c r="J22" s="38"/>
      <c r="K22" s="39"/>
      <c r="L22" s="36"/>
      <c r="M22" s="40"/>
      <c r="N22" s="38"/>
      <c r="O22" s="39"/>
      <c r="P22" s="36"/>
      <c r="Q22" s="40"/>
      <c r="R22" s="38"/>
      <c r="S22" s="39"/>
      <c r="T22" s="36"/>
      <c r="U22" s="41"/>
      <c r="V22" s="44"/>
      <c r="W22" s="45"/>
      <c r="X22" s="46"/>
      <c r="Y22" s="52"/>
      <c r="Z22" s="53"/>
      <c r="AA22" s="53"/>
      <c r="AB22" s="54"/>
      <c r="AC22" s="55"/>
      <c r="AD22" s="53"/>
      <c r="AE22" s="53"/>
      <c r="AF22" s="54"/>
      <c r="AG22" s="55"/>
      <c r="AH22" s="53"/>
      <c r="AI22" s="53"/>
      <c r="AJ22" s="54"/>
      <c r="AK22" s="55"/>
      <c r="AL22" s="53"/>
      <c r="AM22" s="53"/>
      <c r="AN22" s="54"/>
      <c r="AO22" s="55"/>
      <c r="AP22" s="53"/>
      <c r="AQ22" s="53"/>
      <c r="AR22" s="54"/>
      <c r="AS22" s="55"/>
      <c r="AT22" s="53"/>
      <c r="AU22" s="53"/>
      <c r="AV22" s="54"/>
      <c r="AW22" s="55"/>
      <c r="AX22" s="53"/>
      <c r="AY22" s="53"/>
      <c r="AZ22" s="54"/>
      <c r="BA22" s="49"/>
      <c r="BB22" s="47"/>
      <c r="BC22" s="53"/>
      <c r="BD22" s="50"/>
      <c r="BE22" s="48"/>
      <c r="BF22" s="51"/>
      <c r="BG22" s="57"/>
      <c r="BH22" s="58"/>
    </row>
    <row r="23" spans="1:60" ht="23.1" customHeight="1">
      <c r="A23" s="22"/>
      <c r="B23" s="34"/>
      <c r="C23" s="35"/>
      <c r="D23" s="36"/>
      <c r="E23" s="37"/>
      <c r="F23" s="37"/>
      <c r="G23" s="56"/>
      <c r="H23" s="42"/>
      <c r="I23" s="43"/>
      <c r="J23" s="38"/>
      <c r="K23" s="39"/>
      <c r="L23" s="36"/>
      <c r="M23" s="40"/>
      <c r="N23" s="38"/>
      <c r="O23" s="39"/>
      <c r="P23" s="36"/>
      <c r="Q23" s="40"/>
      <c r="R23" s="38"/>
      <c r="S23" s="39"/>
      <c r="T23" s="36"/>
      <c r="U23" s="41"/>
      <c r="V23" s="44"/>
      <c r="W23" s="45"/>
      <c r="X23" s="46"/>
      <c r="Y23" s="52"/>
      <c r="Z23" s="53"/>
      <c r="AA23" s="53"/>
      <c r="AB23" s="54"/>
      <c r="AC23" s="55"/>
      <c r="AD23" s="53"/>
      <c r="AE23" s="53"/>
      <c r="AF23" s="54"/>
      <c r="AG23" s="55"/>
      <c r="AH23" s="53"/>
      <c r="AI23" s="53"/>
      <c r="AJ23" s="54"/>
      <c r="AK23" s="55"/>
      <c r="AL23" s="53"/>
      <c r="AM23" s="53"/>
      <c r="AN23" s="54"/>
      <c r="AO23" s="55"/>
      <c r="AP23" s="53"/>
      <c r="AQ23" s="53"/>
      <c r="AR23" s="54"/>
      <c r="AS23" s="55"/>
      <c r="AT23" s="53"/>
      <c r="AU23" s="53"/>
      <c r="AV23" s="54"/>
      <c r="AW23" s="55"/>
      <c r="AX23" s="53"/>
      <c r="AY23" s="53"/>
      <c r="AZ23" s="54"/>
      <c r="BA23" s="49"/>
      <c r="BB23" s="47"/>
      <c r="BC23" s="53"/>
      <c r="BD23" s="50"/>
      <c r="BE23" s="48"/>
      <c r="BF23" s="51"/>
      <c r="BG23" s="57"/>
      <c r="BH23" s="58"/>
    </row>
    <row r="24" spans="1:60" ht="23.1" customHeight="1">
      <c r="A24" s="22"/>
      <c r="B24" s="34"/>
      <c r="C24" s="35"/>
      <c r="D24" s="36"/>
      <c r="E24" s="37"/>
      <c r="F24" s="37"/>
      <c r="G24" s="56"/>
      <c r="H24" s="42"/>
      <c r="I24" s="43"/>
      <c r="J24" s="38"/>
      <c r="K24" s="39"/>
      <c r="L24" s="36"/>
      <c r="M24" s="40"/>
      <c r="N24" s="38"/>
      <c r="O24" s="39"/>
      <c r="P24" s="36"/>
      <c r="Q24" s="40"/>
      <c r="R24" s="38"/>
      <c r="S24" s="39"/>
      <c r="T24" s="36"/>
      <c r="U24" s="41"/>
      <c r="V24" s="44"/>
      <c r="W24" s="45"/>
      <c r="X24" s="46"/>
      <c r="Y24" s="52"/>
      <c r="Z24" s="53"/>
      <c r="AA24" s="53"/>
      <c r="AB24" s="54"/>
      <c r="AC24" s="55"/>
      <c r="AD24" s="53"/>
      <c r="AE24" s="53"/>
      <c r="AF24" s="54"/>
      <c r="AG24" s="55"/>
      <c r="AH24" s="53"/>
      <c r="AI24" s="53"/>
      <c r="AJ24" s="54"/>
      <c r="AK24" s="55"/>
      <c r="AL24" s="53"/>
      <c r="AM24" s="53"/>
      <c r="AN24" s="54"/>
      <c r="AO24" s="55"/>
      <c r="AP24" s="53"/>
      <c r="AQ24" s="53"/>
      <c r="AR24" s="54"/>
      <c r="AS24" s="55"/>
      <c r="AT24" s="53"/>
      <c r="AU24" s="53"/>
      <c r="AV24" s="54"/>
      <c r="AW24" s="55"/>
      <c r="AX24" s="53"/>
      <c r="AY24" s="53"/>
      <c r="AZ24" s="54"/>
      <c r="BA24" s="49"/>
      <c r="BB24" s="47"/>
      <c r="BC24" s="53"/>
      <c r="BD24" s="50"/>
      <c r="BE24" s="48"/>
      <c r="BF24" s="51"/>
      <c r="BG24" s="57"/>
      <c r="BH24" s="58"/>
    </row>
    <row r="25" spans="1:60" ht="23.1" customHeight="1">
      <c r="A25" s="22"/>
      <c r="B25" s="34"/>
      <c r="C25" s="35"/>
      <c r="D25" s="36"/>
      <c r="E25" s="37"/>
      <c r="F25" s="37"/>
      <c r="G25" s="56"/>
      <c r="H25" s="42"/>
      <c r="I25" s="43"/>
      <c r="J25" s="38"/>
      <c r="K25" s="39"/>
      <c r="L25" s="36"/>
      <c r="M25" s="40"/>
      <c r="N25" s="38"/>
      <c r="O25" s="39"/>
      <c r="P25" s="36"/>
      <c r="Q25" s="40"/>
      <c r="R25" s="38"/>
      <c r="S25" s="39"/>
      <c r="T25" s="36"/>
      <c r="U25" s="41"/>
      <c r="V25" s="44"/>
      <c r="W25" s="45"/>
      <c r="X25" s="46"/>
      <c r="Y25" s="52"/>
      <c r="Z25" s="53"/>
      <c r="AA25" s="53"/>
      <c r="AB25" s="54"/>
      <c r="AC25" s="55"/>
      <c r="AD25" s="53"/>
      <c r="AE25" s="53"/>
      <c r="AF25" s="54"/>
      <c r="AG25" s="55"/>
      <c r="AH25" s="53"/>
      <c r="AI25" s="53"/>
      <c r="AJ25" s="54"/>
      <c r="AK25" s="55"/>
      <c r="AL25" s="53"/>
      <c r="AM25" s="53"/>
      <c r="AN25" s="54"/>
      <c r="AO25" s="55"/>
      <c r="AP25" s="53"/>
      <c r="AQ25" s="53"/>
      <c r="AR25" s="54"/>
      <c r="AS25" s="55"/>
      <c r="AT25" s="53"/>
      <c r="AU25" s="53"/>
      <c r="AV25" s="54"/>
      <c r="AW25" s="55"/>
      <c r="AX25" s="53"/>
      <c r="AY25" s="53"/>
      <c r="AZ25" s="54"/>
      <c r="BA25" s="49"/>
      <c r="BB25" s="47"/>
      <c r="BC25" s="53"/>
      <c r="BD25" s="50"/>
      <c r="BE25" s="48"/>
      <c r="BF25" s="51"/>
      <c r="BG25" s="57"/>
      <c r="BH25" s="58"/>
    </row>
    <row r="26" spans="1:60" ht="23.1" customHeight="1">
      <c r="A26" s="22"/>
      <c r="B26" s="34"/>
      <c r="C26" s="35"/>
      <c r="D26" s="36"/>
      <c r="E26" s="37"/>
      <c r="F26" s="37"/>
      <c r="G26" s="56"/>
      <c r="H26" s="42"/>
      <c r="I26" s="43"/>
      <c r="J26" s="38"/>
      <c r="K26" s="39"/>
      <c r="L26" s="36"/>
      <c r="M26" s="40"/>
      <c r="N26" s="38"/>
      <c r="O26" s="39"/>
      <c r="P26" s="36"/>
      <c r="Q26" s="40"/>
      <c r="R26" s="38"/>
      <c r="S26" s="39"/>
      <c r="T26" s="36"/>
      <c r="U26" s="41"/>
      <c r="V26" s="44"/>
      <c r="W26" s="45"/>
      <c r="X26" s="46"/>
      <c r="Y26" s="52"/>
      <c r="Z26" s="53"/>
      <c r="AA26" s="53"/>
      <c r="AB26" s="54"/>
      <c r="AC26" s="55"/>
      <c r="AD26" s="53"/>
      <c r="AE26" s="53"/>
      <c r="AF26" s="54"/>
      <c r="AG26" s="55"/>
      <c r="AH26" s="53"/>
      <c r="AI26" s="53"/>
      <c r="AJ26" s="54"/>
      <c r="AK26" s="55"/>
      <c r="AL26" s="53"/>
      <c r="AM26" s="53"/>
      <c r="AN26" s="54"/>
      <c r="AO26" s="55"/>
      <c r="AP26" s="53"/>
      <c r="AQ26" s="53"/>
      <c r="AR26" s="54"/>
      <c r="AS26" s="55"/>
      <c r="AT26" s="53"/>
      <c r="AU26" s="53"/>
      <c r="AV26" s="54"/>
      <c r="AW26" s="55"/>
      <c r="AX26" s="53"/>
      <c r="AY26" s="53"/>
      <c r="AZ26" s="54"/>
      <c r="BA26" s="49"/>
      <c r="BB26" s="47"/>
      <c r="BC26" s="53"/>
      <c r="BD26" s="50"/>
      <c r="BE26" s="48"/>
      <c r="BF26" s="51"/>
      <c r="BG26" s="57"/>
      <c r="BH26" s="58"/>
    </row>
    <row r="27" spans="1:60" ht="23.1" customHeight="1">
      <c r="A27" s="22"/>
      <c r="B27" s="34"/>
      <c r="C27" s="35"/>
      <c r="D27" s="36"/>
      <c r="E27" s="37"/>
      <c r="F27" s="37"/>
      <c r="G27" s="56"/>
      <c r="H27" s="42"/>
      <c r="I27" s="43"/>
      <c r="J27" s="38"/>
      <c r="K27" s="39"/>
      <c r="L27" s="36"/>
      <c r="M27" s="40"/>
      <c r="N27" s="38"/>
      <c r="O27" s="39"/>
      <c r="P27" s="36"/>
      <c r="Q27" s="40"/>
      <c r="R27" s="38"/>
      <c r="S27" s="39"/>
      <c r="T27" s="36"/>
      <c r="U27" s="41"/>
      <c r="V27" s="44"/>
      <c r="W27" s="45"/>
      <c r="X27" s="46"/>
      <c r="Y27" s="52"/>
      <c r="Z27" s="53"/>
      <c r="AA27" s="53"/>
      <c r="AB27" s="54"/>
      <c r="AC27" s="55"/>
      <c r="AD27" s="53"/>
      <c r="AE27" s="53"/>
      <c r="AF27" s="54"/>
      <c r="AG27" s="55"/>
      <c r="AH27" s="53"/>
      <c r="AI27" s="53"/>
      <c r="AJ27" s="54"/>
      <c r="AK27" s="55"/>
      <c r="AL27" s="53"/>
      <c r="AM27" s="53"/>
      <c r="AN27" s="54"/>
      <c r="AO27" s="55"/>
      <c r="AP27" s="53"/>
      <c r="AQ27" s="53"/>
      <c r="AR27" s="54"/>
      <c r="AS27" s="55"/>
      <c r="AT27" s="53"/>
      <c r="AU27" s="53"/>
      <c r="AV27" s="54"/>
      <c r="AW27" s="55"/>
      <c r="AX27" s="53"/>
      <c r="AY27" s="53"/>
      <c r="AZ27" s="54"/>
      <c r="BA27" s="49"/>
      <c r="BB27" s="47"/>
      <c r="BC27" s="53"/>
      <c r="BD27" s="50"/>
      <c r="BE27" s="48"/>
      <c r="BF27" s="51"/>
      <c r="BG27" s="57"/>
      <c r="BH27" s="58"/>
    </row>
    <row r="28" spans="1:60" ht="23.1" customHeight="1">
      <c r="A28" s="22"/>
      <c r="B28" s="34"/>
      <c r="C28" s="35"/>
      <c r="D28" s="36"/>
      <c r="E28" s="37"/>
      <c r="F28" s="37"/>
      <c r="G28" s="56"/>
      <c r="H28" s="42"/>
      <c r="I28" s="43"/>
      <c r="J28" s="38"/>
      <c r="K28" s="39"/>
      <c r="L28" s="36"/>
      <c r="M28" s="40"/>
      <c r="N28" s="38"/>
      <c r="O28" s="39"/>
      <c r="P28" s="36"/>
      <c r="Q28" s="40"/>
      <c r="R28" s="38"/>
      <c r="S28" s="39"/>
      <c r="T28" s="36"/>
      <c r="U28" s="41"/>
      <c r="V28" s="44"/>
      <c r="W28" s="45"/>
      <c r="X28" s="46"/>
      <c r="Y28" s="52"/>
      <c r="Z28" s="53"/>
      <c r="AA28" s="53"/>
      <c r="AB28" s="54"/>
      <c r="AC28" s="55"/>
      <c r="AD28" s="53"/>
      <c r="AE28" s="53"/>
      <c r="AF28" s="54"/>
      <c r="AG28" s="55"/>
      <c r="AH28" s="53"/>
      <c r="AI28" s="53"/>
      <c r="AJ28" s="54"/>
      <c r="AK28" s="55"/>
      <c r="AL28" s="53"/>
      <c r="AM28" s="53"/>
      <c r="AN28" s="54"/>
      <c r="AO28" s="55"/>
      <c r="AP28" s="53"/>
      <c r="AQ28" s="53"/>
      <c r="AR28" s="54"/>
      <c r="AS28" s="55"/>
      <c r="AT28" s="53"/>
      <c r="AU28" s="53"/>
      <c r="AV28" s="54"/>
      <c r="AW28" s="55"/>
      <c r="AX28" s="53"/>
      <c r="AY28" s="53"/>
      <c r="AZ28" s="54"/>
      <c r="BA28" s="49"/>
      <c r="BB28" s="47"/>
      <c r="BC28" s="53"/>
      <c r="BD28" s="50"/>
      <c r="BE28" s="48"/>
      <c r="BF28" s="51"/>
      <c r="BG28" s="57"/>
      <c r="BH28" s="58"/>
    </row>
    <row r="29" spans="1:60" ht="23.1" customHeight="1">
      <c r="A29" s="22"/>
      <c r="B29" s="34"/>
      <c r="C29" s="35"/>
      <c r="D29" s="36"/>
      <c r="E29" s="37"/>
      <c r="F29" s="37"/>
      <c r="G29" s="56"/>
      <c r="H29" s="42"/>
      <c r="I29" s="43"/>
      <c r="J29" s="38"/>
      <c r="K29" s="39"/>
      <c r="L29" s="36"/>
      <c r="M29" s="40"/>
      <c r="N29" s="38"/>
      <c r="O29" s="39"/>
      <c r="P29" s="36"/>
      <c r="Q29" s="40"/>
      <c r="R29" s="38"/>
      <c r="S29" s="39"/>
      <c r="T29" s="36"/>
      <c r="U29" s="41"/>
      <c r="V29" s="44"/>
      <c r="W29" s="45"/>
      <c r="X29" s="46"/>
      <c r="Y29" s="52"/>
      <c r="Z29" s="53"/>
      <c r="AA29" s="53"/>
      <c r="AB29" s="54"/>
      <c r="AC29" s="55"/>
      <c r="AD29" s="53"/>
      <c r="AE29" s="53"/>
      <c r="AF29" s="54"/>
      <c r="AG29" s="55"/>
      <c r="AH29" s="53"/>
      <c r="AI29" s="53"/>
      <c r="AJ29" s="54"/>
      <c r="AK29" s="55"/>
      <c r="AL29" s="53"/>
      <c r="AM29" s="53"/>
      <c r="AN29" s="54"/>
      <c r="AO29" s="55"/>
      <c r="AP29" s="53"/>
      <c r="AQ29" s="53"/>
      <c r="AR29" s="54"/>
      <c r="AS29" s="55"/>
      <c r="AT29" s="53"/>
      <c r="AU29" s="53"/>
      <c r="AV29" s="54"/>
      <c r="AW29" s="55"/>
      <c r="AX29" s="53"/>
      <c r="AY29" s="53"/>
      <c r="AZ29" s="54"/>
      <c r="BA29" s="49"/>
      <c r="BB29" s="47"/>
      <c r="BC29" s="53"/>
      <c r="BD29" s="50"/>
      <c r="BE29" s="48"/>
      <c r="BF29" s="51"/>
      <c r="BG29" s="57"/>
      <c r="BH29" s="58"/>
    </row>
    <row r="30" spans="1:60" ht="19.95" customHeight="1">
      <c r="A30" s="22"/>
      <c r="B30" s="34"/>
      <c r="C30" s="35"/>
      <c r="D30" s="36"/>
      <c r="E30" s="37"/>
      <c r="F30" s="37"/>
      <c r="G30" s="56"/>
      <c r="H30" s="42"/>
      <c r="I30" s="43"/>
      <c r="J30" s="38"/>
      <c r="K30" s="39"/>
      <c r="L30" s="36"/>
      <c r="M30" s="40"/>
      <c r="N30" s="38"/>
      <c r="O30" s="39"/>
      <c r="P30" s="36"/>
      <c r="Q30" s="40"/>
      <c r="R30" s="38"/>
      <c r="S30" s="39"/>
      <c r="T30" s="36"/>
      <c r="U30" s="41"/>
      <c r="V30" s="44"/>
      <c r="W30" s="45"/>
      <c r="X30" s="46"/>
      <c r="Y30" s="52"/>
      <c r="Z30" s="53"/>
      <c r="AA30" s="53"/>
      <c r="AB30" s="54"/>
      <c r="AC30" s="55"/>
      <c r="AD30" s="53"/>
      <c r="AE30" s="53"/>
      <c r="AF30" s="54"/>
      <c r="AG30" s="55"/>
      <c r="AH30" s="53"/>
      <c r="AI30" s="53"/>
      <c r="AJ30" s="54"/>
      <c r="AK30" s="55"/>
      <c r="AL30" s="53"/>
      <c r="AM30" s="53"/>
      <c r="AN30" s="54"/>
      <c r="AO30" s="55"/>
      <c r="AP30" s="53"/>
      <c r="AQ30" s="53"/>
      <c r="AR30" s="54"/>
      <c r="AS30" s="55"/>
      <c r="AT30" s="53"/>
      <c r="AU30" s="53"/>
      <c r="AV30" s="54"/>
      <c r="AW30" s="55"/>
      <c r="AX30" s="53"/>
      <c r="AY30" s="53"/>
      <c r="AZ30" s="54"/>
      <c r="BA30" s="49"/>
      <c r="BB30" s="47"/>
      <c r="BC30" s="53"/>
      <c r="BD30" s="50"/>
      <c r="BE30" s="48"/>
      <c r="BF30" s="51"/>
      <c r="BG30" s="57"/>
      <c r="BH30" s="58"/>
    </row>
    <row r="31" spans="1:60" ht="19.95" customHeight="1">
      <c r="A31" s="15"/>
      <c r="B31" s="14"/>
      <c r="C31" s="8"/>
      <c r="D31" s="11"/>
      <c r="E31" s="9"/>
      <c r="F31" s="9"/>
      <c r="G31" s="7"/>
      <c r="H31" s="16"/>
      <c r="I31" s="16"/>
      <c r="J31" s="8"/>
      <c r="K31" s="11"/>
      <c r="L31" s="11"/>
      <c r="M31" s="12"/>
      <c r="N31" s="8"/>
      <c r="O31" s="11"/>
      <c r="P31" s="11"/>
      <c r="Q31" s="9"/>
      <c r="R31" s="8"/>
      <c r="S31" s="11"/>
      <c r="T31" s="11"/>
      <c r="U31" s="7"/>
      <c r="V31" s="5"/>
      <c r="W31" s="4"/>
      <c r="X31" s="6"/>
      <c r="Y31" s="6"/>
      <c r="Z31" s="6"/>
      <c r="AA31" s="6"/>
      <c r="AB31" s="6"/>
      <c r="AC31" s="6"/>
      <c r="AD31" s="6"/>
      <c r="AE31" s="53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53"/>
      <c r="BD31" s="6"/>
      <c r="BE31" s="6"/>
      <c r="BF31" s="6"/>
      <c r="BG31" s="28"/>
    </row>
    <row r="32" spans="1:60" ht="19.95" customHeight="1">
      <c r="A32" s="15"/>
      <c r="B32" s="14"/>
      <c r="C32" s="8"/>
      <c r="D32" s="11"/>
      <c r="E32" s="9"/>
      <c r="F32" s="9"/>
      <c r="G32" s="7"/>
      <c r="H32" s="16"/>
      <c r="I32" s="16"/>
      <c r="J32" s="8"/>
      <c r="K32" s="11"/>
      <c r="L32" s="11"/>
      <c r="M32" s="12"/>
      <c r="N32" s="8"/>
      <c r="O32" s="11"/>
      <c r="P32" s="11"/>
      <c r="Q32" s="9"/>
      <c r="R32" s="8"/>
      <c r="S32" s="11"/>
      <c r="T32" s="11"/>
      <c r="U32" s="7"/>
      <c r="V32" s="5"/>
      <c r="W32" s="4"/>
      <c r="X32" s="6"/>
      <c r="Y32" s="6"/>
      <c r="Z32" s="6"/>
      <c r="AA32" s="6"/>
      <c r="AB32" s="6"/>
      <c r="AC32" s="6"/>
      <c r="AD32" s="6"/>
      <c r="AE32" s="53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53"/>
      <c r="BD32" s="6"/>
      <c r="BE32" s="6"/>
      <c r="BF32" s="6"/>
      <c r="BG32" s="28"/>
    </row>
    <row r="33" spans="1:59" ht="19.95" customHeight="1">
      <c r="A33" s="15"/>
      <c r="B33" s="14"/>
      <c r="C33" s="8"/>
      <c r="D33" s="11"/>
      <c r="E33" s="9"/>
      <c r="F33" s="9"/>
      <c r="G33" s="7"/>
      <c r="H33" s="16"/>
      <c r="I33" s="16"/>
      <c r="J33" s="8"/>
      <c r="K33" s="11"/>
      <c r="L33" s="11"/>
      <c r="M33" s="12"/>
      <c r="N33" s="8"/>
      <c r="O33" s="11"/>
      <c r="P33" s="11"/>
      <c r="Q33" s="9"/>
      <c r="R33" s="8"/>
      <c r="S33" s="11"/>
      <c r="T33" s="11"/>
      <c r="U33" s="7"/>
      <c r="V33" s="5"/>
      <c r="W33" s="4"/>
      <c r="X33" s="6"/>
      <c r="Y33" s="6"/>
      <c r="Z33" s="6"/>
      <c r="AA33" s="6"/>
      <c r="AB33" s="6"/>
      <c r="AC33" s="6"/>
      <c r="AD33" s="6"/>
      <c r="AE33" s="53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53"/>
      <c r="BD33" s="6"/>
      <c r="BE33" s="6"/>
      <c r="BF33" s="6"/>
      <c r="BG33" s="28"/>
    </row>
    <row r="34" spans="1:59" ht="19.95" customHeight="1">
      <c r="A34" s="15"/>
      <c r="B34" s="14"/>
      <c r="C34" s="8"/>
      <c r="D34" s="11"/>
      <c r="E34" s="9"/>
      <c r="F34" s="9"/>
      <c r="G34" s="7"/>
      <c r="H34" s="16"/>
      <c r="I34" s="16"/>
      <c r="J34" s="8"/>
      <c r="K34" s="11"/>
      <c r="L34" s="11"/>
      <c r="M34" s="12"/>
      <c r="N34" s="8"/>
      <c r="O34" s="11"/>
      <c r="P34" s="11"/>
      <c r="Q34" s="9"/>
      <c r="R34" s="8"/>
      <c r="S34" s="11"/>
      <c r="T34" s="11"/>
      <c r="U34" s="7"/>
      <c r="V34" s="5"/>
      <c r="W34" s="4"/>
      <c r="X34" s="6"/>
      <c r="Y34" s="6"/>
      <c r="Z34" s="6"/>
      <c r="AA34" s="6"/>
      <c r="AB34" s="6"/>
      <c r="AC34" s="6"/>
      <c r="AD34" s="6"/>
      <c r="AE34" s="53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53"/>
      <c r="BD34" s="6"/>
      <c r="BE34" s="6"/>
      <c r="BF34" s="6"/>
      <c r="BG34" s="28"/>
    </row>
    <row r="35" spans="1:59" ht="19.95" customHeight="1">
      <c r="A35" s="15"/>
      <c r="B35" s="14"/>
      <c r="C35" s="8"/>
      <c r="D35" s="11"/>
      <c r="E35" s="9"/>
      <c r="F35" s="9"/>
      <c r="G35" s="7"/>
      <c r="H35" s="16"/>
      <c r="I35" s="16"/>
      <c r="J35" s="8"/>
      <c r="K35" s="11"/>
      <c r="L35" s="11"/>
      <c r="M35" s="12"/>
      <c r="N35" s="8"/>
      <c r="O35" s="11"/>
      <c r="P35" s="11"/>
      <c r="Q35" s="9"/>
      <c r="R35" s="8"/>
      <c r="S35" s="11"/>
      <c r="T35" s="11"/>
      <c r="U35" s="7"/>
      <c r="V35" s="5"/>
      <c r="W35" s="4"/>
      <c r="X35" s="6"/>
      <c r="Y35" s="6"/>
      <c r="Z35" s="6"/>
      <c r="AA35" s="6"/>
      <c r="AB35" s="6"/>
      <c r="AC35" s="6"/>
      <c r="AD35" s="6"/>
      <c r="AE35" s="53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53"/>
      <c r="BD35" s="6"/>
      <c r="BE35" s="6"/>
      <c r="BF35" s="6"/>
      <c r="BG35" s="28"/>
    </row>
    <row r="36" spans="1:59" ht="19.95" customHeight="1">
      <c r="A36" s="15"/>
      <c r="B36" s="14"/>
      <c r="C36" s="8"/>
      <c r="D36" s="11"/>
      <c r="E36" s="9"/>
      <c r="F36" s="9"/>
      <c r="G36" s="7"/>
      <c r="H36" s="16"/>
      <c r="I36" s="16"/>
      <c r="J36" s="8"/>
      <c r="K36" s="11"/>
      <c r="L36" s="11"/>
      <c r="M36" s="12"/>
      <c r="N36" s="8"/>
      <c r="O36" s="11"/>
      <c r="P36" s="11"/>
      <c r="Q36" s="9"/>
      <c r="R36" s="8"/>
      <c r="S36" s="11"/>
      <c r="T36" s="11"/>
      <c r="U36" s="7"/>
      <c r="V36" s="5"/>
      <c r="W36" s="4"/>
      <c r="X36" s="6"/>
      <c r="Y36" s="6"/>
      <c r="Z36" s="6"/>
      <c r="AA36" s="6"/>
      <c r="AB36" s="6"/>
      <c r="AC36" s="6"/>
      <c r="AD36" s="6"/>
      <c r="AE36" s="53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53"/>
      <c r="BD36" s="6"/>
      <c r="BE36" s="6"/>
      <c r="BF36" s="6"/>
      <c r="BG36" s="28"/>
    </row>
    <row r="37" spans="1:59" ht="19.95" customHeight="1">
      <c r="A37" s="15"/>
      <c r="B37" s="14"/>
      <c r="C37" s="8"/>
      <c r="D37" s="11"/>
      <c r="E37" s="9"/>
      <c r="F37" s="9"/>
      <c r="G37" s="7"/>
      <c r="H37" s="16"/>
      <c r="I37" s="16"/>
      <c r="J37" s="8"/>
      <c r="K37" s="11"/>
      <c r="L37" s="11"/>
      <c r="M37" s="12"/>
      <c r="N37" s="8"/>
      <c r="O37" s="11"/>
      <c r="P37" s="11"/>
      <c r="Q37" s="9"/>
      <c r="R37" s="8"/>
      <c r="S37" s="11"/>
      <c r="T37" s="11"/>
      <c r="U37" s="7"/>
      <c r="V37" s="5"/>
      <c r="W37" s="4"/>
      <c r="X37" s="6"/>
      <c r="Y37" s="6"/>
      <c r="Z37" s="6"/>
      <c r="AA37" s="6"/>
      <c r="AB37" s="6"/>
      <c r="AC37" s="6"/>
      <c r="AD37" s="6"/>
      <c r="AE37" s="53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53"/>
      <c r="BD37" s="6"/>
      <c r="BE37" s="6"/>
      <c r="BF37" s="6"/>
      <c r="BG37" s="28"/>
    </row>
    <row r="38" spans="1:59" ht="19.95" customHeight="1">
      <c r="A38" s="15"/>
      <c r="B38" s="14"/>
      <c r="C38" s="8"/>
      <c r="D38" s="11"/>
      <c r="E38" s="9"/>
      <c r="F38" s="9"/>
      <c r="G38" s="7"/>
      <c r="H38" s="16"/>
      <c r="I38" s="16"/>
      <c r="J38" s="8"/>
      <c r="K38" s="11"/>
      <c r="L38" s="11"/>
      <c r="M38" s="12"/>
      <c r="N38" s="8"/>
      <c r="O38" s="11"/>
      <c r="P38" s="11"/>
      <c r="Q38" s="9"/>
      <c r="R38" s="8"/>
      <c r="S38" s="11"/>
      <c r="T38" s="11"/>
      <c r="U38" s="7"/>
      <c r="V38" s="5"/>
      <c r="W38" s="4"/>
      <c r="X38" s="6"/>
      <c r="Y38" s="6"/>
      <c r="Z38" s="6"/>
      <c r="AA38" s="6"/>
      <c r="AB38" s="6"/>
      <c r="AC38" s="6"/>
      <c r="AD38" s="6"/>
      <c r="AE38" s="53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53"/>
      <c r="BD38" s="6"/>
      <c r="BE38" s="6"/>
      <c r="BF38" s="6"/>
      <c r="BG38" s="28"/>
    </row>
    <row r="39" spans="1:59" ht="19.95" customHeight="1">
      <c r="A39" s="15"/>
      <c r="B39" s="14"/>
      <c r="C39" s="8"/>
      <c r="D39" s="11"/>
      <c r="E39" s="9"/>
      <c r="F39" s="9"/>
      <c r="G39" s="7"/>
      <c r="H39" s="16"/>
      <c r="I39" s="16"/>
      <c r="J39" s="8"/>
      <c r="K39" s="11"/>
      <c r="L39" s="11"/>
      <c r="M39" s="12"/>
      <c r="N39" s="8"/>
      <c r="O39" s="11"/>
      <c r="P39" s="11"/>
      <c r="Q39" s="9"/>
      <c r="R39" s="8"/>
      <c r="S39" s="11"/>
      <c r="T39" s="11"/>
      <c r="U39" s="7"/>
      <c r="V39" s="5"/>
      <c r="W39" s="4"/>
      <c r="X39" s="6"/>
      <c r="Y39" s="6"/>
      <c r="Z39" s="6"/>
      <c r="AA39" s="6"/>
      <c r="AB39" s="6"/>
      <c r="AC39" s="6"/>
      <c r="AD39" s="6"/>
      <c r="AE39" s="53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53"/>
      <c r="BD39" s="6"/>
      <c r="BE39" s="6"/>
      <c r="BF39" s="6"/>
      <c r="BG39" s="28"/>
    </row>
    <row r="40" spans="1:59" ht="19.95" customHeight="1">
      <c r="A40" s="15"/>
      <c r="B40" s="14"/>
      <c r="C40" s="8"/>
      <c r="D40" s="11"/>
      <c r="E40" s="9"/>
      <c r="F40" s="9"/>
      <c r="G40" s="7"/>
      <c r="H40" s="16"/>
      <c r="I40" s="16"/>
      <c r="J40" s="8"/>
      <c r="K40" s="11"/>
      <c r="L40" s="11"/>
      <c r="M40" s="12"/>
      <c r="N40" s="8"/>
      <c r="O40" s="11"/>
      <c r="P40" s="11"/>
      <c r="Q40" s="9"/>
      <c r="R40" s="8"/>
      <c r="S40" s="11"/>
      <c r="T40" s="11"/>
      <c r="U40" s="7"/>
      <c r="V40" s="5"/>
      <c r="W40" s="4"/>
      <c r="X40" s="6"/>
      <c r="Y40" s="6"/>
      <c r="Z40" s="6"/>
      <c r="AA40" s="6"/>
      <c r="AB40" s="6"/>
      <c r="AC40" s="6"/>
      <c r="AD40" s="6"/>
      <c r="AE40" s="53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53"/>
      <c r="BD40" s="6"/>
      <c r="BE40" s="6"/>
      <c r="BF40" s="6"/>
      <c r="BG40" s="28"/>
    </row>
    <row r="41" spans="1:59" ht="19.95" customHeight="1">
      <c r="A41" s="15"/>
      <c r="B41" s="14"/>
      <c r="C41" s="8"/>
      <c r="D41" s="11"/>
      <c r="E41" s="9"/>
      <c r="F41" s="9"/>
      <c r="G41" s="7"/>
      <c r="H41" s="16"/>
      <c r="I41" s="16"/>
      <c r="J41" s="8"/>
      <c r="K41" s="11"/>
      <c r="L41" s="11"/>
      <c r="M41" s="12"/>
      <c r="N41" s="8"/>
      <c r="O41" s="11"/>
      <c r="P41" s="11"/>
      <c r="Q41" s="9"/>
      <c r="R41" s="8"/>
      <c r="S41" s="11"/>
      <c r="T41" s="11"/>
      <c r="U41" s="7"/>
      <c r="V41" s="5"/>
      <c r="W41" s="4"/>
      <c r="X41" s="6"/>
      <c r="Y41" s="6"/>
      <c r="Z41" s="6"/>
      <c r="AA41" s="6"/>
      <c r="AB41" s="6"/>
      <c r="AC41" s="6"/>
      <c r="AD41" s="6"/>
      <c r="AE41" s="53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53"/>
      <c r="BD41" s="6"/>
      <c r="BE41" s="6"/>
      <c r="BF41" s="6"/>
      <c r="BG41" s="28"/>
    </row>
    <row r="42" spans="1:59" ht="19.95" customHeight="1">
      <c r="A42" s="15"/>
      <c r="B42" s="14"/>
      <c r="C42" s="8"/>
      <c r="D42" s="11"/>
      <c r="E42" s="9"/>
      <c r="F42" s="9"/>
      <c r="G42" s="7"/>
      <c r="H42" s="16"/>
      <c r="I42" s="16"/>
      <c r="J42" s="8"/>
      <c r="K42" s="11"/>
      <c r="L42" s="11"/>
      <c r="M42" s="12"/>
      <c r="N42" s="8"/>
      <c r="O42" s="11"/>
      <c r="P42" s="11"/>
      <c r="Q42" s="9"/>
      <c r="R42" s="8"/>
      <c r="S42" s="11"/>
      <c r="T42" s="11"/>
      <c r="U42" s="7"/>
      <c r="V42" s="5"/>
      <c r="W42" s="4"/>
      <c r="X42" s="6"/>
      <c r="Y42" s="6"/>
      <c r="Z42" s="6"/>
      <c r="AA42" s="6"/>
      <c r="AB42" s="6"/>
      <c r="AC42" s="6"/>
      <c r="AD42" s="6"/>
      <c r="AE42" s="53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53"/>
      <c r="BD42" s="6"/>
      <c r="BE42" s="6"/>
      <c r="BF42" s="6"/>
      <c r="BG42" s="28"/>
    </row>
    <row r="43" spans="1:59" ht="19.95" customHeight="1">
      <c r="A43" s="15"/>
      <c r="B43" s="14"/>
      <c r="C43" s="8"/>
      <c r="D43" s="11"/>
      <c r="E43" s="9"/>
      <c r="F43" s="9"/>
      <c r="G43" s="7"/>
      <c r="H43" s="16"/>
      <c r="I43" s="16"/>
      <c r="J43" s="8"/>
      <c r="K43" s="11"/>
      <c r="L43" s="11"/>
      <c r="M43" s="12"/>
      <c r="N43" s="8"/>
      <c r="O43" s="11"/>
      <c r="P43" s="11"/>
      <c r="Q43" s="13"/>
      <c r="R43" s="8"/>
      <c r="S43" s="11"/>
      <c r="T43" s="11"/>
      <c r="U43" s="7"/>
      <c r="V43" s="5"/>
      <c r="W43" s="4"/>
      <c r="X43" s="6"/>
      <c r="Y43" s="6"/>
      <c r="Z43" s="6"/>
      <c r="AA43" s="6"/>
      <c r="AB43" s="6"/>
      <c r="AC43" s="6"/>
      <c r="AD43" s="6"/>
      <c r="AE43" s="53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53"/>
      <c r="BD43" s="6"/>
      <c r="BE43" s="6"/>
      <c r="BF43" s="6"/>
      <c r="BG43" s="28"/>
    </row>
    <row r="44" spans="1:59" ht="19.95" customHeight="1">
      <c r="A44" s="15"/>
      <c r="B44" s="14"/>
      <c r="C44" s="8"/>
      <c r="D44" s="11"/>
      <c r="E44" s="9"/>
      <c r="F44" s="9"/>
      <c r="G44" s="7"/>
      <c r="H44" s="16"/>
      <c r="I44" s="16"/>
      <c r="J44" s="8"/>
      <c r="K44" s="11"/>
      <c r="L44" s="11"/>
      <c r="M44" s="12"/>
      <c r="N44" s="8"/>
      <c r="O44" s="11"/>
      <c r="P44" s="11"/>
      <c r="Q44" s="9"/>
      <c r="R44" s="8"/>
      <c r="S44" s="11"/>
      <c r="T44" s="11"/>
      <c r="U44" s="7"/>
      <c r="V44" s="5"/>
      <c r="W44" s="4"/>
      <c r="X44" s="6"/>
      <c r="Y44" s="6"/>
      <c r="Z44" s="6"/>
      <c r="AA44" s="6"/>
      <c r="AB44" s="6"/>
      <c r="AC44" s="6"/>
      <c r="AD44" s="6"/>
      <c r="AE44" s="53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53"/>
      <c r="BD44" s="6"/>
      <c r="BE44" s="6"/>
      <c r="BF44" s="6"/>
      <c r="BG44" s="28"/>
    </row>
    <row r="45" spans="1:59" ht="19.95" customHeight="1">
      <c r="A45" s="15"/>
      <c r="B45" s="14"/>
      <c r="C45" s="8"/>
      <c r="D45" s="11"/>
      <c r="E45" s="9"/>
      <c r="F45" s="9"/>
      <c r="G45" s="7"/>
      <c r="H45" s="16"/>
      <c r="I45" s="16"/>
      <c r="J45" s="8"/>
      <c r="K45" s="11"/>
      <c r="L45" s="11"/>
      <c r="M45" s="12"/>
      <c r="N45" s="8"/>
      <c r="O45" s="11"/>
      <c r="P45" s="11"/>
      <c r="Q45" s="9"/>
      <c r="R45" s="8"/>
      <c r="S45" s="11"/>
      <c r="T45" s="11"/>
      <c r="U45" s="7"/>
      <c r="V45" s="5"/>
      <c r="W45" s="4"/>
      <c r="X45" s="6"/>
      <c r="Y45" s="6"/>
      <c r="Z45" s="6"/>
      <c r="AA45" s="6"/>
      <c r="AB45" s="6"/>
      <c r="AC45" s="6"/>
      <c r="AD45" s="6"/>
      <c r="AE45" s="53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53"/>
      <c r="BD45" s="6"/>
      <c r="BE45" s="6"/>
      <c r="BF45" s="6"/>
      <c r="BG45" s="28"/>
    </row>
    <row r="46" spans="1:59" ht="19.95" customHeight="1">
      <c r="A46" s="15"/>
      <c r="B46" s="14"/>
      <c r="C46" s="8"/>
      <c r="D46" s="11"/>
      <c r="E46" s="9"/>
      <c r="F46" s="9"/>
      <c r="G46" s="7"/>
      <c r="H46" s="16"/>
      <c r="I46" s="16"/>
      <c r="J46" s="8"/>
      <c r="K46" s="11"/>
      <c r="L46" s="11"/>
      <c r="M46" s="12"/>
      <c r="N46" s="8"/>
      <c r="O46" s="11"/>
      <c r="P46" s="11"/>
      <c r="Q46" s="9"/>
      <c r="R46" s="8"/>
      <c r="S46" s="11"/>
      <c r="T46" s="11"/>
      <c r="U46" s="7"/>
      <c r="V46" s="5"/>
      <c r="W46" s="4"/>
      <c r="X46" s="6"/>
      <c r="Y46" s="6"/>
      <c r="Z46" s="6"/>
      <c r="AA46" s="6"/>
      <c r="AB46" s="6"/>
      <c r="AC46" s="6"/>
      <c r="AD46" s="6"/>
      <c r="AE46" s="53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53"/>
      <c r="BD46" s="6"/>
      <c r="BE46" s="6"/>
      <c r="BF46" s="6"/>
      <c r="BG46" s="28"/>
    </row>
    <row r="47" spans="1:59" ht="19.95" customHeight="1">
      <c r="A47" s="15"/>
      <c r="B47" s="14"/>
      <c r="C47" s="8"/>
      <c r="D47" s="11"/>
      <c r="E47" s="9"/>
      <c r="F47" s="9"/>
      <c r="G47" s="7"/>
      <c r="H47" s="16"/>
      <c r="I47" s="16"/>
      <c r="J47" s="8"/>
      <c r="K47" s="11"/>
      <c r="L47" s="11"/>
      <c r="M47" s="12"/>
      <c r="N47" s="8"/>
      <c r="O47" s="11"/>
      <c r="P47" s="11"/>
      <c r="Q47" s="9"/>
      <c r="R47" s="8"/>
      <c r="S47" s="11"/>
      <c r="T47" s="11"/>
      <c r="U47" s="7"/>
      <c r="V47" s="5"/>
      <c r="W47" s="4"/>
      <c r="X47" s="6"/>
      <c r="Y47" s="6"/>
      <c r="Z47" s="6"/>
      <c r="AA47" s="6"/>
      <c r="AB47" s="6"/>
      <c r="AC47" s="6"/>
      <c r="AD47" s="6"/>
      <c r="AE47" s="53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53"/>
      <c r="BD47" s="6"/>
      <c r="BE47" s="6"/>
      <c r="BF47" s="6"/>
      <c r="BG47" s="28"/>
    </row>
    <row r="48" spans="1:59" ht="19.95" customHeight="1">
      <c r="A48" s="15"/>
      <c r="B48" s="14"/>
      <c r="C48" s="8"/>
      <c r="D48" s="11"/>
      <c r="E48" s="9"/>
      <c r="F48" s="9"/>
      <c r="G48" s="7"/>
      <c r="H48" s="16"/>
      <c r="I48" s="16"/>
      <c r="J48" s="8"/>
      <c r="K48" s="11"/>
      <c r="L48" s="11"/>
      <c r="M48" s="12"/>
      <c r="N48" s="8"/>
      <c r="O48" s="11"/>
      <c r="P48" s="11"/>
      <c r="Q48" s="9"/>
      <c r="R48" s="8"/>
      <c r="S48" s="11"/>
      <c r="T48" s="11"/>
      <c r="U48" s="7"/>
      <c r="V48" s="5"/>
      <c r="W48" s="4"/>
      <c r="X48" s="6"/>
      <c r="Y48" s="6"/>
      <c r="Z48" s="6"/>
      <c r="AA48" s="6"/>
      <c r="AB48" s="6"/>
      <c r="AC48" s="6"/>
      <c r="AD48" s="6"/>
      <c r="AE48" s="53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53"/>
      <c r="BD48" s="6"/>
      <c r="BE48" s="6"/>
      <c r="BF48" s="6"/>
      <c r="BG48" s="28"/>
    </row>
    <row r="49" spans="1:59" ht="19.95" customHeight="1">
      <c r="A49" s="15"/>
      <c r="B49" s="14"/>
      <c r="C49" s="8"/>
      <c r="D49" s="11"/>
      <c r="E49" s="9"/>
      <c r="F49" s="9"/>
      <c r="G49" s="7"/>
      <c r="H49" s="16"/>
      <c r="I49" s="16"/>
      <c r="J49" s="8"/>
      <c r="K49" s="11"/>
      <c r="L49" s="11"/>
      <c r="M49" s="12"/>
      <c r="N49" s="8"/>
      <c r="O49" s="11"/>
      <c r="P49" s="11"/>
      <c r="Q49" s="9"/>
      <c r="R49" s="8"/>
      <c r="S49" s="11"/>
      <c r="T49" s="11"/>
      <c r="U49" s="7"/>
      <c r="V49" s="5"/>
      <c r="W49" s="4"/>
      <c r="X49" s="6"/>
      <c r="Y49" s="6"/>
      <c r="Z49" s="6"/>
      <c r="AA49" s="6"/>
      <c r="AB49" s="6"/>
      <c r="AC49" s="6"/>
      <c r="AD49" s="6"/>
      <c r="AE49" s="53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53"/>
      <c r="BD49" s="6"/>
      <c r="BE49" s="6"/>
      <c r="BF49" s="6"/>
      <c r="BG49" s="28"/>
    </row>
    <row r="50" spans="1:59" ht="19.95" customHeight="1">
      <c r="A50" s="15"/>
      <c r="B50" s="14"/>
      <c r="C50" s="8"/>
      <c r="D50" s="11"/>
      <c r="E50" s="9"/>
      <c r="F50" s="9"/>
      <c r="G50" s="7"/>
      <c r="H50" s="16"/>
      <c r="I50" s="16"/>
      <c r="J50" s="8"/>
      <c r="K50" s="11"/>
      <c r="L50" s="11"/>
      <c r="M50" s="12"/>
      <c r="N50" s="8"/>
      <c r="O50" s="11"/>
      <c r="P50" s="11"/>
      <c r="Q50" s="9"/>
      <c r="R50" s="8"/>
      <c r="S50" s="11"/>
      <c r="T50" s="11"/>
      <c r="U50" s="7"/>
      <c r="V50" s="5"/>
      <c r="W50" s="4"/>
      <c r="X50" s="6"/>
      <c r="Y50" s="6"/>
      <c r="Z50" s="6"/>
      <c r="AA50" s="6"/>
      <c r="AB50" s="6"/>
      <c r="AC50" s="6"/>
      <c r="AD50" s="6"/>
      <c r="AE50" s="53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53"/>
      <c r="BD50" s="6"/>
      <c r="BE50" s="6"/>
      <c r="BF50" s="6"/>
      <c r="BG50" s="28"/>
    </row>
    <row r="51" spans="1:59" ht="19.95" customHeight="1">
      <c r="A51" s="15"/>
      <c r="B51" s="14"/>
      <c r="C51" s="8"/>
      <c r="D51" s="11"/>
      <c r="E51" s="9"/>
      <c r="F51" s="9"/>
      <c r="G51" s="7"/>
      <c r="H51" s="16"/>
      <c r="I51" s="16"/>
      <c r="J51" s="8"/>
      <c r="K51" s="11"/>
      <c r="L51" s="11"/>
      <c r="M51" s="12"/>
      <c r="N51" s="8"/>
      <c r="O51" s="11"/>
      <c r="P51" s="11"/>
      <c r="Q51" s="9"/>
      <c r="R51" s="8"/>
      <c r="S51" s="11"/>
      <c r="T51" s="11"/>
      <c r="U51" s="7"/>
      <c r="V51" s="5"/>
      <c r="W51" s="4"/>
      <c r="X51" s="6"/>
      <c r="Y51" s="6"/>
      <c r="Z51" s="6"/>
      <c r="AA51" s="6"/>
      <c r="AB51" s="6"/>
      <c r="AC51" s="6"/>
      <c r="AD51" s="6"/>
      <c r="AE51" s="53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53"/>
      <c r="BD51" s="6"/>
      <c r="BE51" s="6"/>
      <c r="BF51" s="6"/>
      <c r="BG51" s="28"/>
    </row>
    <row r="52" spans="1:59" ht="19.95" customHeight="1">
      <c r="A52" s="15"/>
      <c r="B52" s="14"/>
      <c r="C52" s="8"/>
      <c r="D52" s="11"/>
      <c r="E52" s="9"/>
      <c r="F52" s="9"/>
      <c r="G52" s="7"/>
      <c r="H52" s="16"/>
      <c r="I52" s="16"/>
      <c r="J52" s="8"/>
      <c r="K52" s="11"/>
      <c r="L52" s="11"/>
      <c r="M52" s="12"/>
      <c r="N52" s="8"/>
      <c r="O52" s="11"/>
      <c r="P52" s="11"/>
      <c r="Q52" s="9"/>
      <c r="R52" s="8"/>
      <c r="S52" s="11"/>
      <c r="T52" s="11"/>
      <c r="U52" s="7"/>
      <c r="V52" s="5"/>
      <c r="W52" s="4"/>
      <c r="X52" s="6"/>
      <c r="Y52" s="6"/>
      <c r="Z52" s="6"/>
      <c r="AA52" s="6"/>
      <c r="AB52" s="6"/>
      <c r="AC52" s="6"/>
      <c r="AD52" s="6"/>
      <c r="AE52" s="53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53"/>
      <c r="BD52" s="6"/>
      <c r="BE52" s="6"/>
      <c r="BF52" s="6"/>
      <c r="BG52" s="28"/>
    </row>
    <row r="53" spans="1:59" ht="19.95" customHeight="1">
      <c r="A53" s="15"/>
      <c r="B53" s="14"/>
      <c r="C53" s="8"/>
      <c r="D53" s="11"/>
      <c r="E53" s="9"/>
      <c r="F53" s="9"/>
      <c r="G53" s="7"/>
      <c r="H53" s="16"/>
      <c r="I53" s="16"/>
      <c r="J53" s="8"/>
      <c r="K53" s="11"/>
      <c r="L53" s="11"/>
      <c r="M53" s="12"/>
      <c r="N53" s="8"/>
      <c r="O53" s="11"/>
      <c r="P53" s="11"/>
      <c r="Q53" s="9"/>
      <c r="R53" s="8"/>
      <c r="S53" s="11"/>
      <c r="T53" s="11"/>
      <c r="U53" s="7"/>
      <c r="V53" s="5"/>
      <c r="W53" s="4"/>
      <c r="X53" s="6"/>
      <c r="Y53" s="6"/>
      <c r="Z53" s="6"/>
      <c r="AA53" s="6"/>
      <c r="AB53" s="6"/>
      <c r="AC53" s="6"/>
      <c r="AD53" s="6"/>
      <c r="AE53" s="53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53"/>
      <c r="BD53" s="6"/>
      <c r="BE53" s="6"/>
      <c r="BF53" s="6"/>
      <c r="BG53" s="28"/>
    </row>
    <row r="54" spans="1:59" ht="19.95" customHeight="1">
      <c r="A54" s="15"/>
      <c r="B54" s="14"/>
      <c r="C54" s="8"/>
      <c r="D54" s="11"/>
      <c r="E54" s="9"/>
      <c r="F54" s="9"/>
      <c r="G54" s="7"/>
      <c r="H54" s="16"/>
      <c r="I54" s="16"/>
      <c r="J54" s="8"/>
      <c r="K54" s="11"/>
      <c r="L54" s="11"/>
      <c r="M54" s="12"/>
      <c r="N54" s="8"/>
      <c r="O54" s="11"/>
      <c r="P54" s="11"/>
      <c r="Q54" s="9"/>
      <c r="R54" s="8"/>
      <c r="S54" s="11"/>
      <c r="T54" s="11"/>
      <c r="U54" s="7"/>
      <c r="V54" s="5"/>
      <c r="W54" s="4"/>
      <c r="X54" s="6"/>
      <c r="Y54" s="6"/>
      <c r="Z54" s="6"/>
      <c r="AA54" s="6"/>
      <c r="AB54" s="6"/>
      <c r="AC54" s="6"/>
      <c r="AD54" s="6"/>
      <c r="AE54" s="53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53"/>
      <c r="BD54" s="6"/>
      <c r="BE54" s="6"/>
      <c r="BF54" s="6"/>
      <c r="BG54" s="28"/>
    </row>
    <row r="55" spans="1:59" ht="19.95" customHeight="1">
      <c r="A55" s="15"/>
      <c r="B55" s="14"/>
      <c r="C55" s="8"/>
      <c r="D55" s="11"/>
      <c r="E55" s="9"/>
      <c r="F55" s="9"/>
      <c r="G55" s="7"/>
      <c r="H55" s="16"/>
      <c r="I55" s="16"/>
      <c r="J55" s="8"/>
      <c r="K55" s="11"/>
      <c r="L55" s="11"/>
      <c r="M55" s="12"/>
      <c r="N55" s="8"/>
      <c r="O55" s="11"/>
      <c r="P55" s="11"/>
      <c r="Q55" s="9"/>
      <c r="R55" s="8"/>
      <c r="S55" s="11"/>
      <c r="T55" s="11"/>
      <c r="U55" s="7"/>
      <c r="V55" s="5"/>
      <c r="W55" s="4"/>
      <c r="X55" s="6"/>
      <c r="Y55" s="6"/>
      <c r="Z55" s="6"/>
      <c r="AA55" s="6"/>
      <c r="AB55" s="6"/>
      <c r="AC55" s="6"/>
      <c r="AD55" s="6"/>
      <c r="AE55" s="53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53"/>
      <c r="BD55" s="6"/>
      <c r="BE55" s="6"/>
      <c r="BF55" s="6"/>
      <c r="BG55" s="28"/>
    </row>
    <row r="56" spans="1:59" ht="19.95" customHeight="1">
      <c r="A56" s="15"/>
      <c r="B56" s="14"/>
      <c r="C56" s="8"/>
      <c r="D56" s="11"/>
      <c r="E56" s="9"/>
      <c r="F56" s="9"/>
      <c r="G56" s="7"/>
      <c r="H56" s="16"/>
      <c r="I56" s="16"/>
      <c r="J56" s="8"/>
      <c r="K56" s="11"/>
      <c r="L56" s="11"/>
      <c r="M56" s="12"/>
      <c r="N56" s="8"/>
      <c r="O56" s="11"/>
      <c r="P56" s="11"/>
      <c r="Q56" s="9"/>
      <c r="R56" s="8"/>
      <c r="S56" s="11"/>
      <c r="T56" s="11"/>
      <c r="U56" s="7"/>
      <c r="V56" s="5"/>
      <c r="W56" s="4"/>
      <c r="X56" s="6"/>
      <c r="Y56" s="6"/>
      <c r="Z56" s="6"/>
      <c r="AA56" s="6"/>
      <c r="AB56" s="6"/>
      <c r="AC56" s="6"/>
      <c r="AD56" s="6"/>
      <c r="AE56" s="53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53"/>
      <c r="BD56" s="6"/>
      <c r="BE56" s="6"/>
      <c r="BF56" s="6"/>
      <c r="BG56" s="28"/>
    </row>
    <row r="57" spans="1:59" ht="19.95" customHeight="1">
      <c r="A57" s="15"/>
      <c r="B57" s="14"/>
      <c r="C57" s="8"/>
      <c r="D57" s="11"/>
      <c r="E57" s="9"/>
      <c r="F57" s="9"/>
      <c r="G57" s="7"/>
      <c r="H57" s="16"/>
      <c r="I57" s="16"/>
      <c r="J57" s="8"/>
      <c r="K57" s="11"/>
      <c r="L57" s="11"/>
      <c r="M57" s="12"/>
      <c r="N57" s="8"/>
      <c r="O57" s="11"/>
      <c r="P57" s="11"/>
      <c r="Q57" s="9"/>
      <c r="R57" s="8"/>
      <c r="S57" s="11"/>
      <c r="T57" s="11"/>
      <c r="U57" s="7"/>
      <c r="V57" s="5"/>
      <c r="W57" s="4"/>
      <c r="X57" s="6"/>
      <c r="Y57" s="6"/>
      <c r="Z57" s="6"/>
      <c r="AA57" s="6"/>
      <c r="AB57" s="6"/>
      <c r="AC57" s="6"/>
      <c r="AD57" s="6"/>
      <c r="AE57" s="53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53"/>
      <c r="BD57" s="6"/>
      <c r="BE57" s="6"/>
      <c r="BF57" s="6"/>
      <c r="BG57" s="28"/>
    </row>
    <row r="58" spans="1:59" ht="19.95" customHeight="1">
      <c r="A58" s="15"/>
      <c r="B58" s="14"/>
      <c r="C58" s="8"/>
      <c r="D58" s="11"/>
      <c r="E58" s="9"/>
      <c r="F58" s="9"/>
      <c r="G58" s="7"/>
      <c r="H58" s="16"/>
      <c r="I58" s="16"/>
      <c r="J58" s="8"/>
      <c r="K58" s="11"/>
      <c r="L58" s="11"/>
      <c r="M58" s="12"/>
      <c r="N58" s="8"/>
      <c r="O58" s="11"/>
      <c r="P58" s="11"/>
      <c r="Q58" s="9"/>
      <c r="R58" s="8"/>
      <c r="S58" s="11"/>
      <c r="T58" s="11"/>
      <c r="U58" s="7"/>
      <c r="V58" s="5"/>
      <c r="W58" s="4"/>
      <c r="X58" s="6"/>
      <c r="Y58" s="6"/>
      <c r="Z58" s="6"/>
      <c r="AA58" s="6"/>
      <c r="AB58" s="6"/>
      <c r="AC58" s="6"/>
      <c r="AD58" s="6"/>
      <c r="AE58" s="53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53"/>
      <c r="BD58" s="6"/>
      <c r="BE58" s="6"/>
      <c r="BF58" s="6"/>
      <c r="BG58" s="28"/>
    </row>
    <row r="59" spans="1:59" ht="19.95" customHeight="1">
      <c r="A59" s="15"/>
      <c r="B59" s="14"/>
      <c r="C59" s="8"/>
      <c r="D59" s="11"/>
      <c r="E59" s="9"/>
      <c r="F59" s="9"/>
      <c r="G59" s="7"/>
      <c r="H59" s="16"/>
      <c r="I59" s="16"/>
      <c r="J59" s="8"/>
      <c r="K59" s="11"/>
      <c r="L59" s="11"/>
      <c r="M59" s="12"/>
      <c r="N59" s="8"/>
      <c r="O59" s="11"/>
      <c r="P59" s="11"/>
      <c r="Q59" s="9"/>
      <c r="R59" s="8"/>
      <c r="S59" s="11"/>
      <c r="T59" s="11"/>
      <c r="U59" s="7"/>
      <c r="V59" s="5"/>
      <c r="W59" s="4"/>
      <c r="X59" s="6"/>
      <c r="Y59" s="6"/>
      <c r="Z59" s="6"/>
      <c r="AA59" s="6"/>
      <c r="AB59" s="6"/>
      <c r="AC59" s="6"/>
      <c r="AD59" s="6"/>
      <c r="AE59" s="53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53"/>
      <c r="BD59" s="6"/>
      <c r="BE59" s="6"/>
      <c r="BF59" s="6"/>
      <c r="BG59" s="28"/>
    </row>
    <row r="60" spans="1:59" ht="19.95" customHeight="1">
      <c r="A60" s="15"/>
      <c r="B60" s="14"/>
      <c r="C60" s="8"/>
      <c r="D60" s="11"/>
      <c r="E60" s="9"/>
      <c r="F60" s="9"/>
      <c r="G60" s="7"/>
      <c r="H60" s="16"/>
      <c r="I60" s="16"/>
      <c r="J60" s="8"/>
      <c r="K60" s="11"/>
      <c r="L60" s="11"/>
      <c r="M60" s="12"/>
      <c r="N60" s="8"/>
      <c r="O60" s="11"/>
      <c r="P60" s="11"/>
      <c r="Q60" s="9"/>
      <c r="R60" s="8"/>
      <c r="S60" s="11"/>
      <c r="T60" s="11"/>
      <c r="U60" s="7"/>
      <c r="V60" s="5"/>
      <c r="W60" s="4"/>
      <c r="X60" s="6"/>
      <c r="Y60" s="6"/>
      <c r="Z60" s="6"/>
      <c r="AA60" s="6"/>
      <c r="AB60" s="6"/>
      <c r="AC60" s="6"/>
      <c r="AD60" s="6"/>
      <c r="AE60" s="53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53"/>
      <c r="BD60" s="6"/>
      <c r="BE60" s="6"/>
      <c r="BF60" s="6"/>
      <c r="BG60" s="28"/>
    </row>
    <row r="61" spans="1:59" ht="19.95" customHeight="1">
      <c r="A61" s="15"/>
      <c r="B61" s="14"/>
      <c r="C61" s="8"/>
      <c r="D61" s="11"/>
      <c r="E61" s="9"/>
      <c r="F61" s="9"/>
      <c r="G61" s="7"/>
      <c r="H61" s="16"/>
      <c r="I61" s="16"/>
      <c r="J61" s="8"/>
      <c r="K61" s="11"/>
      <c r="L61" s="11"/>
      <c r="M61" s="12"/>
      <c r="N61" s="8"/>
      <c r="O61" s="11"/>
      <c r="P61" s="11"/>
      <c r="Q61" s="9"/>
      <c r="R61" s="8"/>
      <c r="S61" s="11"/>
      <c r="T61" s="11"/>
      <c r="U61" s="7"/>
      <c r="V61" s="5"/>
      <c r="W61" s="4"/>
      <c r="X61" s="6"/>
      <c r="Y61" s="6"/>
      <c r="Z61" s="6"/>
      <c r="AA61" s="6"/>
      <c r="AB61" s="6"/>
      <c r="AC61" s="6"/>
      <c r="AD61" s="6"/>
      <c r="AE61" s="53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53"/>
      <c r="BD61" s="6"/>
      <c r="BE61" s="6"/>
      <c r="BF61" s="6"/>
      <c r="BG61" s="28"/>
    </row>
    <row r="62" spans="1:59" ht="19.95" customHeight="1">
      <c r="AE62" s="53"/>
      <c r="BC62" s="53"/>
    </row>
    <row r="63" spans="1:59" ht="19.95" customHeight="1">
      <c r="AE63" s="53"/>
      <c r="BC63" s="53"/>
    </row>
    <row r="64" spans="1:59" ht="19.95" customHeight="1">
      <c r="AE64" s="53"/>
      <c r="BC64" s="53"/>
    </row>
    <row r="65" spans="31:55" ht="19.95" customHeight="1">
      <c r="AE65" s="53"/>
      <c r="BC65" s="53"/>
    </row>
    <row r="66" spans="31:55" ht="19.95" customHeight="1">
      <c r="AE66" s="53"/>
      <c r="BC66" s="53"/>
    </row>
    <row r="67" spans="31:55" ht="19.95" customHeight="1">
      <c r="AE67" s="53"/>
      <c r="BC67" s="53"/>
    </row>
    <row r="68" spans="31:55" ht="19.95" customHeight="1">
      <c r="AE68" s="53"/>
      <c r="BC68" s="53"/>
    </row>
    <row r="69" spans="31:55" ht="19.95" customHeight="1">
      <c r="AE69" s="53"/>
      <c r="BC69" s="53"/>
    </row>
    <row r="70" spans="31:55" ht="19.95" customHeight="1">
      <c r="AE70" s="53"/>
      <c r="BC70" s="53"/>
    </row>
    <row r="71" spans="31:55" ht="19.95" customHeight="1">
      <c r="AE71" s="53"/>
      <c r="BC71" s="53"/>
    </row>
    <row r="72" spans="31:55" ht="19.95" customHeight="1">
      <c r="AE72" s="53"/>
      <c r="BC72" s="53"/>
    </row>
    <row r="73" spans="31:55" ht="19.95" customHeight="1">
      <c r="AE73" s="53"/>
      <c r="BC73" s="53"/>
    </row>
    <row r="74" spans="31:55" ht="19.95" customHeight="1">
      <c r="AE74" s="53"/>
      <c r="BC74" s="53"/>
    </row>
    <row r="75" spans="31:55" ht="19.95" customHeight="1">
      <c r="BC75" s="53"/>
    </row>
    <row r="76" spans="31:55" ht="19.95" customHeight="1">
      <c r="BC76" s="53"/>
    </row>
  </sheetData>
  <mergeCells count="40">
    <mergeCell ref="A1:W1"/>
    <mergeCell ref="AT2:AU2"/>
    <mergeCell ref="AV2:BA2"/>
    <mergeCell ref="O3:P3"/>
    <mergeCell ref="Q3:T3"/>
    <mergeCell ref="AT3:AU3"/>
    <mergeCell ref="AV3:AW3"/>
    <mergeCell ref="O4:P4"/>
    <mergeCell ref="Q4:R4"/>
    <mergeCell ref="AT4:AU4"/>
    <mergeCell ref="AV4:AW4"/>
    <mergeCell ref="O5:P5"/>
    <mergeCell ref="Q5:R5"/>
    <mergeCell ref="V5:W6"/>
    <mergeCell ref="I6:U6"/>
    <mergeCell ref="Z6:BD6"/>
    <mergeCell ref="Y7:AB7"/>
    <mergeCell ref="AC7:AF7"/>
    <mergeCell ref="A7:A9"/>
    <mergeCell ref="B7:B9"/>
    <mergeCell ref="C7:G8"/>
    <mergeCell ref="H7:H9"/>
    <mergeCell ref="I7:I9"/>
    <mergeCell ref="J7:M7"/>
    <mergeCell ref="BE7:BE9"/>
    <mergeCell ref="BF7:BF8"/>
    <mergeCell ref="J8:M8"/>
    <mergeCell ref="N8:Q8"/>
    <mergeCell ref="R8:U8"/>
    <mergeCell ref="V8:W8"/>
    <mergeCell ref="AG7:AJ7"/>
    <mergeCell ref="AK7:AN7"/>
    <mergeCell ref="AO7:AR7"/>
    <mergeCell ref="AS7:AV7"/>
    <mergeCell ref="AW7:AZ7"/>
    <mergeCell ref="BA7:BD7"/>
    <mergeCell ref="N7:Q7"/>
    <mergeCell ref="R7:U7"/>
    <mergeCell ref="V7:W7"/>
    <mergeCell ref="X7:X9"/>
  </mergeCells>
  <conditionalFormatting sqref="AZ7 AV7:AW7 AB7 AF7 AJ7 AN7 AR7 BD7">
    <cfRule type="cellIs" dxfId="0" priority="1" operator="equal">
      <formula>0</formula>
    </cfRule>
  </conditionalFormatting>
  <dataValidations count="3">
    <dataValidation errorStyle="information" allowBlank="1" showInputMessage="1" showErrorMessage="1" sqref="AA5:BE5 Z6" xr:uid="{00000000-0002-0000-0400-000000000000}"/>
    <dataValidation type="whole" allowBlank="1" showErrorMessage="1" errorTitle="خطا في الادخال" error="ادخل رقم الشهر فقط " sqref="F10" xr:uid="{00000000-0002-0000-0400-000001000000}">
      <formula1>1</formula1>
      <formula2>12</formula2>
    </dataValidation>
    <dataValidation type="whole" allowBlank="1" showErrorMessage="1" errorTitle="خطأ في الادخال" error="ادخل تاريخ اليوم " sqref="E10" xr:uid="{00000000-0002-0000-0400-000002000000}">
      <formula1>1</formula1>
      <formula2>30</formula2>
    </dataValidation>
  </dataValidations>
  <printOptions horizontalCentered="1" verticalCentered="1"/>
  <pageMargins left="0" right="0" top="0.19685039370078741" bottom="0.78740157480314965" header="0.19685039370078741" footer="0.19685039370078741"/>
  <pageSetup paperSize="9" scale="89" orientation="landscape" r:id="rId1"/>
  <headerFooter scaleWithDoc="0">
    <oddHeader xml:space="preserve">&amp;L&amp;"Arial,غامق"&amp;12 (  &amp;P )  كشف رقم </oddHeader>
    <oddFooter xml:space="preserve">&amp;C&amp;G&amp;R&amp;"Arial,غامق"&amp;12 </oddFooter>
  </headerFooter>
  <colBreaks count="1" manualBreakCount="1">
    <brk id="24" max="104857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10</vt:i4>
      </vt:variant>
    </vt:vector>
  </HeadingPairs>
  <TitlesOfParts>
    <vt:vector size="15" baseType="lpstr">
      <vt:lpstr>متقدمين ثالث علمي </vt:lpstr>
      <vt:lpstr>ثالث علمي مكملين</vt:lpstr>
      <vt:lpstr>متقدمين ثانوي الادبي</vt:lpstr>
      <vt:lpstr>ثانوي مكملين الادبي</vt:lpstr>
      <vt:lpstr>متقدمين ثانوي (2)</vt:lpstr>
      <vt:lpstr>'ثالث علمي مكملين'!Print_Area</vt:lpstr>
      <vt:lpstr>'ثانوي مكملين الادبي'!Print_Area</vt:lpstr>
      <vt:lpstr>'متقدمين ثالث علمي '!Print_Area</vt:lpstr>
      <vt:lpstr>'متقدمين ثانوي (2)'!Print_Area</vt:lpstr>
      <vt:lpstr>'متقدمين ثانوي الادبي'!Print_Area</vt:lpstr>
      <vt:lpstr>'ثالث علمي مكملين'!Print_Titles</vt:lpstr>
      <vt:lpstr>'ثانوي مكملين الادبي'!Print_Titles</vt:lpstr>
      <vt:lpstr>'متقدمين ثالث علمي '!Print_Titles</vt:lpstr>
      <vt:lpstr>'متقدمين ثانوي (2)'!Print_Titles</vt:lpstr>
      <vt:lpstr>'متقدمين ثانوي الادبي'!Print_Titles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تقدم ثانوي</dc:title>
  <dc:subject>علمي منتظمون</dc:subject>
  <dc:creator>خالد طربوش اليوسفي 777269182</dc:creator>
  <cp:lastModifiedBy>ALBAHA</cp:lastModifiedBy>
  <cp:lastPrinted>2025-11-08T17:15:48Z</cp:lastPrinted>
  <dcterms:created xsi:type="dcterms:W3CDTF">2008-11-16T21:00:19Z</dcterms:created>
  <dcterms:modified xsi:type="dcterms:W3CDTF">2025-12-09T18:39:26Z</dcterms:modified>
</cp:coreProperties>
</file>