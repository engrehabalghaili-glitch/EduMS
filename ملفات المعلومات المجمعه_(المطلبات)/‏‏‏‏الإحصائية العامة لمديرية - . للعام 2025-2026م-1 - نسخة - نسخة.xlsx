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filterPrivacy="1" showInkAnnotation="0" codeName="ThisWorkbook" defaultThemeVersion="124226"/>
  <xr:revisionPtr revIDLastSave="0" documentId="13_ncr:1_{3BEB7392-7675-4275-BC1D-77736A49D629}" xr6:coauthVersionLast="37" xr6:coauthVersionMax="37" xr10:uidLastSave="{00000000-0000-0000-0000-000000000000}"/>
  <bookViews>
    <workbookView xWindow="-105" yWindow="-105" windowWidth="23250" windowHeight="12720" tabRatio="928" firstSheet="19" activeTab="23" xr2:uid="{00000000-000D-0000-FFFF-FFFF00000000}"/>
  </bookViews>
  <sheets>
    <sheet name="قوى عاملة تحفيظ أولي (2)" sheetId="75" r:id="rId1"/>
    <sheet name="مدرسة حكومي- أهلي طلاب ثانوي " sheetId="61" r:id="rId2"/>
    <sheet name="اجمالي طلاب ثانوي حكومي +اهلي" sheetId="55" r:id="rId3"/>
    <sheet name="طلاب ثانوي حكومي تجميع مديرية" sheetId="71" r:id="rId4"/>
    <sheet name="مدرسة طلاب اساسي حكومي أهلي  " sheetId="70" r:id="rId5"/>
    <sheet name="  تجميع م طلاب اساسي حكومي " sheetId="60" r:id="rId6"/>
    <sheet name="طلاب اساسي اهلي تجميع م" sheetId="56" r:id="rId7"/>
    <sheet name="طلاب ثانوي اهلي تجميع م" sheetId="59" r:id="rId8"/>
    <sheet name="اجمالي طلاب اساسي حكومي+اهلي" sheetId="54" r:id="rId9"/>
    <sheet name="  عدد الشعب أساسي مديرية" sheetId="16" r:id="rId10"/>
    <sheet name="عدد الشعب الدراسية ثانوي مديرية" sheetId="17" r:id="rId11"/>
    <sheet name=" مديرية عدد المدارس" sheetId="15" r:id="rId12"/>
    <sheet name="احصائية عامة بعدد المدارس" sheetId="31" r:id="rId13"/>
    <sheet name="م المؤهلات الدراسية للمعلمين" sheetId="44" r:id="rId14"/>
    <sheet name="تخصصات المعلمين اساسي" sheetId="37" r:id="rId15"/>
    <sheet name="تخصصات المعلمين ثانوي" sheetId="45" r:id="rId16"/>
    <sheet name="قوى عاملة أساسي مديرية" sheetId="40" r:id="rId17"/>
    <sheet name="قوى عاملة ثانوي مديرية " sheetId="13" r:id="rId18"/>
    <sheet name="مديرية معلمين اساسي" sheetId="7" r:id="rId19"/>
    <sheet name="معلمين  ثانوي مديرية)" sheetId="64" r:id="rId20"/>
    <sheet name="احصائية بموظفي المديرية" sheetId="65" r:id="rId21"/>
    <sheet name="الموجهين " sheetId="36" r:id="rId22"/>
    <sheet name="رياض اطفال  الطلبه والمربي حكوم" sheetId="77" r:id="rId23"/>
    <sheet name="رياض اطفال  الطلبه والمربي أهلي" sheetId="72" r:id="rId24"/>
    <sheet name=" حكومي  مكونات المبنى المدرسي" sheetId="67" r:id="rId25"/>
    <sheet name="اساسي من 6-9" sheetId="21" state="hidden" r:id="rId26"/>
    <sheet name="ورقة1" sheetId="19" state="hidden" r:id="rId27"/>
    <sheet name="طلاب تحفيظ أولي" sheetId="38" r:id="rId28"/>
    <sheet name="طلاب تحفيظ تكميلي" sheetId="39" r:id="rId29"/>
    <sheet name="قوى عاملة تحفيظ أولي وتكميلي" sheetId="12" r:id="rId30"/>
    <sheet name="احصائيات بمكونات المبنى تجميع م" sheetId="46" r:id="rId31"/>
    <sheet name="  مكونات المبنى المدرسة " sheetId="73" r:id="rId32"/>
    <sheet name="التجهيزات المدرسة" sheetId="18" r:id="rId33"/>
    <sheet name="المديرية بالتجهيزات المدرسية" sheetId="47" r:id="rId34"/>
    <sheet name=" خاص بالمدرسة النازحين تجميع م" sheetId="74" r:id="rId35"/>
    <sheet name=" خاص بالمدرسة النازحين" sheetId="49" r:id="rId36"/>
    <sheet name="النازحين خارج المدرسة" sheetId="68" r:id="rId37"/>
    <sheet name="المتطوعين في المدرسة" sheetId="69" r:id="rId38"/>
    <sheet name=" المتطوعين تجميع المديرية" sheetId="50" r:id="rId39"/>
  </sheets>
  <definedNames>
    <definedName name="_xlnm._FilterDatabase" localSheetId="21" hidden="1">'الموجهين '!$A$4:$L$5</definedName>
    <definedName name="_xlnm._FilterDatabase" localSheetId="27" hidden="1">'طلاب تحفيظ أولي'!$A$3:$AP$26</definedName>
    <definedName name="_xlnm._FilterDatabase" localSheetId="16" hidden="1">'قوى عاملة أساسي مديرية'!$A$5:$AJ$26</definedName>
    <definedName name="_xlnm._FilterDatabase" localSheetId="0" hidden="1">'قوى عاملة تحفيظ أولي (2)'!$A$5:$P$26</definedName>
    <definedName name="_xlnm._FilterDatabase" localSheetId="29" hidden="1">'قوى عاملة تحفيظ أولي وتكميلي'!$A$5:$P$26</definedName>
    <definedName name="_xlnm._FilterDatabase" localSheetId="17" hidden="1">'قوى عاملة ثانوي مديرية '!$A$6:$AK$27</definedName>
    <definedName name="_xlnm.Print_Area" localSheetId="38">' المتطوعين تجميع المديرية'!$A$1:$K$25</definedName>
    <definedName name="_xlnm.Print_Area" localSheetId="35">' خاص بالمدرسة النازحين'!$A$1:$K$25</definedName>
    <definedName name="_xlnm.Print_Area" localSheetId="34">' خاص بالمدرسة النازحين تجميع م'!$A$1:$K$25</definedName>
    <definedName name="_xlnm.Print_Area" localSheetId="11">' مديرية عدد المدارس'!$A$1:$T$21</definedName>
    <definedName name="_xlnm.Print_Area" localSheetId="30">'احصائيات بمكونات المبنى تجميع م'!$A$1:$AI$34</definedName>
    <definedName name="_xlnm.Print_Area" localSheetId="12">'احصائية عامة بعدد المدارس'!$A$1:$Q$8</definedName>
    <definedName name="_xlnm.Print_Area" localSheetId="32">'التجهيزات المدرسة'!$A$1:$AJ$18</definedName>
    <definedName name="_xlnm.Print_Area" localSheetId="37">'المتطوعين في المدرسة'!$A$1:$K$25</definedName>
    <definedName name="_xlnm.Print_Area" localSheetId="33">'المديرية بالتجهيزات المدرسية'!$A$1:$AL$31</definedName>
    <definedName name="_xlnm.Print_Area" localSheetId="21">'الموجهين '!$A$1:$L$66</definedName>
    <definedName name="_xlnm.Print_Area" localSheetId="36">'النازحين خارج المدرسة'!$A$1:$L$25</definedName>
    <definedName name="_xlnm.Print_Area" localSheetId="14">'تخصصات المعلمين اساسي'!$A$1:$AE$37</definedName>
    <definedName name="_xlnm.Print_Area" localSheetId="15">'تخصصات المعلمين ثانوي'!$A$1:$AM$37</definedName>
    <definedName name="_xlnm.Print_Area" localSheetId="27">'طلاب تحفيظ أولي'!$A$1:$AP$29</definedName>
    <definedName name="_xlnm.Print_Area" localSheetId="16">'قوى عاملة أساسي مديرية'!$A$1:$AG$30</definedName>
    <definedName name="_xlnm.Print_Area" localSheetId="0">'قوى عاملة تحفيظ أولي (2)'!$A$1:$M$30</definedName>
    <definedName name="_xlnm.Print_Area" localSheetId="29">'قوى عاملة تحفيظ أولي وتكميلي'!$A$1:$M$30</definedName>
    <definedName name="_xlnm.Print_Area" localSheetId="17">'قوى عاملة ثانوي مديرية '!$A$1:$AG$32</definedName>
    <definedName name="_xlnm.Print_Area" localSheetId="13">'م المؤهلات الدراسية للمعلمين'!$A$1:$AA$35</definedName>
    <definedName name="_xlnm.Print_Titles" localSheetId="27">'طلاب تحفيظ أولي'!$A:$B</definedName>
    <definedName name="_xlnm.Print_Titles" localSheetId="18">'مديرية معلمين اساسي'!$1:$9</definedName>
  </definedNames>
  <calcPr calcId="179021"/>
</workbook>
</file>

<file path=xl/calcChain.xml><?xml version="1.0" encoding="utf-8"?>
<calcChain xmlns="http://schemas.openxmlformats.org/spreadsheetml/2006/main">
  <c r="H28" i="77" l="1"/>
  <c r="G28" i="77"/>
  <c r="E28" i="77"/>
  <c r="D28" i="77"/>
  <c r="F28" i="77" s="1"/>
  <c r="I27" i="77"/>
  <c r="F27" i="77"/>
  <c r="I26" i="77"/>
  <c r="F26" i="77"/>
  <c r="I25" i="77"/>
  <c r="F25" i="77"/>
  <c r="I24" i="77"/>
  <c r="F24" i="77"/>
  <c r="I23" i="77"/>
  <c r="F23" i="77"/>
  <c r="I22" i="77"/>
  <c r="F22" i="77"/>
  <c r="I21" i="77"/>
  <c r="F21" i="77"/>
  <c r="I20" i="77"/>
  <c r="F20" i="77"/>
  <c r="I19" i="77"/>
  <c r="F19" i="77"/>
  <c r="I18" i="77"/>
  <c r="F18" i="77"/>
  <c r="I17" i="77"/>
  <c r="F17" i="77"/>
  <c r="I16" i="77"/>
  <c r="F16" i="77"/>
  <c r="I15" i="77"/>
  <c r="F15" i="77"/>
  <c r="I14" i="77"/>
  <c r="F14" i="77"/>
  <c r="I13" i="77"/>
  <c r="F13" i="77"/>
  <c r="I12" i="77"/>
  <c r="F12" i="77"/>
  <c r="I11" i="77"/>
  <c r="F11" i="77"/>
  <c r="I10" i="77"/>
  <c r="I28" i="77" s="1"/>
  <c r="F10" i="77"/>
  <c r="I9" i="77"/>
  <c r="F9" i="77"/>
  <c r="I8" i="77"/>
  <c r="F8" i="77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 s="1"/>
  <c r="I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2" i="72"/>
  <c r="F23" i="72"/>
  <c r="F24" i="72"/>
  <c r="F25" i="72"/>
  <c r="F26" i="72"/>
  <c r="F27" i="72"/>
  <c r="F8" i="72"/>
  <c r="H28" i="72"/>
  <c r="G28" i="72"/>
  <c r="M26" i="75"/>
  <c r="L26" i="75"/>
  <c r="K26" i="75"/>
  <c r="J26" i="75"/>
  <c r="I26" i="75"/>
  <c r="H26" i="75"/>
  <c r="G26" i="75"/>
  <c r="F26" i="75"/>
  <c r="E26" i="75"/>
  <c r="D26" i="75"/>
  <c r="C26" i="75"/>
  <c r="E28" i="72"/>
  <c r="D28" i="72"/>
  <c r="B14" i="16"/>
  <c r="F28" i="72" l="1"/>
  <c r="P12" i="39"/>
  <c r="Q12" i="39"/>
  <c r="O12" i="39"/>
  <c r="Q13" i="39"/>
  <c r="Q14" i="39"/>
  <c r="Q15" i="39"/>
  <c r="Q16" i="39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P13" i="39"/>
  <c r="P14" i="39"/>
  <c r="P15" i="39"/>
  <c r="P16" i="39"/>
  <c r="P17" i="39"/>
  <c r="P18" i="39"/>
  <c r="P19" i="39"/>
  <c r="P20" i="39"/>
  <c r="P21" i="39"/>
  <c r="P22" i="39"/>
  <c r="P23" i="39"/>
  <c r="P24" i="39"/>
  <c r="P25" i="39"/>
  <c r="P26" i="39"/>
  <c r="P27" i="39"/>
  <c r="P28" i="39"/>
  <c r="P29" i="39"/>
  <c r="P30" i="39"/>
  <c r="P31" i="39"/>
  <c r="P32" i="39"/>
  <c r="O13" i="39"/>
  <c r="O14" i="39"/>
  <c r="O15" i="39"/>
  <c r="O16" i="39"/>
  <c r="O17" i="39"/>
  <c r="O18" i="39"/>
  <c r="O19" i="39"/>
  <c r="O20" i="39"/>
  <c r="O21" i="39"/>
  <c r="O22" i="39"/>
  <c r="O23" i="39"/>
  <c r="O24" i="39"/>
  <c r="O25" i="39"/>
  <c r="O26" i="39"/>
  <c r="O27" i="39"/>
  <c r="O28" i="39"/>
  <c r="O29" i="39"/>
  <c r="O30" i="39"/>
  <c r="O31" i="39"/>
  <c r="E31" i="65" l="1"/>
  <c r="D31" i="65"/>
  <c r="C31" i="65"/>
  <c r="E21" i="65"/>
  <c r="E22" i="65"/>
  <c r="E23" i="65"/>
  <c r="E24" i="65"/>
  <c r="E25" i="65"/>
  <c r="E26" i="65"/>
  <c r="E27" i="65"/>
  <c r="E28" i="65"/>
  <c r="E29" i="65"/>
  <c r="E30" i="65"/>
  <c r="C11" i="7" l="1"/>
  <c r="C12" i="7"/>
  <c r="C13" i="7"/>
  <c r="E20" i="65" l="1"/>
  <c r="E19" i="65"/>
  <c r="E18" i="65"/>
  <c r="E17" i="65"/>
  <c r="E16" i="65"/>
  <c r="E15" i="65"/>
  <c r="E14" i="65"/>
  <c r="E13" i="65"/>
  <c r="E12" i="65"/>
  <c r="E11" i="65"/>
  <c r="E9" i="65"/>
  <c r="E8" i="65"/>
  <c r="E7" i="65"/>
  <c r="E10" i="65" l="1"/>
  <c r="E6" i="65"/>
  <c r="D30" i="64"/>
  <c r="C30" i="64"/>
  <c r="E30" i="64" s="1"/>
  <c r="D29" i="64"/>
  <c r="C29" i="64"/>
  <c r="E29" i="64" s="1"/>
  <c r="D28" i="64"/>
  <c r="C28" i="64"/>
  <c r="E28" i="64" s="1"/>
  <c r="D27" i="64"/>
  <c r="C27" i="64"/>
  <c r="E27" i="64" s="1"/>
  <c r="D26" i="64"/>
  <c r="C26" i="64"/>
  <c r="E26" i="64" s="1"/>
  <c r="D25" i="64"/>
  <c r="C25" i="64"/>
  <c r="D24" i="64"/>
  <c r="C24" i="64"/>
  <c r="D23" i="64"/>
  <c r="C23" i="64"/>
  <c r="D22" i="64"/>
  <c r="C22" i="64"/>
  <c r="D21" i="64"/>
  <c r="C21" i="64"/>
  <c r="D20" i="64"/>
  <c r="C20" i="64"/>
  <c r="D19" i="64"/>
  <c r="C19" i="64"/>
  <c r="D18" i="64"/>
  <c r="C18" i="64"/>
  <c r="D17" i="64"/>
  <c r="C17" i="64"/>
  <c r="D16" i="64"/>
  <c r="C16" i="64"/>
  <c r="D15" i="64"/>
  <c r="C15" i="64"/>
  <c r="D14" i="64"/>
  <c r="C14" i="64"/>
  <c r="D13" i="64"/>
  <c r="C13" i="64"/>
  <c r="D12" i="64"/>
  <c r="C12" i="64"/>
  <c r="D11" i="64"/>
  <c r="C11" i="64"/>
  <c r="E15" i="64" l="1"/>
  <c r="E17" i="64"/>
  <c r="E14" i="64"/>
  <c r="E22" i="64"/>
  <c r="E23" i="64"/>
  <c r="E16" i="64"/>
  <c r="E18" i="64"/>
  <c r="E24" i="64"/>
  <c r="E19" i="64"/>
  <c r="E25" i="64"/>
  <c r="E21" i="64"/>
  <c r="E13" i="64"/>
  <c r="D31" i="64"/>
  <c r="E20" i="64"/>
  <c r="E11" i="64"/>
  <c r="C31" i="64"/>
  <c r="E12" i="64"/>
  <c r="E31" i="64" l="1"/>
  <c r="AD26" i="40" l="1"/>
  <c r="AC26" i="40"/>
  <c r="AB26" i="40"/>
  <c r="AA26" i="40"/>
  <c r="Z26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AF25" i="40"/>
  <c r="AE25" i="40"/>
  <c r="AF24" i="40"/>
  <c r="AE24" i="40"/>
  <c r="AF23" i="40"/>
  <c r="AE23" i="40"/>
  <c r="AG23" i="40" s="1"/>
  <c r="AF22" i="40"/>
  <c r="AE22" i="40"/>
  <c r="AF21" i="40"/>
  <c r="AE21" i="40"/>
  <c r="AF20" i="40"/>
  <c r="AE20" i="40"/>
  <c r="AF19" i="40"/>
  <c r="AE19" i="40"/>
  <c r="AF18" i="40"/>
  <c r="AE18" i="40"/>
  <c r="AF17" i="40"/>
  <c r="AE17" i="40"/>
  <c r="AG17" i="40" s="1"/>
  <c r="AF16" i="40"/>
  <c r="AE16" i="40"/>
  <c r="AF15" i="40"/>
  <c r="AE15" i="40"/>
  <c r="AF14" i="40"/>
  <c r="AE14" i="40"/>
  <c r="AG14" i="40" s="1"/>
  <c r="AF13" i="40"/>
  <c r="AE13" i="40"/>
  <c r="AF12" i="40"/>
  <c r="AE12" i="40"/>
  <c r="AF11" i="40"/>
  <c r="AE11" i="40"/>
  <c r="AF10" i="40"/>
  <c r="AE10" i="40"/>
  <c r="AF9" i="40"/>
  <c r="AE9" i="40"/>
  <c r="AF8" i="40"/>
  <c r="AE8" i="40"/>
  <c r="AF7" i="40"/>
  <c r="AE7" i="40"/>
  <c r="AF6" i="40"/>
  <c r="AE6" i="40"/>
  <c r="M32" i="39"/>
  <c r="L32" i="39"/>
  <c r="K32" i="39"/>
  <c r="I32" i="39"/>
  <c r="H32" i="39"/>
  <c r="G32" i="39"/>
  <c r="E32" i="39"/>
  <c r="D32" i="39"/>
  <c r="C32" i="39"/>
  <c r="R31" i="39"/>
  <c r="J31" i="39"/>
  <c r="F31" i="39"/>
  <c r="J30" i="39"/>
  <c r="F30" i="39"/>
  <c r="R29" i="39"/>
  <c r="J29" i="39"/>
  <c r="F29" i="39"/>
  <c r="J28" i="39"/>
  <c r="F28" i="39"/>
  <c r="J27" i="39"/>
  <c r="F27" i="39"/>
  <c r="J26" i="39"/>
  <c r="F26" i="39"/>
  <c r="J25" i="39"/>
  <c r="F25" i="39"/>
  <c r="J24" i="39"/>
  <c r="F24" i="39"/>
  <c r="J23" i="39"/>
  <c r="F23" i="39"/>
  <c r="J22" i="39"/>
  <c r="F22" i="39"/>
  <c r="J21" i="39"/>
  <c r="F21" i="39"/>
  <c r="J20" i="39"/>
  <c r="F20" i="39"/>
  <c r="J19" i="39"/>
  <c r="F19" i="39"/>
  <c r="J18" i="39"/>
  <c r="F18" i="39"/>
  <c r="N17" i="39"/>
  <c r="J17" i="39"/>
  <c r="F17" i="39"/>
  <c r="J16" i="39"/>
  <c r="F16" i="39"/>
  <c r="N15" i="39"/>
  <c r="J15" i="39"/>
  <c r="F15" i="39"/>
  <c r="N14" i="39"/>
  <c r="J14" i="39"/>
  <c r="F14" i="39"/>
  <c r="N13" i="39"/>
  <c r="J13" i="39"/>
  <c r="F13" i="39"/>
  <c r="N12" i="39"/>
  <c r="J12" i="39"/>
  <c r="F12" i="39"/>
  <c r="AK26" i="38"/>
  <c r="AJ26" i="38"/>
  <c r="AI26" i="38"/>
  <c r="AG26" i="38"/>
  <c r="AF26" i="38"/>
  <c r="AE26" i="38"/>
  <c r="AC26" i="38"/>
  <c r="AB26" i="38"/>
  <c r="AA26" i="38"/>
  <c r="Y26" i="38"/>
  <c r="X26" i="38"/>
  <c r="W26" i="38"/>
  <c r="U26" i="38"/>
  <c r="T26" i="38"/>
  <c r="S26" i="38"/>
  <c r="Q26" i="38"/>
  <c r="P26" i="38"/>
  <c r="O26" i="38"/>
  <c r="M26" i="38"/>
  <c r="L26" i="38"/>
  <c r="K26" i="38"/>
  <c r="I26" i="38"/>
  <c r="H26" i="38"/>
  <c r="G26" i="38"/>
  <c r="E26" i="38"/>
  <c r="D26" i="38"/>
  <c r="C26" i="38"/>
  <c r="AO25" i="38"/>
  <c r="AN25" i="38"/>
  <c r="AM25" i="38"/>
  <c r="AL25" i="38"/>
  <c r="AH25" i="38"/>
  <c r="AD25" i="38"/>
  <c r="Z25" i="38"/>
  <c r="V25" i="38"/>
  <c r="R25" i="38"/>
  <c r="N25" i="38"/>
  <c r="J25" i="38"/>
  <c r="F25" i="38"/>
  <c r="AO24" i="38"/>
  <c r="AN24" i="38"/>
  <c r="AM24" i="38"/>
  <c r="AL24" i="38"/>
  <c r="AH24" i="38"/>
  <c r="AD24" i="38"/>
  <c r="Z24" i="38"/>
  <c r="V24" i="38"/>
  <c r="R24" i="38"/>
  <c r="N24" i="38"/>
  <c r="J24" i="38"/>
  <c r="F24" i="38"/>
  <c r="AO23" i="38"/>
  <c r="AN23" i="38"/>
  <c r="AM23" i="38"/>
  <c r="AL23" i="38"/>
  <c r="AH23" i="38"/>
  <c r="AD23" i="38"/>
  <c r="Z23" i="38"/>
  <c r="V23" i="38"/>
  <c r="R23" i="38"/>
  <c r="N23" i="38"/>
  <c r="J23" i="38"/>
  <c r="F23" i="38"/>
  <c r="AO22" i="38"/>
  <c r="AN22" i="38"/>
  <c r="AM22" i="38"/>
  <c r="AL22" i="38"/>
  <c r="AH22" i="38"/>
  <c r="AD22" i="38"/>
  <c r="Z22" i="38"/>
  <c r="V22" i="38"/>
  <c r="R22" i="38"/>
  <c r="N22" i="38"/>
  <c r="J22" i="38"/>
  <c r="F22" i="38"/>
  <c r="AO21" i="38"/>
  <c r="AN21" i="38"/>
  <c r="AM21" i="38"/>
  <c r="AL21" i="38"/>
  <c r="AH21" i="38"/>
  <c r="AD21" i="38"/>
  <c r="Z21" i="38"/>
  <c r="V21" i="38"/>
  <c r="R21" i="38"/>
  <c r="N21" i="38"/>
  <c r="J21" i="38"/>
  <c r="F21" i="38"/>
  <c r="AO20" i="38"/>
  <c r="AN20" i="38"/>
  <c r="AM20" i="38"/>
  <c r="AL20" i="38"/>
  <c r="AH20" i="38"/>
  <c r="AD20" i="38"/>
  <c r="Z20" i="38"/>
  <c r="V20" i="38"/>
  <c r="R20" i="38"/>
  <c r="N20" i="38"/>
  <c r="J20" i="38"/>
  <c r="F20" i="38"/>
  <c r="AO19" i="38"/>
  <c r="AN19" i="38"/>
  <c r="AM19" i="38"/>
  <c r="AL19" i="38"/>
  <c r="AH19" i="38"/>
  <c r="AD19" i="38"/>
  <c r="Z19" i="38"/>
  <c r="V19" i="38"/>
  <c r="R19" i="38"/>
  <c r="N19" i="38"/>
  <c r="J19" i="38"/>
  <c r="F19" i="38"/>
  <c r="AO18" i="38"/>
  <c r="AP18" i="38" s="1"/>
  <c r="AN18" i="38"/>
  <c r="AM18" i="38"/>
  <c r="AL18" i="38"/>
  <c r="AH18" i="38"/>
  <c r="AD18" i="38"/>
  <c r="Z18" i="38"/>
  <c r="V18" i="38"/>
  <c r="R18" i="38"/>
  <c r="N18" i="38"/>
  <c r="J18" i="38"/>
  <c r="F18" i="38"/>
  <c r="AO17" i="38"/>
  <c r="AN17" i="38"/>
  <c r="AM17" i="38"/>
  <c r="AL17" i="38"/>
  <c r="AH17" i="38"/>
  <c r="AD17" i="38"/>
  <c r="Z17" i="38"/>
  <c r="V17" i="38"/>
  <c r="R17" i="38"/>
  <c r="N17" i="38"/>
  <c r="J17" i="38"/>
  <c r="F17" i="38"/>
  <c r="AO16" i="38"/>
  <c r="AN16" i="38"/>
  <c r="AM16" i="38"/>
  <c r="AL16" i="38"/>
  <c r="AH16" i="38"/>
  <c r="AD16" i="38"/>
  <c r="Z16" i="38"/>
  <c r="V16" i="38"/>
  <c r="R16" i="38"/>
  <c r="N16" i="38"/>
  <c r="J16" i="38"/>
  <c r="F16" i="38"/>
  <c r="AO15" i="38"/>
  <c r="AN15" i="38"/>
  <c r="AM15" i="38"/>
  <c r="AL15" i="38"/>
  <c r="AH15" i="38"/>
  <c r="AD15" i="38"/>
  <c r="Z15" i="38"/>
  <c r="V15" i="38"/>
  <c r="R15" i="38"/>
  <c r="N15" i="38"/>
  <c r="J15" i="38"/>
  <c r="F15" i="38"/>
  <c r="AO14" i="38"/>
  <c r="AN14" i="38"/>
  <c r="AM14" i="38"/>
  <c r="AL14" i="38"/>
  <c r="AH14" i="38"/>
  <c r="AD14" i="38"/>
  <c r="Z14" i="38"/>
  <c r="V14" i="38"/>
  <c r="R14" i="38"/>
  <c r="N14" i="38"/>
  <c r="J14" i="38"/>
  <c r="F14" i="38"/>
  <c r="AO13" i="38"/>
  <c r="AN13" i="38"/>
  <c r="AP13" i="38" s="1"/>
  <c r="AM13" i="38"/>
  <c r="AL13" i="38"/>
  <c r="AH13" i="38"/>
  <c r="AD13" i="38"/>
  <c r="Z13" i="38"/>
  <c r="V13" i="38"/>
  <c r="R13" i="38"/>
  <c r="N13" i="38"/>
  <c r="J13" i="38"/>
  <c r="F13" i="38"/>
  <c r="AO12" i="38"/>
  <c r="AN12" i="38"/>
  <c r="AM12" i="38"/>
  <c r="AL12" i="38"/>
  <c r="AH12" i="38"/>
  <c r="AD12" i="38"/>
  <c r="Z12" i="38"/>
  <c r="V12" i="38"/>
  <c r="R12" i="38"/>
  <c r="N12" i="38"/>
  <c r="J12" i="38"/>
  <c r="F12" i="38"/>
  <c r="AO11" i="38"/>
  <c r="AN11" i="38"/>
  <c r="AP11" i="38" s="1"/>
  <c r="AM11" i="38"/>
  <c r="AL11" i="38"/>
  <c r="AH11" i="38"/>
  <c r="AD11" i="38"/>
  <c r="Z11" i="38"/>
  <c r="V11" i="38"/>
  <c r="R11" i="38"/>
  <c r="N11" i="38"/>
  <c r="J11" i="38"/>
  <c r="F11" i="38"/>
  <c r="AO10" i="38"/>
  <c r="AN10" i="38"/>
  <c r="AM10" i="38"/>
  <c r="AL10" i="38"/>
  <c r="AH10" i="38"/>
  <c r="AD10" i="38"/>
  <c r="Z10" i="38"/>
  <c r="V10" i="38"/>
  <c r="R10" i="38"/>
  <c r="N10" i="38"/>
  <c r="J10" i="38"/>
  <c r="F10" i="38"/>
  <c r="AO9" i="38"/>
  <c r="AN9" i="38"/>
  <c r="AP9" i="38" s="1"/>
  <c r="AM9" i="38"/>
  <c r="AL9" i="38"/>
  <c r="AH9" i="38"/>
  <c r="AD9" i="38"/>
  <c r="Z9" i="38"/>
  <c r="V9" i="38"/>
  <c r="R9" i="38"/>
  <c r="N9" i="38"/>
  <c r="J9" i="38"/>
  <c r="F9" i="38"/>
  <c r="AO8" i="38"/>
  <c r="AN8" i="38"/>
  <c r="AM8" i="38"/>
  <c r="AL8" i="38"/>
  <c r="AH8" i="38"/>
  <c r="AD8" i="38"/>
  <c r="Z8" i="38"/>
  <c r="V8" i="38"/>
  <c r="R8" i="38"/>
  <c r="N8" i="38"/>
  <c r="J8" i="38"/>
  <c r="F8" i="38"/>
  <c r="AO7" i="38"/>
  <c r="AN7" i="38"/>
  <c r="AM7" i="38"/>
  <c r="AL7" i="38"/>
  <c r="AH7" i="38"/>
  <c r="AD7" i="38"/>
  <c r="Z7" i="38"/>
  <c r="V7" i="38"/>
  <c r="R7" i="38"/>
  <c r="N7" i="38"/>
  <c r="J7" i="38"/>
  <c r="F7" i="38"/>
  <c r="AO6" i="38"/>
  <c r="AN6" i="38"/>
  <c r="AM6" i="38"/>
  <c r="AL6" i="38"/>
  <c r="AH6" i="38"/>
  <c r="AD6" i="38"/>
  <c r="Z6" i="38"/>
  <c r="V6" i="38"/>
  <c r="R6" i="38"/>
  <c r="N6" i="38"/>
  <c r="J6" i="38"/>
  <c r="F6" i="38"/>
  <c r="F15" i="15"/>
  <c r="F16" i="15"/>
  <c r="F14" i="15"/>
  <c r="J15" i="15"/>
  <c r="J16" i="15"/>
  <c r="J14" i="15"/>
  <c r="N15" i="15"/>
  <c r="N16" i="15"/>
  <c r="N14" i="15"/>
  <c r="C16" i="15"/>
  <c r="D16" i="15"/>
  <c r="E16" i="15"/>
  <c r="C15" i="15"/>
  <c r="D15" i="15"/>
  <c r="C14" i="15"/>
  <c r="B14" i="15" s="1"/>
  <c r="D14" i="15"/>
  <c r="E15" i="15"/>
  <c r="E14" i="15"/>
  <c r="P17" i="15"/>
  <c r="Q17" i="15"/>
  <c r="O32" i="39" l="1"/>
  <c r="R21" i="39"/>
  <c r="AG13" i="40"/>
  <c r="AG19" i="40"/>
  <c r="AG8" i="40"/>
  <c r="AG20" i="40"/>
  <c r="AP17" i="38"/>
  <c r="AP25" i="38"/>
  <c r="AG9" i="40"/>
  <c r="AP10" i="38"/>
  <c r="AP6" i="38"/>
  <c r="B16" i="15"/>
  <c r="R16" i="39"/>
  <c r="B15" i="15"/>
  <c r="AG6" i="40"/>
  <c r="AP16" i="38"/>
  <c r="AP22" i="38"/>
  <c r="AH26" i="38"/>
  <c r="AP21" i="38"/>
  <c r="AG21" i="40"/>
  <c r="AG25" i="40"/>
  <c r="AG7" i="40"/>
  <c r="AD26" i="38"/>
  <c r="AP7" i="38"/>
  <c r="AP24" i="38"/>
  <c r="AF26" i="40"/>
  <c r="AG10" i="40"/>
  <c r="AG24" i="40"/>
  <c r="O17" i="15"/>
  <c r="N17" i="15" s="1"/>
  <c r="F26" i="38"/>
  <c r="AL26" i="38"/>
  <c r="AP15" i="38"/>
  <c r="R17" i="39"/>
  <c r="R25" i="39"/>
  <c r="AG11" i="40"/>
  <c r="AG18" i="40"/>
  <c r="J26" i="38"/>
  <c r="AM26" i="38"/>
  <c r="AP19" i="38"/>
  <c r="AG15" i="40"/>
  <c r="AG22" i="40"/>
  <c r="N26" i="38"/>
  <c r="AN26" i="38"/>
  <c r="AP8" i="38"/>
  <c r="AP23" i="38"/>
  <c r="R26" i="38"/>
  <c r="AP12" i="38"/>
  <c r="R13" i="39"/>
  <c r="AG12" i="40"/>
  <c r="V26" i="38"/>
  <c r="AG16" i="40"/>
  <c r="Z26" i="38"/>
  <c r="AP14" i="38"/>
  <c r="AP20" i="38"/>
  <c r="R14" i="39"/>
  <c r="F32" i="39"/>
  <c r="R15" i="39"/>
  <c r="J32" i="39"/>
  <c r="R19" i="39"/>
  <c r="R23" i="39"/>
  <c r="R27" i="39"/>
  <c r="N32" i="39"/>
  <c r="R12" i="39"/>
  <c r="R18" i="39"/>
  <c r="R22" i="39"/>
  <c r="R26" i="39"/>
  <c r="R30" i="39"/>
  <c r="R20" i="39"/>
  <c r="R24" i="39"/>
  <c r="R28" i="39"/>
  <c r="AE26" i="40"/>
  <c r="R32" i="39"/>
  <c r="AO26" i="38"/>
  <c r="M17" i="15"/>
  <c r="AP26" i="38" l="1"/>
  <c r="AG26" i="40"/>
  <c r="L17" i="15"/>
  <c r="K17" i="15" s="1"/>
  <c r="J17" i="15" l="1"/>
  <c r="I17" i="15" s="1"/>
  <c r="H17" i="15" s="1"/>
  <c r="G17" i="15" s="1"/>
  <c r="F17" i="15" s="1"/>
  <c r="E17" i="15" s="1"/>
  <c r="D17" i="15" s="1"/>
  <c r="C17" i="15" s="1"/>
  <c r="B17" i="15" l="1"/>
  <c r="D11" i="7" l="1"/>
  <c r="D12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D10" i="7"/>
  <c r="C10" i="7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C27" i="13"/>
  <c r="AE8" i="13"/>
  <c r="AF8" i="13"/>
  <c r="AE9" i="13"/>
  <c r="AF9" i="13"/>
  <c r="AE10" i="13"/>
  <c r="AF10" i="13"/>
  <c r="AE11" i="13"/>
  <c r="AF11" i="13"/>
  <c r="AE12" i="13"/>
  <c r="AF12" i="13"/>
  <c r="AE13" i="13"/>
  <c r="AF13" i="13"/>
  <c r="AE14" i="13"/>
  <c r="AF14" i="13"/>
  <c r="AE15" i="13"/>
  <c r="AF15" i="13"/>
  <c r="AE16" i="13"/>
  <c r="AF16" i="13"/>
  <c r="AE17" i="13"/>
  <c r="AF17" i="13"/>
  <c r="AE18" i="13"/>
  <c r="AF18" i="13"/>
  <c r="AE19" i="13"/>
  <c r="AF19" i="13"/>
  <c r="AE20" i="13"/>
  <c r="AF20" i="13"/>
  <c r="AE21" i="13"/>
  <c r="AF21" i="13"/>
  <c r="AE22" i="13"/>
  <c r="AF22" i="13"/>
  <c r="AE23" i="13"/>
  <c r="AF23" i="13"/>
  <c r="AE24" i="13"/>
  <c r="AF24" i="13"/>
  <c r="AE25" i="13"/>
  <c r="AF25" i="13"/>
  <c r="AE26" i="13"/>
  <c r="AF26" i="13"/>
  <c r="AF7" i="13"/>
  <c r="AE7" i="13"/>
  <c r="AG7" i="13" l="1"/>
  <c r="AG25" i="13"/>
  <c r="AG11" i="13"/>
  <c r="AG22" i="13"/>
  <c r="AG20" i="13"/>
  <c r="AG16" i="13"/>
  <c r="AG10" i="13"/>
  <c r="AG24" i="13"/>
  <c r="AG12" i="13"/>
  <c r="AG26" i="13"/>
  <c r="AG23" i="13"/>
  <c r="AG21" i="13"/>
  <c r="AG19" i="13"/>
  <c r="AG18" i="13"/>
  <c r="AG17" i="13"/>
  <c r="AG15" i="13"/>
  <c r="AG14" i="13"/>
  <c r="AF27" i="13"/>
  <c r="AG13" i="13"/>
  <c r="AG9" i="13"/>
  <c r="AG8" i="13"/>
  <c r="AE27" i="13"/>
  <c r="AG27" i="13" l="1"/>
  <c r="E17" i="17" l="1"/>
  <c r="E15" i="17"/>
  <c r="E16" i="17"/>
  <c r="E14" i="17"/>
  <c r="C18" i="17"/>
  <c r="F18" i="17"/>
  <c r="D18" i="17"/>
  <c r="E13" i="17"/>
  <c r="C19" i="17" l="1"/>
  <c r="D19" i="17"/>
  <c r="B18" i="17"/>
  <c r="B19" i="17" l="1"/>
  <c r="E18" i="17"/>
  <c r="X32" i="21" l="1"/>
  <c r="W32" i="21"/>
  <c r="V32" i="21"/>
  <c r="T32" i="21"/>
  <c r="S32" i="21"/>
  <c r="R32" i="21"/>
  <c r="P32" i="21"/>
  <c r="O32" i="21"/>
  <c r="N32" i="21"/>
  <c r="L32" i="21"/>
  <c r="K32" i="21"/>
  <c r="J32" i="21"/>
  <c r="H32" i="21"/>
  <c r="G32" i="21"/>
  <c r="F32" i="21"/>
  <c r="E32" i="21"/>
  <c r="D32" i="21"/>
  <c r="Y31" i="21"/>
  <c r="U31" i="21"/>
  <c r="Q31" i="21"/>
  <c r="M31" i="21"/>
  <c r="I31" i="21"/>
  <c r="Y30" i="21"/>
  <c r="U30" i="21"/>
  <c r="Q30" i="21"/>
  <c r="M30" i="21"/>
  <c r="I30" i="21"/>
  <c r="Y29" i="21"/>
  <c r="U29" i="21"/>
  <c r="Q29" i="21"/>
  <c r="M29" i="21"/>
  <c r="I29" i="21"/>
  <c r="Y28" i="21"/>
  <c r="U28" i="21"/>
  <c r="Q28" i="21"/>
  <c r="M28" i="21"/>
  <c r="I28" i="21"/>
  <c r="Y27" i="21"/>
  <c r="U27" i="21"/>
  <c r="Q27" i="21"/>
  <c r="M27" i="21"/>
  <c r="I27" i="21"/>
  <c r="Y26" i="21"/>
  <c r="U26" i="21"/>
  <c r="Q26" i="21"/>
  <c r="M26" i="21"/>
  <c r="I26" i="21"/>
  <c r="Y25" i="21"/>
  <c r="U25" i="21"/>
  <c r="Q25" i="21"/>
  <c r="M25" i="21"/>
  <c r="I25" i="21"/>
  <c r="Y24" i="21"/>
  <c r="U24" i="21"/>
  <c r="Q24" i="21"/>
  <c r="M24" i="21"/>
  <c r="I24" i="21"/>
  <c r="Y23" i="21"/>
  <c r="U23" i="21"/>
  <c r="Q23" i="21"/>
  <c r="M23" i="21"/>
  <c r="I23" i="21"/>
  <c r="Y22" i="21"/>
  <c r="U22" i="21"/>
  <c r="Q22" i="21"/>
  <c r="M22" i="21"/>
  <c r="I22" i="21"/>
  <c r="Y21" i="21"/>
  <c r="U21" i="21"/>
  <c r="Q21" i="21"/>
  <c r="M21" i="21"/>
  <c r="I21" i="21"/>
  <c r="Y20" i="21"/>
  <c r="U20" i="21"/>
  <c r="Q20" i="21"/>
  <c r="M20" i="21"/>
  <c r="I20" i="21"/>
  <c r="Y19" i="21"/>
  <c r="U19" i="21"/>
  <c r="Q19" i="21"/>
  <c r="M19" i="21"/>
  <c r="I19" i="21"/>
  <c r="Y18" i="21"/>
  <c r="U18" i="21"/>
  <c r="Q18" i="21"/>
  <c r="M18" i="21"/>
  <c r="I18" i="21"/>
  <c r="Y17" i="21"/>
  <c r="U17" i="21"/>
  <c r="Q17" i="21"/>
  <c r="M17" i="21"/>
  <c r="I17" i="21"/>
  <c r="Y16" i="21"/>
  <c r="U16" i="21"/>
  <c r="Q16" i="21"/>
  <c r="M16" i="21"/>
  <c r="I16" i="21"/>
  <c r="Y15" i="21"/>
  <c r="U15" i="21"/>
  <c r="Q15" i="21"/>
  <c r="M15" i="21"/>
  <c r="I15" i="21"/>
  <c r="Y14" i="21"/>
  <c r="U14" i="21"/>
  <c r="Q14" i="21"/>
  <c r="M14" i="21"/>
  <c r="I14" i="21"/>
  <c r="Y13" i="21"/>
  <c r="U13" i="21"/>
  <c r="Q13" i="21"/>
  <c r="M13" i="21"/>
  <c r="I13" i="21"/>
  <c r="Y12" i="21"/>
  <c r="U12" i="21"/>
  <c r="Q12" i="21"/>
  <c r="M12" i="21"/>
  <c r="I12" i="21"/>
  <c r="Y11" i="21"/>
  <c r="U11" i="21"/>
  <c r="Q11" i="21"/>
  <c r="M11" i="21"/>
  <c r="I11" i="21"/>
  <c r="Y10" i="21"/>
  <c r="U10" i="21"/>
  <c r="Q10" i="21"/>
  <c r="M10" i="21"/>
  <c r="I10" i="21"/>
  <c r="Y9" i="21"/>
  <c r="U9" i="21"/>
  <c r="Q9" i="21"/>
  <c r="M9" i="21"/>
  <c r="I9" i="21"/>
  <c r="B22" i="16" l="1"/>
  <c r="E22" i="16" s="1"/>
  <c r="B21" i="16"/>
  <c r="E21" i="16" s="1"/>
  <c r="B19" i="16"/>
  <c r="E19" i="16" s="1"/>
  <c r="B20" i="16"/>
  <c r="E20" i="16" s="1"/>
  <c r="I32" i="21"/>
  <c r="Y32" i="21"/>
  <c r="U32" i="21"/>
  <c r="Q32" i="21"/>
  <c r="M32" i="21"/>
  <c r="D26" i="12"/>
  <c r="E26" i="12"/>
  <c r="F26" i="12"/>
  <c r="G26" i="12"/>
  <c r="H26" i="12"/>
  <c r="I26" i="12"/>
  <c r="J26" i="12"/>
  <c r="C26" i="12"/>
  <c r="L26" i="12" l="1"/>
  <c r="K26" i="12"/>
  <c r="B18" i="16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10" i="7"/>
  <c r="D30" i="7"/>
  <c r="C30" i="7"/>
  <c r="E18" i="16" l="1"/>
  <c r="B15" i="16"/>
  <c r="E15" i="16" s="1"/>
  <c r="B17" i="16"/>
  <c r="E17" i="16" s="1"/>
  <c r="E14" i="16"/>
  <c r="B16" i="16"/>
  <c r="E16" i="16" s="1"/>
  <c r="F23" i="16"/>
  <c r="M26" i="12"/>
  <c r="E30" i="7"/>
  <c r="C24" i="16" l="1"/>
  <c r="D24" i="16"/>
  <c r="B23" i="16"/>
  <c r="B24" i="16" l="1"/>
  <c r="E23" i="16"/>
</calcChain>
</file>

<file path=xl/sharedStrings.xml><?xml version="1.0" encoding="utf-8"?>
<sst xmlns="http://schemas.openxmlformats.org/spreadsheetml/2006/main" count="1525" uniqueCount="355">
  <si>
    <t xml:space="preserve"> </t>
  </si>
  <si>
    <t>م</t>
  </si>
  <si>
    <t>عدد</t>
  </si>
  <si>
    <t>المدارس</t>
  </si>
  <si>
    <t xml:space="preserve">شعب </t>
  </si>
  <si>
    <t xml:space="preserve">ذكور </t>
  </si>
  <si>
    <t>إناث</t>
  </si>
  <si>
    <t>الإجمالي</t>
  </si>
  <si>
    <t>شعب</t>
  </si>
  <si>
    <t>ذكور</t>
  </si>
  <si>
    <t>إجمالي</t>
  </si>
  <si>
    <t>أساسي</t>
  </si>
  <si>
    <t>ثانوي</t>
  </si>
  <si>
    <t>الاجمالي</t>
  </si>
  <si>
    <t>أساسي / ثانوي</t>
  </si>
  <si>
    <t xml:space="preserve">مدير </t>
  </si>
  <si>
    <t xml:space="preserve">وكيل </t>
  </si>
  <si>
    <t>مشرف إداري</t>
  </si>
  <si>
    <t>مشرف أنشطة</t>
  </si>
  <si>
    <t xml:space="preserve">مشرف صحي </t>
  </si>
  <si>
    <t>مشرف وسيلة</t>
  </si>
  <si>
    <t xml:space="preserve">مشرف إجتماعي </t>
  </si>
  <si>
    <t xml:space="preserve">أمين معمل </t>
  </si>
  <si>
    <t>امين مخزن</t>
  </si>
  <si>
    <t>امين مكتبة</t>
  </si>
  <si>
    <t>مدرس</t>
  </si>
  <si>
    <t>حارس</t>
  </si>
  <si>
    <t>عمال</t>
  </si>
  <si>
    <t>أشياء أخرى</t>
  </si>
  <si>
    <t>ذ</t>
  </si>
  <si>
    <t>ث</t>
  </si>
  <si>
    <t>ج</t>
  </si>
  <si>
    <t>الجمهورية اليمنية</t>
  </si>
  <si>
    <t xml:space="preserve">الإدارة العامة للإحصاء والتخطيط </t>
  </si>
  <si>
    <t>وزارة التربية والتعليم / العاصمة عدن</t>
  </si>
  <si>
    <t>المديريات</t>
  </si>
  <si>
    <t>الجهة</t>
  </si>
  <si>
    <t xml:space="preserve">إجمالي </t>
  </si>
  <si>
    <t>مختلط</t>
  </si>
  <si>
    <t xml:space="preserve">بنات </t>
  </si>
  <si>
    <t>بنين</t>
  </si>
  <si>
    <t>الإشرافية</t>
  </si>
  <si>
    <t>حكومي</t>
  </si>
  <si>
    <t>المديرية</t>
  </si>
  <si>
    <t>إجمالي التلاميذ</t>
  </si>
  <si>
    <t>متوسط</t>
  </si>
  <si>
    <t>كثافة الشعبة</t>
  </si>
  <si>
    <t>عدد الشعب</t>
  </si>
  <si>
    <t>الصفوف</t>
  </si>
  <si>
    <t>الأول أساسي</t>
  </si>
  <si>
    <t>الثاني أساسي</t>
  </si>
  <si>
    <t>الثالث أساسي</t>
  </si>
  <si>
    <t>الرابع أساسي</t>
  </si>
  <si>
    <t>الخامس أساسي</t>
  </si>
  <si>
    <t>السادس أساسي</t>
  </si>
  <si>
    <t>السابع أساسي</t>
  </si>
  <si>
    <t>الثامن أساسي</t>
  </si>
  <si>
    <t>التاسع أساسي</t>
  </si>
  <si>
    <t>نسبة الذكور والاناث الى اجمالي التلاميذ  %</t>
  </si>
  <si>
    <t xml:space="preserve"> الاول ثانوي عام</t>
  </si>
  <si>
    <t xml:space="preserve"> الثاني ثانوي علمي</t>
  </si>
  <si>
    <t xml:space="preserve"> الثالث ثانوي علمي</t>
  </si>
  <si>
    <t>الثاني ثانوي ادبي</t>
  </si>
  <si>
    <t>الثالث ثانوي ادبي</t>
  </si>
  <si>
    <t>توزيع الأثاث والتجهيزات</t>
  </si>
  <si>
    <t>معمل أساسي</t>
  </si>
  <si>
    <t>إذاعة</t>
  </si>
  <si>
    <t>ثلاجة</t>
  </si>
  <si>
    <t>مكيف</t>
  </si>
  <si>
    <t>مراوح</t>
  </si>
  <si>
    <t>طاولات اجتماعات</t>
  </si>
  <si>
    <t>دواليب</t>
  </si>
  <si>
    <t>مقاعد مزدوجة</t>
  </si>
  <si>
    <t>اساسي</t>
  </si>
  <si>
    <t xml:space="preserve">إحصائيات توضح توزيع التجهيزات في المدارس العاملة وبحسب المرحلة الدراسية والجهة الإشرافية </t>
  </si>
  <si>
    <t>اسم المدرسة</t>
  </si>
  <si>
    <t>أ/ قائد السامعي</t>
  </si>
  <si>
    <t>أ/ عبدالواسع شداد</t>
  </si>
  <si>
    <t>اسم المديرية</t>
  </si>
  <si>
    <t xml:space="preserve">القاهرة </t>
  </si>
  <si>
    <t>المظفر</t>
  </si>
  <si>
    <t>صالة</t>
  </si>
  <si>
    <t>الموادم</t>
  </si>
  <si>
    <t>مشرعة</t>
  </si>
  <si>
    <t>جبل حبشي</t>
  </si>
  <si>
    <t>المسراخ</t>
  </si>
  <si>
    <t>الشمايتين</t>
  </si>
  <si>
    <t>المعافر</t>
  </si>
  <si>
    <t>المواسط</t>
  </si>
  <si>
    <t>سامع</t>
  </si>
  <si>
    <t>الصلو</t>
  </si>
  <si>
    <t>المخاء</t>
  </si>
  <si>
    <t>موزع</t>
  </si>
  <si>
    <t>الوازعية</t>
  </si>
  <si>
    <t>ذباب</t>
  </si>
  <si>
    <t>مقبنة</t>
  </si>
  <si>
    <t>خدير</t>
  </si>
  <si>
    <t>حيفان</t>
  </si>
  <si>
    <t>ماوية</t>
  </si>
  <si>
    <t>التعزية</t>
  </si>
  <si>
    <t>السلام</t>
  </si>
  <si>
    <t>الرونة</t>
  </si>
  <si>
    <t>مدير مكب التربية والتعليم</t>
  </si>
  <si>
    <t>مدير ادارة الاحصاء والتخطيط</t>
  </si>
  <si>
    <t>الصف السادس</t>
  </si>
  <si>
    <t>الصف السابع</t>
  </si>
  <si>
    <t xml:space="preserve">الصف الثامن </t>
  </si>
  <si>
    <t>الصف التاسع</t>
  </si>
  <si>
    <t>اجمالي عام (1 - 9)</t>
  </si>
  <si>
    <t xml:space="preserve">اسم المديرية </t>
  </si>
  <si>
    <t>المحافظة</t>
  </si>
  <si>
    <t xml:space="preserve">المحافظة </t>
  </si>
  <si>
    <t>تعــــــز</t>
  </si>
  <si>
    <t>تعـــز</t>
  </si>
  <si>
    <t>اجمالي</t>
  </si>
  <si>
    <t>انشطة مدرسية</t>
  </si>
  <si>
    <t>رقابة وتقتيش</t>
  </si>
  <si>
    <t>اساسي ثانوي</t>
  </si>
  <si>
    <t>مدارس اهلية</t>
  </si>
  <si>
    <t>رياض اطفال</t>
  </si>
  <si>
    <t>مدارس تحفيظ</t>
  </si>
  <si>
    <t xml:space="preserve">اولي </t>
  </si>
  <si>
    <t>تكميلي</t>
  </si>
  <si>
    <t xml:space="preserve">م / اداري </t>
  </si>
  <si>
    <t>م/أنشطة</t>
  </si>
  <si>
    <t xml:space="preserve">م/ صحي </t>
  </si>
  <si>
    <t xml:space="preserve">أ /معمل </t>
  </si>
  <si>
    <t>أ /مكتبة</t>
  </si>
  <si>
    <t xml:space="preserve">اخرى </t>
  </si>
  <si>
    <t>المتابعة</t>
  </si>
  <si>
    <t>اجمالي حكومي</t>
  </si>
  <si>
    <t>اهلي</t>
  </si>
  <si>
    <t>تحفيظ قرآن</t>
  </si>
  <si>
    <t>اول تكميلي</t>
  </si>
  <si>
    <t>ثاني تكميلي</t>
  </si>
  <si>
    <t>ثالث تكميلي</t>
  </si>
  <si>
    <t>د معلمين</t>
  </si>
  <si>
    <t>ثانوية</t>
  </si>
  <si>
    <t>د/بعد الثانوية</t>
  </si>
  <si>
    <t>بك/ تربية</t>
  </si>
  <si>
    <t>بك/هندسة</t>
  </si>
  <si>
    <t>ليسانس آداب</t>
  </si>
  <si>
    <t>ليسانس شريعة</t>
  </si>
  <si>
    <t>بك/تجارة</t>
  </si>
  <si>
    <t>ماجستير ودكتوراه</t>
  </si>
  <si>
    <t>اخرى</t>
  </si>
  <si>
    <t>نهج قراءة</t>
  </si>
  <si>
    <t>المربين</t>
  </si>
  <si>
    <t>قرآن</t>
  </si>
  <si>
    <t>إسلامية</t>
  </si>
  <si>
    <t>عربي</t>
  </si>
  <si>
    <t>إنجليزي</t>
  </si>
  <si>
    <t>رياضيات</t>
  </si>
  <si>
    <t>علوم</t>
  </si>
  <si>
    <t>اجتماعيات</t>
  </si>
  <si>
    <t>رياضة</t>
  </si>
  <si>
    <t>فيزياء</t>
  </si>
  <si>
    <t>كيمياء</t>
  </si>
  <si>
    <t>أحياء</t>
  </si>
  <si>
    <t>جغرافيا</t>
  </si>
  <si>
    <t xml:space="preserve">تاريخ </t>
  </si>
  <si>
    <t>مجتمع</t>
  </si>
  <si>
    <t>مواد فلسفية</t>
  </si>
  <si>
    <t>فرنسي</t>
  </si>
  <si>
    <t>حاسوب</t>
  </si>
  <si>
    <t xml:space="preserve">اخصائي </t>
  </si>
  <si>
    <t>احصائي</t>
  </si>
  <si>
    <t>اخصائي</t>
  </si>
  <si>
    <t>عمارة</t>
  </si>
  <si>
    <t>عدد غرف المدرسة</t>
  </si>
  <si>
    <t>صلاحية الغرف الدراسية</t>
  </si>
  <si>
    <t>إدارة المدرسة</t>
  </si>
  <si>
    <t>قاعة</t>
  </si>
  <si>
    <t>اجتماعات</t>
  </si>
  <si>
    <t>مكتبة</t>
  </si>
  <si>
    <t>استراحة مدرسين</t>
  </si>
  <si>
    <t>سور المدرسة</t>
  </si>
  <si>
    <t>صالح</t>
  </si>
  <si>
    <t>يحتاج ترميم</t>
  </si>
  <si>
    <t>غير صالح</t>
  </si>
  <si>
    <t>يوجد</t>
  </si>
  <si>
    <t>لا يوجد</t>
  </si>
  <si>
    <t>طريق سيارة</t>
  </si>
  <si>
    <t>معمل اساسي</t>
  </si>
  <si>
    <t>مكتب للإدارة</t>
  </si>
  <si>
    <t>كنب للإدارة</t>
  </si>
  <si>
    <t>مقاعد فردية</t>
  </si>
  <si>
    <t>مكاتب سكرتارية</t>
  </si>
  <si>
    <t>المؤهل</t>
  </si>
  <si>
    <t>الاســــم</t>
  </si>
  <si>
    <t>التخصص</t>
  </si>
  <si>
    <t>المادة التي يدرسها</t>
  </si>
  <si>
    <t>الصف</t>
  </si>
  <si>
    <t>عدد الحصص</t>
  </si>
  <si>
    <t>المحافظة الوافد منها</t>
  </si>
  <si>
    <t>المدرسة</t>
  </si>
  <si>
    <t>رقم الهاتف</t>
  </si>
  <si>
    <t>رقم البطاقة</t>
  </si>
  <si>
    <t xml:space="preserve"> سنوات التطوع</t>
  </si>
  <si>
    <t>ملاحظات</t>
  </si>
  <si>
    <t xml:space="preserve">قسم الاحصاء والتخطيط </t>
  </si>
  <si>
    <t>اسم المدسة</t>
  </si>
  <si>
    <t xml:space="preserve">مدير ادارة  التربية والتعليم بالمديرية </t>
  </si>
  <si>
    <t>رئيس قسم  التخطيط والاحصاء</t>
  </si>
  <si>
    <t>مدير ادارة التربية والتعليم بالمديرية</t>
  </si>
  <si>
    <t xml:space="preserve">مدير ادارة التربية والتعليم بالمديرية  </t>
  </si>
  <si>
    <t xml:space="preserve">اسم المدرسة </t>
  </si>
  <si>
    <t xml:space="preserve">اسم المدرسة  </t>
  </si>
  <si>
    <r>
      <rPr>
        <b/>
        <sz val="9"/>
        <color theme="1"/>
        <rFont val="Arial"/>
        <family val="2"/>
        <scheme val="minor"/>
      </rPr>
      <t>اسم المدرسة</t>
    </r>
    <r>
      <rPr>
        <b/>
        <sz val="11"/>
        <color theme="1"/>
        <rFont val="Arial"/>
        <family val="2"/>
        <scheme val="minor"/>
      </rPr>
      <t xml:space="preserve">  </t>
    </r>
  </si>
  <si>
    <t>اجمالى تحفيظ</t>
  </si>
  <si>
    <t>اجمالي مدارس أهلية</t>
  </si>
  <si>
    <t>مدارس حكومي</t>
  </si>
  <si>
    <t>اجمالي عام</t>
  </si>
  <si>
    <t>راسب</t>
  </si>
  <si>
    <t>ناجح</t>
  </si>
  <si>
    <t xml:space="preserve">                                                                                                        </t>
  </si>
  <si>
    <t>اناث</t>
  </si>
  <si>
    <t xml:space="preserve">اناث </t>
  </si>
  <si>
    <t>الإجمالي العام</t>
  </si>
  <si>
    <t>التاسع</t>
  </si>
  <si>
    <t>الثامن</t>
  </si>
  <si>
    <t>السابع</t>
  </si>
  <si>
    <t>السادس</t>
  </si>
  <si>
    <t>الخامس</t>
  </si>
  <si>
    <t xml:space="preserve">الرابع </t>
  </si>
  <si>
    <t>الثالث</t>
  </si>
  <si>
    <t>الثاني</t>
  </si>
  <si>
    <t>الأول</t>
  </si>
  <si>
    <t>البيان</t>
  </si>
  <si>
    <t>الثالث الثانوي - أدبي</t>
  </si>
  <si>
    <t>الثالث الثانوي - علمي</t>
  </si>
  <si>
    <t>الثاني الثانوي - أدبي</t>
  </si>
  <si>
    <t>الثاني الثانوي - علمي</t>
  </si>
  <si>
    <t>الأول  الثانوي</t>
  </si>
  <si>
    <t>الإحصائية العامة بإجمالي طلاب و طالبات المرحلة الأساسية حكومي + اهلي بمديرية/.............. للعام الدراسي   2023 -  2024م</t>
  </si>
  <si>
    <t>التوجيه الفني</t>
  </si>
  <si>
    <t>الأجمالي</t>
  </si>
  <si>
    <t>اموظفي المديرية</t>
  </si>
  <si>
    <t>المدير  ـ  النواب</t>
  </si>
  <si>
    <t>سكرتارية المديرية</t>
  </si>
  <si>
    <t xml:space="preserve">قسم التعليم </t>
  </si>
  <si>
    <t xml:space="preserve"> قسم االتخطيط والاحصاء</t>
  </si>
  <si>
    <t xml:space="preserve">قسم المشاريع </t>
  </si>
  <si>
    <t xml:space="preserve">فسم الرقابة </t>
  </si>
  <si>
    <t>قسم الاختبارات</t>
  </si>
  <si>
    <t>قسم النظم</t>
  </si>
  <si>
    <t xml:space="preserve">قسم الرقابة </t>
  </si>
  <si>
    <t>قسم تعليم الفتاة</t>
  </si>
  <si>
    <t>قسم التدريب</t>
  </si>
  <si>
    <t xml:space="preserve">قسم المشاركة </t>
  </si>
  <si>
    <t>قسم التعليم الأهلي</t>
  </si>
  <si>
    <t xml:space="preserve">قسم الأنشطة </t>
  </si>
  <si>
    <t>قسم التغذية المدرسية</t>
  </si>
  <si>
    <t xml:space="preserve">قسم الصحة </t>
  </si>
  <si>
    <t xml:space="preserve">قسم الأجور </t>
  </si>
  <si>
    <t xml:space="preserve">قسم الجودة </t>
  </si>
  <si>
    <t xml:space="preserve">قسم التعليم الاقتصادي </t>
  </si>
  <si>
    <t>قسم الاعلام</t>
  </si>
  <si>
    <t>قسم رياض الأطفال</t>
  </si>
  <si>
    <t>قسم الصحة المدرسية</t>
  </si>
  <si>
    <t>الإحصائية العامة لطلاب و طالبات المرحلة الأساسية اهلي بمديرية/.............. للعام الدراسي   2025 -  2026م</t>
  </si>
  <si>
    <t>الإحصائية العامة بإجمالي طلاب و طالبات المرحلة الأساسية حكومي  بمديرية/.............. للعام الدراسي   2025 -  2026م</t>
  </si>
  <si>
    <t xml:space="preserve">اسم المدرسة/ الروضة </t>
  </si>
  <si>
    <t xml:space="preserve">مديرية.......................للعام الدراسي 2025 - 2026 م  </t>
  </si>
  <si>
    <t>قسم التوجيه</t>
  </si>
  <si>
    <t xml:space="preserve">قسم الموارد </t>
  </si>
  <si>
    <t>قسم التخطيط والإحصاء</t>
  </si>
  <si>
    <t>مدير ادارة التربية والتعليم في المديرية</t>
  </si>
  <si>
    <t>مدير إدارة التربية والتعليم في المديرية</t>
  </si>
  <si>
    <t>معمل ثانوي ونوعه</t>
  </si>
  <si>
    <t>طابعة</t>
  </si>
  <si>
    <t>كنب</t>
  </si>
  <si>
    <t>أخرى تذكر</t>
  </si>
  <si>
    <t>منظومة طاقة</t>
  </si>
  <si>
    <t>كاميرة رقمية</t>
  </si>
  <si>
    <t>شبكة نت</t>
  </si>
  <si>
    <t>قاعة تدريب</t>
  </si>
  <si>
    <t>غرفة أنشطة</t>
  </si>
  <si>
    <t>غرفة تدبير منزلي</t>
  </si>
  <si>
    <t>سبورات بيضاء</t>
  </si>
  <si>
    <t>سبورات سوداء</t>
  </si>
  <si>
    <t>ملعب قدم</t>
  </si>
  <si>
    <t>غير صالحة</t>
  </si>
  <si>
    <t xml:space="preserve"> الاولأولي</t>
  </si>
  <si>
    <t>لثاني أولي</t>
  </si>
  <si>
    <t xml:space="preserve"> الثالث أولي</t>
  </si>
  <si>
    <t xml:space="preserve"> الرابع أولي</t>
  </si>
  <si>
    <t xml:space="preserve"> الخامس أولي</t>
  </si>
  <si>
    <t xml:space="preserve"> السادس أولي</t>
  </si>
  <si>
    <t xml:space="preserve"> السابع أولي</t>
  </si>
  <si>
    <t xml:space="preserve"> الثامن أولي</t>
  </si>
  <si>
    <t xml:space="preserve"> التاسع أولي</t>
  </si>
  <si>
    <t>إجمالي عام</t>
  </si>
  <si>
    <t xml:space="preserve">معمل رياضيات </t>
  </si>
  <si>
    <t>معمل حاسوب</t>
  </si>
  <si>
    <t>معمل خياطة</t>
  </si>
  <si>
    <t>مقاعد مندوجة</t>
  </si>
  <si>
    <t>طاولات فردية</t>
  </si>
  <si>
    <t>تلفون ثابت</t>
  </si>
  <si>
    <t>جهاز عرض</t>
  </si>
  <si>
    <t>شاشة تلفزيون</t>
  </si>
  <si>
    <t>مولد كهرباء</t>
  </si>
  <si>
    <t>آلة تصوير</t>
  </si>
  <si>
    <t>سبورات الكترونية</t>
  </si>
  <si>
    <t xml:space="preserve">ملعب طائرة </t>
  </si>
  <si>
    <t>مبنى مدرسي</t>
  </si>
  <si>
    <t>عدد الغرف المدرسية في المبنى</t>
  </si>
  <si>
    <t xml:space="preserve">الغرف الدراسيسة فقط </t>
  </si>
  <si>
    <t xml:space="preserve">إدارة المدرسة </t>
  </si>
  <si>
    <t xml:space="preserve">مسرح/ محتوياته </t>
  </si>
  <si>
    <t>عدد الحمامات</t>
  </si>
  <si>
    <t xml:space="preserve">صالحة </t>
  </si>
  <si>
    <t>كهرباء حكومي/ أهلي</t>
  </si>
  <si>
    <t xml:space="preserve">المياه </t>
  </si>
  <si>
    <t>مقصف</t>
  </si>
  <si>
    <t>سور المدرسة يحيط بها</t>
  </si>
  <si>
    <t>مكان النزوح الحالي</t>
  </si>
  <si>
    <t>مدير المدرسة</t>
  </si>
  <si>
    <t>الإحصائية العامة بإجمالي طلاب و طالبات المرحلة الأساسية حكومي /أهلي بمدرسة/...................  مديرية/.............. للعام الدراسي   2025 -  2026م</t>
  </si>
  <si>
    <t xml:space="preserve">اساسي ثانوي </t>
  </si>
  <si>
    <t>رياض أطفال / حكومي</t>
  </si>
  <si>
    <t>رياض أطفال/ أهلي</t>
  </si>
  <si>
    <t>م/ وسيائل</t>
  </si>
  <si>
    <t xml:space="preserve">خ/  إجتماعي </t>
  </si>
  <si>
    <t>أ / مخزن</t>
  </si>
  <si>
    <t>عامل</t>
  </si>
  <si>
    <t>مكونات المبنى المدرسي</t>
  </si>
  <si>
    <t xml:space="preserve">إحصائيات توضح مكونات المبنى المدرسي في المدارس العاملة وبحسب المرحلة الدراسية حكومي </t>
  </si>
  <si>
    <t xml:space="preserve">   </t>
  </si>
  <si>
    <t>عدد الغرف المدرسية في المبنى كاملة</t>
  </si>
  <si>
    <t>مسرح / محتوياته</t>
  </si>
  <si>
    <t xml:space="preserve">مدرسة:.............................مديرية.......................للعام الدراسي 2025 - 2026 م  </t>
  </si>
  <si>
    <t>غرفة مقصف</t>
  </si>
  <si>
    <t>غرف معامل</t>
  </si>
  <si>
    <t>المياه/ حكومي/ أهلي</t>
  </si>
  <si>
    <t>معمل ثانوي/ نوعه</t>
  </si>
  <si>
    <t>معمل رياضيات</t>
  </si>
  <si>
    <t xml:space="preserve">معمل حاسوب </t>
  </si>
  <si>
    <t>إذاعة مدرسية</t>
  </si>
  <si>
    <t>طابعة كمبيوتر</t>
  </si>
  <si>
    <t>طاولة اجتماعات</t>
  </si>
  <si>
    <t>شاشة عرض</t>
  </si>
  <si>
    <t>منظومة طاقة شمسية</t>
  </si>
  <si>
    <t>كاميرة تصوير رقمية</t>
  </si>
  <si>
    <t>مسرح</t>
  </si>
  <si>
    <t>آلة تصوير ورق</t>
  </si>
  <si>
    <t>ملعب طائرة ملعب قدم</t>
  </si>
  <si>
    <t>يعمل / لايعمل</t>
  </si>
  <si>
    <t xml:space="preserve">مدرسة:  .........................مديرية.......................للعام الدراسي 2025 - 2026 م  </t>
  </si>
  <si>
    <t>رئيس قسم التخطيط والإحصاء</t>
  </si>
  <si>
    <t>مدير إدارة التربية في المديرية</t>
  </si>
  <si>
    <t>عدد الطلبة</t>
  </si>
  <si>
    <t>الإجمالي المعلمين</t>
  </si>
  <si>
    <t>عدد المعلمين</t>
  </si>
  <si>
    <t>إجمالي الطلبة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</si>
</sst>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.00_-;_-* #,##0.00\-;_-* &quot;-&quot;??_-;_-@_-"/>
    <numFmt numFmtId="165" formatCode="[$-1013001]General"/>
    <numFmt numFmtId="166" formatCode="[$-1010409]General"/>
    <numFmt numFmtId="167" formatCode="_-* #,##0_-;_-* #,##0\-;_-* &quot;-&quot;??_-;_-@_-"/>
  </numFmts>
  <fonts count="8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6"/>
      <color theme="1"/>
      <name val="Microsoft Uighur"/>
    </font>
    <font>
      <b/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20"/>
      <color theme="1"/>
      <name val="Microsoft Uighur"/>
    </font>
    <font>
      <sz val="10"/>
      <color indexed="8"/>
      <name val="mohammad bold art 1"/>
      <charset val="178"/>
    </font>
    <font>
      <b/>
      <sz val="10"/>
      <color indexed="8"/>
      <name val="Times New Roman"/>
      <family val="1"/>
    </font>
    <font>
      <sz val="12"/>
      <color indexed="8"/>
      <name val="PT Bold Heading"/>
      <charset val="178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8"/>
      <name val="PT Bold Heading"/>
      <charset val="178"/>
    </font>
    <font>
      <b/>
      <sz val="12"/>
      <color indexed="8"/>
      <name val="PT Bold Heading"/>
      <charset val="178"/>
    </font>
    <font>
      <b/>
      <sz val="12"/>
      <color indexed="8"/>
      <name val="mohammad bold art 1"/>
      <charset val="178"/>
    </font>
    <font>
      <sz val="10"/>
      <name val="Arial"/>
      <family val="2"/>
    </font>
    <font>
      <sz val="8"/>
      <color indexed="8"/>
      <name val="Times New Roman"/>
      <family val="1"/>
    </font>
    <font>
      <sz val="6.95"/>
      <color indexed="8"/>
      <name val="Arial"/>
      <family val="2"/>
    </font>
    <font>
      <sz val="8"/>
      <color indexed="8"/>
      <name val="PT Bold Heading"/>
      <charset val="178"/>
    </font>
    <font>
      <sz val="10"/>
      <color indexed="8"/>
      <name val="PT Bold Heading"/>
      <charset val="178"/>
    </font>
    <font>
      <sz val="14"/>
      <color theme="1"/>
      <name val="Arial"/>
      <family val="2"/>
      <charset val="178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charset val="178"/>
      <scheme val="minor"/>
    </font>
    <font>
      <b/>
      <sz val="10"/>
      <color theme="1"/>
      <name val="Microsoft Uighur"/>
    </font>
    <font>
      <b/>
      <sz val="10"/>
      <color rgb="FFFF0000"/>
      <name val="Microsoft Uighur"/>
    </font>
    <font>
      <b/>
      <sz val="10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rgb="FFFF0000"/>
      <name val="Arial"/>
      <family val="2"/>
      <scheme val="minor"/>
    </font>
    <font>
      <b/>
      <sz val="10"/>
      <color indexed="8"/>
      <name val="Calibri"/>
      <family val="2"/>
    </font>
    <font>
      <b/>
      <sz val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charset val="178"/>
      <scheme val="minor"/>
    </font>
    <font>
      <b/>
      <sz val="12"/>
      <name val="Khalid Art bold"/>
      <charset val="178"/>
    </font>
    <font>
      <b/>
      <sz val="18"/>
      <color rgb="FFFF0000"/>
      <name val="PT Bold Heading"/>
      <charset val="178"/>
    </font>
    <font>
      <b/>
      <sz val="16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4"/>
      <color theme="1"/>
      <name val="PT Bold Heading"/>
      <charset val="178"/>
    </font>
    <font>
      <sz val="14"/>
      <color indexed="8"/>
      <name val="Arial"/>
      <family val="2"/>
      <charset val="178"/>
    </font>
    <font>
      <sz val="14"/>
      <color indexed="9"/>
      <name val="Arial"/>
      <family val="2"/>
      <charset val="178"/>
    </font>
    <font>
      <b/>
      <sz val="14"/>
      <color indexed="8"/>
      <name val="Arial"/>
      <family val="2"/>
      <charset val="178"/>
    </font>
    <font>
      <b/>
      <sz val="14"/>
      <color indexed="63"/>
      <name val="Arial"/>
      <family val="2"/>
      <charset val="178"/>
    </font>
    <font>
      <sz val="14"/>
      <color indexed="62"/>
      <name val="Arial"/>
      <family val="2"/>
      <charset val="178"/>
    </font>
    <font>
      <sz val="14"/>
      <color indexed="17"/>
      <name val="Arial"/>
      <family val="2"/>
      <charset val="178"/>
    </font>
    <font>
      <b/>
      <sz val="14"/>
      <color indexed="52"/>
      <name val="Arial"/>
      <family val="2"/>
      <charset val="178"/>
    </font>
    <font>
      <b/>
      <sz val="14"/>
      <color indexed="9"/>
      <name val="Arial"/>
      <family val="2"/>
      <charset val="178"/>
    </font>
    <font>
      <sz val="14"/>
      <color indexed="52"/>
      <name val="Arial"/>
      <family val="2"/>
      <charset val="178"/>
    </font>
    <font>
      <sz val="14"/>
      <color indexed="20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4"/>
      <color indexed="60"/>
      <name val="Arial"/>
      <family val="2"/>
      <charset val="178"/>
    </font>
    <font>
      <sz val="14"/>
      <color indexed="10"/>
      <name val="Arial"/>
      <family val="2"/>
      <charset val="178"/>
    </font>
    <font>
      <i/>
      <sz val="14"/>
      <color indexed="23"/>
      <name val="Arial"/>
      <family val="2"/>
      <charset val="178"/>
    </font>
    <font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PT Bold Heading"/>
      <charset val="178"/>
    </font>
    <font>
      <b/>
      <sz val="10"/>
      <name val="Times New Roman"/>
      <family val="1"/>
    </font>
    <font>
      <sz val="11"/>
      <color indexed="8"/>
      <name val="PT Bold Heading"/>
      <charset val="178"/>
    </font>
    <font>
      <u/>
      <sz val="13"/>
      <color theme="1"/>
      <name val="PT Bold Heading"/>
      <charset val="178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PT Bold Heading"/>
      <charset val="178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e_AlMateen"/>
      <family val="1"/>
    </font>
    <font>
      <sz val="14"/>
      <color theme="1"/>
      <name val="PT Bold Heading"/>
      <charset val="178"/>
    </font>
    <font>
      <b/>
      <sz val="9"/>
      <color theme="1"/>
      <name val="Arial"/>
      <family val="2"/>
      <scheme val="minor"/>
    </font>
    <font>
      <b/>
      <sz val="11"/>
      <color theme="1"/>
      <name val="PT Bold Heading"/>
      <charset val="178"/>
    </font>
    <font>
      <b/>
      <sz val="8"/>
      <color theme="1"/>
      <name val="PT Bold Heading"/>
      <charset val="178"/>
    </font>
    <font>
      <sz val="12"/>
      <name val="Arial Rounded MT Bold"/>
      <family val="2"/>
    </font>
    <font>
      <b/>
      <sz val="12"/>
      <name val="Arial Rounded MT Bold"/>
      <family val="2"/>
    </font>
    <font>
      <b/>
      <sz val="14"/>
      <color theme="1"/>
      <name val="Arial Black"/>
      <family val="2"/>
    </font>
    <font>
      <sz val="14"/>
      <color theme="1"/>
      <name val="Arial Black"/>
      <family val="2"/>
    </font>
    <font>
      <b/>
      <sz val="14"/>
      <name val="Arial Rounded MT Bold"/>
      <family val="2"/>
    </font>
    <font>
      <b/>
      <sz val="18"/>
      <name val="Arial Rounded MT Bold"/>
      <family val="2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4"/>
      <color indexed="8"/>
      <name val="PT Bold Heading"/>
      <charset val="178"/>
    </font>
    <font>
      <b/>
      <sz val="20"/>
      <color theme="1"/>
      <name val="Arial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rgb="FFCFF7A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ck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indexed="64"/>
      </bottom>
      <diagonal/>
    </border>
    <border>
      <left/>
      <right style="double">
        <color auto="1"/>
      </right>
      <top style="double">
        <color auto="1"/>
      </top>
      <bottom style="medium">
        <color indexed="64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2">
    <xf numFmtId="0" fontId="0" fillId="0" borderId="0"/>
    <xf numFmtId="0" fontId="6" fillId="0" borderId="0"/>
    <xf numFmtId="0" fontId="4" fillId="0" borderId="0"/>
    <xf numFmtId="0" fontId="19" fillId="0" borderId="0">
      <alignment wrapText="1"/>
    </xf>
    <xf numFmtId="0" fontId="3" fillId="0" borderId="0"/>
    <xf numFmtId="0" fontId="3" fillId="0" borderId="0"/>
    <xf numFmtId="0" fontId="19" fillId="0" borderId="0"/>
    <xf numFmtId="164" fontId="40" fillId="0" borderId="0" applyFont="0" applyFill="0" applyBorder="0" applyAlignment="0" applyProtection="0"/>
    <xf numFmtId="0" fontId="2" fillId="0" borderId="0"/>
    <xf numFmtId="0" fontId="43" fillId="8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43" fillId="5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1" borderId="0" applyNumberFormat="0" applyBorder="0" applyAlignment="0" applyProtection="0"/>
    <xf numFmtId="0" fontId="43" fillId="5" borderId="0" applyNumberFormat="0" applyBorder="0" applyAlignment="0" applyProtection="0"/>
    <xf numFmtId="0" fontId="43" fillId="16" borderId="0" applyNumberFormat="0" applyBorder="0" applyAlignment="0" applyProtection="0"/>
    <xf numFmtId="0" fontId="44" fillId="17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20" borderId="0" applyNumberFormat="0" applyBorder="0" applyAlignment="0" applyProtection="0"/>
    <xf numFmtId="0" fontId="46" fillId="21" borderId="51" applyNumberFormat="0" applyAlignment="0" applyProtection="0"/>
    <xf numFmtId="0" fontId="47" fillId="13" borderId="52" applyNumberFormat="0" applyAlignment="0" applyProtection="0"/>
    <xf numFmtId="0" fontId="45" fillId="0" borderId="53" applyNumberFormat="0" applyFill="0" applyAlignment="0" applyProtection="0"/>
    <xf numFmtId="0" fontId="44" fillId="22" borderId="0" applyNumberFormat="0" applyBorder="0" applyAlignment="0" applyProtection="0"/>
    <xf numFmtId="0" fontId="44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25" borderId="0" applyNumberFormat="0" applyBorder="0" applyAlignment="0" applyProtection="0"/>
    <xf numFmtId="0" fontId="48" fillId="10" borderId="0" applyNumberFormat="0" applyBorder="0" applyAlignment="0" applyProtection="0"/>
    <xf numFmtId="0" fontId="49" fillId="21" borderId="52" applyNumberFormat="0" applyAlignment="0" applyProtection="0"/>
    <xf numFmtId="0" fontId="50" fillId="26" borderId="54" applyNumberFormat="0" applyAlignment="0" applyProtection="0"/>
    <xf numFmtId="0" fontId="51" fillId="0" borderId="55" applyNumberFormat="0" applyFill="0" applyAlignment="0" applyProtection="0"/>
    <xf numFmtId="0" fontId="52" fillId="9" borderId="0" applyNumberFormat="0" applyBorder="0" applyAlignment="0" applyProtection="0"/>
    <xf numFmtId="0" fontId="53" fillId="0" borderId="0" applyNumberFormat="0" applyFill="0" applyBorder="0" applyAlignment="0" applyProtection="0"/>
    <xf numFmtId="0" fontId="54" fillId="0" borderId="56" applyNumberFormat="0" applyFill="0" applyAlignment="0" applyProtection="0"/>
    <xf numFmtId="0" fontId="55" fillId="0" borderId="57" applyNumberFormat="0" applyFill="0" applyAlignment="0" applyProtection="0"/>
    <xf numFmtId="0" fontId="56" fillId="0" borderId="58" applyNumberFormat="0" applyFill="0" applyAlignment="0" applyProtection="0"/>
    <xf numFmtId="0" fontId="56" fillId="0" borderId="0" applyNumberFormat="0" applyFill="0" applyBorder="0" applyAlignment="0" applyProtection="0"/>
    <xf numFmtId="0" fontId="57" fillId="27" borderId="0" applyNumberFormat="0" applyBorder="0" applyAlignment="0" applyProtection="0"/>
    <xf numFmtId="0" fontId="19" fillId="28" borderId="59" applyNumberFormat="0" applyFon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" fillId="0" borderId="0"/>
    <xf numFmtId="0" fontId="40" fillId="0" borderId="0"/>
  </cellStyleXfs>
  <cellXfs count="490">
    <xf numFmtId="0" fontId="0" fillId="0" borderId="0" xfId="0"/>
    <xf numFmtId="0" fontId="8" fillId="0" borderId="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4" fillId="0" borderId="0" xfId="2"/>
    <xf numFmtId="0" fontId="5" fillId="2" borderId="17" xfId="2" applyFont="1" applyFill="1" applyBorder="1" applyAlignment="1">
      <alignment horizontal="center"/>
    </xf>
    <xf numFmtId="0" fontId="5" fillId="0" borderId="16" xfId="2" applyFont="1" applyBorder="1" applyAlignment="1">
      <alignment horizontal="center"/>
    </xf>
    <xf numFmtId="0" fontId="5" fillId="2" borderId="28" xfId="2" applyFont="1" applyFill="1" applyBorder="1" applyAlignment="1">
      <alignment horizontal="center"/>
    </xf>
    <xf numFmtId="0" fontId="4" fillId="0" borderId="30" xfId="2" applyBorder="1"/>
    <xf numFmtId="0" fontId="11" fillId="5" borderId="33" xfId="0" applyFont="1" applyFill="1" applyBorder="1" applyAlignment="1">
      <alignment horizontal="center" vertical="top" wrapText="1"/>
    </xf>
    <xf numFmtId="165" fontId="12" fillId="0" borderId="31" xfId="0" applyNumberFormat="1" applyFont="1" applyFill="1" applyBorder="1" applyAlignment="1">
      <alignment horizontal="center" vertical="top" wrapText="1"/>
    </xf>
    <xf numFmtId="0" fontId="11" fillId="5" borderId="34" xfId="0" applyFont="1" applyFill="1" applyBorder="1" applyAlignment="1">
      <alignment horizontal="center" vertical="top" wrapText="1"/>
    </xf>
    <xf numFmtId="0" fontId="13" fillId="5" borderId="31" xfId="0" applyFont="1" applyFill="1" applyBorder="1" applyAlignment="1">
      <alignment horizontal="center" vertical="top" wrapText="1"/>
    </xf>
    <xf numFmtId="166" fontId="14" fillId="0" borderId="31" xfId="0" applyNumberFormat="1" applyFont="1" applyFill="1" applyBorder="1" applyAlignment="1">
      <alignment horizontal="center" vertical="top" wrapText="1"/>
    </xf>
    <xf numFmtId="166" fontId="14" fillId="5" borderId="31" xfId="0" applyNumberFormat="1" applyFont="1" applyFill="1" applyBorder="1" applyAlignment="1">
      <alignment horizontal="center" vertical="top" wrapText="1"/>
    </xf>
    <xf numFmtId="0" fontId="15" fillId="5" borderId="34" xfId="0" applyFont="1" applyFill="1" applyBorder="1" applyAlignment="1">
      <alignment horizontal="center" vertical="top" wrapText="1"/>
    </xf>
    <xf numFmtId="0" fontId="15" fillId="5" borderId="33" xfId="0" applyFont="1" applyFill="1" applyBorder="1" applyAlignment="1">
      <alignment horizontal="center" vertical="top" wrapText="1"/>
    </xf>
    <xf numFmtId="0" fontId="16" fillId="5" borderId="31" xfId="0" applyFont="1" applyFill="1" applyBorder="1" applyAlignment="1">
      <alignment horizontal="center" vertical="top" wrapText="1"/>
    </xf>
    <xf numFmtId="0" fontId="17" fillId="5" borderId="31" xfId="0" applyFont="1" applyFill="1" applyBorder="1" applyAlignment="1">
      <alignment horizontal="center" vertical="top" wrapText="1"/>
    </xf>
    <xf numFmtId="0" fontId="18" fillId="5" borderId="32" xfId="0" applyFont="1" applyFill="1" applyBorder="1" applyAlignment="1">
      <alignment vertical="top" wrapText="1"/>
    </xf>
    <xf numFmtId="166" fontId="17" fillId="5" borderId="31" xfId="0" applyNumberFormat="1" applyFont="1" applyFill="1" applyBorder="1" applyAlignment="1">
      <alignment horizontal="center" vertical="top" wrapText="1"/>
    </xf>
    <xf numFmtId="166" fontId="17" fillId="0" borderId="31" xfId="0" applyNumberFormat="1" applyFont="1" applyFill="1" applyBorder="1" applyAlignment="1">
      <alignment horizontal="center" vertical="top" wrapText="1"/>
    </xf>
    <xf numFmtId="0" fontId="16" fillId="0" borderId="31" xfId="0" applyFont="1" applyFill="1" applyBorder="1" applyAlignment="1">
      <alignment horizontal="center" vertical="top" wrapText="1"/>
    </xf>
    <xf numFmtId="166" fontId="20" fillId="0" borderId="31" xfId="3" applyNumberFormat="1" applyFont="1" applyFill="1" applyBorder="1" applyAlignment="1">
      <alignment horizontal="center" vertical="top" wrapText="1"/>
    </xf>
    <xf numFmtId="166" fontId="20" fillId="5" borderId="31" xfId="3" applyNumberFormat="1" applyFont="1" applyFill="1" applyBorder="1" applyAlignment="1">
      <alignment horizontal="center" vertical="top" wrapText="1"/>
    </xf>
    <xf numFmtId="0" fontId="20" fillId="5" borderId="31" xfId="3" applyFont="1" applyFill="1" applyBorder="1" applyAlignment="1">
      <alignment horizontal="center" vertical="top" wrapText="1"/>
    </xf>
    <xf numFmtId="0" fontId="17" fillId="5" borderId="31" xfId="0" applyFont="1" applyFill="1" applyBorder="1" applyAlignment="1">
      <alignment horizontal="center" vertical="top" wrapText="1"/>
    </xf>
    <xf numFmtId="0" fontId="5" fillId="2" borderId="13" xfId="2" applyFont="1" applyFill="1" applyBorder="1" applyAlignment="1">
      <alignment horizontal="center"/>
    </xf>
    <xf numFmtId="0" fontId="24" fillId="0" borderId="0" xfId="2" applyFont="1"/>
    <xf numFmtId="0" fontId="26" fillId="0" borderId="0" xfId="0" applyFont="1"/>
    <xf numFmtId="0" fontId="18" fillId="5" borderId="32" xfId="0" applyFont="1" applyFill="1" applyBorder="1" applyAlignment="1">
      <alignment horizontal="center" vertical="top" wrapText="1"/>
    </xf>
    <xf numFmtId="0" fontId="9" fillId="3" borderId="11" xfId="1" applyFont="1" applyFill="1" applyBorder="1" applyAlignment="1">
      <alignment horizontal="center" vertical="center"/>
    </xf>
    <xf numFmtId="0" fontId="5" fillId="2" borderId="40" xfId="2" applyFont="1" applyFill="1" applyBorder="1" applyAlignment="1">
      <alignment horizontal="center"/>
    </xf>
    <xf numFmtId="0" fontId="9" fillId="0" borderId="2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0" xfId="1" applyFont="1" applyAlignment="1">
      <alignment horizontal="center"/>
    </xf>
    <xf numFmtId="0" fontId="27" fillId="0" borderId="0" xfId="1" applyFont="1"/>
    <xf numFmtId="0" fontId="27" fillId="0" borderId="0" xfId="1" applyFont="1" applyAlignment="1">
      <alignment wrapText="1"/>
    </xf>
    <xf numFmtId="0" fontId="28" fillId="2" borderId="7" xfId="1" applyFont="1" applyFill="1" applyBorder="1" applyAlignment="1">
      <alignment horizontal="center" vertical="center"/>
    </xf>
    <xf numFmtId="0" fontId="28" fillId="2" borderId="8" xfId="1" applyFont="1" applyFill="1" applyBorder="1" applyAlignment="1">
      <alignment horizontal="center" vertical="center"/>
    </xf>
    <xf numFmtId="0" fontId="28" fillId="2" borderId="9" xfId="1" applyFont="1" applyFill="1" applyBorder="1" applyAlignment="1">
      <alignment horizontal="center" vertical="center"/>
    </xf>
    <xf numFmtId="0" fontId="8" fillId="2" borderId="17" xfId="2" applyFont="1" applyFill="1" applyBorder="1" applyAlignment="1">
      <alignment horizontal="center"/>
    </xf>
    <xf numFmtId="0" fontId="30" fillId="0" borderId="21" xfId="1" applyFont="1" applyBorder="1" applyAlignment="1">
      <alignment horizontal="center"/>
    </xf>
    <xf numFmtId="0" fontId="31" fillId="0" borderId="21" xfId="1" applyFont="1" applyBorder="1" applyAlignment="1">
      <alignment horizontal="center"/>
    </xf>
    <xf numFmtId="0" fontId="8" fillId="2" borderId="28" xfId="2" applyFont="1" applyFill="1" applyBorder="1" applyAlignment="1">
      <alignment horizontal="center"/>
    </xf>
    <xf numFmtId="0" fontId="27" fillId="4" borderId="0" xfId="1" applyFont="1" applyFill="1"/>
    <xf numFmtId="0" fontId="8" fillId="2" borderId="13" xfId="2" applyFont="1" applyFill="1" applyBorder="1" applyAlignment="1">
      <alignment horizontal="center"/>
    </xf>
    <xf numFmtId="1" fontId="30" fillId="0" borderId="21" xfId="1" applyNumberFormat="1" applyFont="1" applyBorder="1" applyAlignment="1">
      <alignment horizontal="center"/>
    </xf>
    <xf numFmtId="1" fontId="31" fillId="0" borderId="21" xfId="1" applyNumberFormat="1" applyFont="1" applyBorder="1" applyAlignment="1">
      <alignment horizontal="center"/>
    </xf>
    <xf numFmtId="0" fontId="8" fillId="0" borderId="0" xfId="0" applyFont="1"/>
    <xf numFmtId="0" fontId="29" fillId="2" borderId="1" xfId="1" applyFont="1" applyFill="1" applyBorder="1" applyAlignment="1">
      <alignment horizontal="center" vertical="center"/>
    </xf>
    <xf numFmtId="0" fontId="28" fillId="2" borderId="10" xfId="1" applyFont="1" applyFill="1" applyBorder="1" applyAlignment="1">
      <alignment horizontal="center" vertical="center"/>
    </xf>
    <xf numFmtId="0" fontId="32" fillId="0" borderId="11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2" borderId="13" xfId="1" applyFont="1" applyFill="1" applyBorder="1" applyAlignment="1">
      <alignment horizontal="center"/>
    </xf>
    <xf numFmtId="1" fontId="32" fillId="0" borderId="11" xfId="1" applyNumberFormat="1" applyFont="1" applyBorder="1" applyAlignment="1">
      <alignment horizontal="center" vertical="center"/>
    </xf>
    <xf numFmtId="0" fontId="33" fillId="0" borderId="0" xfId="1" applyFont="1" applyBorder="1" applyAlignment="1">
      <alignment horizontal="center" vertical="center" shrinkToFit="1"/>
    </xf>
    <xf numFmtId="0" fontId="27" fillId="0" borderId="0" xfId="1" applyFont="1" applyAlignment="1">
      <alignment horizontal="center" vertical="center"/>
    </xf>
    <xf numFmtId="0" fontId="32" fillId="2" borderId="12" xfId="1" applyFont="1" applyFill="1" applyBorder="1" applyAlignment="1">
      <alignment horizontal="center"/>
    </xf>
    <xf numFmtId="0" fontId="27" fillId="0" borderId="0" xfId="1" applyFont="1" applyBorder="1"/>
    <xf numFmtId="0" fontId="34" fillId="0" borderId="0" xfId="1" applyFont="1" applyAlignment="1"/>
    <xf numFmtId="0" fontId="8" fillId="0" borderId="0" xfId="0" applyFont="1" applyAlignment="1"/>
    <xf numFmtId="0" fontId="35" fillId="0" borderId="0" xfId="1" applyFont="1" applyAlignment="1"/>
    <xf numFmtId="0" fontId="36" fillId="0" borderId="0" xfId="1" applyFont="1"/>
    <xf numFmtId="0" fontId="36" fillId="0" borderId="0" xfId="0" applyFont="1" applyAlignment="1"/>
    <xf numFmtId="0" fontId="27" fillId="0" borderId="0" xfId="0" applyFont="1" applyAlignment="1"/>
    <xf numFmtId="0" fontId="27" fillId="0" borderId="0" xfId="0" applyFont="1" applyAlignment="1">
      <alignment horizontal="center"/>
    </xf>
    <xf numFmtId="0" fontId="27" fillId="0" borderId="0" xfId="1" applyFont="1" applyFill="1" applyBorder="1" applyAlignment="1">
      <alignment horizontal="center" vertical="center"/>
    </xf>
    <xf numFmtId="0" fontId="37" fillId="0" borderId="5" xfId="0" applyFont="1" applyFill="1" applyBorder="1" applyAlignment="1">
      <alignment horizontal="center" vertical="center" shrinkToFit="1" readingOrder="2"/>
    </xf>
    <xf numFmtId="0" fontId="37" fillId="0" borderId="39" xfId="0" applyFont="1" applyFill="1" applyBorder="1" applyAlignment="1">
      <alignment horizontal="center" vertical="center" shrinkToFit="1" readingOrder="2"/>
    </xf>
    <xf numFmtId="0" fontId="37" fillId="0" borderId="44" xfId="0" applyFont="1" applyFill="1" applyBorder="1" applyAlignment="1">
      <alignment horizontal="center" vertical="center" shrinkToFit="1" readingOrder="2"/>
    </xf>
    <xf numFmtId="0" fontId="5" fillId="2" borderId="29" xfId="2" applyFont="1" applyFill="1" applyBorder="1" applyAlignment="1">
      <alignment horizontal="center"/>
    </xf>
    <xf numFmtId="0" fontId="0" fillId="0" borderId="46" xfId="0" applyBorder="1"/>
    <xf numFmtId="0" fontId="8" fillId="7" borderId="17" xfId="2" applyFont="1" applyFill="1" applyBorder="1" applyAlignment="1">
      <alignment horizontal="center"/>
    </xf>
    <xf numFmtId="0" fontId="8" fillId="7" borderId="28" xfId="2" applyFont="1" applyFill="1" applyBorder="1" applyAlignment="1">
      <alignment horizontal="center"/>
    </xf>
    <xf numFmtId="0" fontId="8" fillId="7" borderId="13" xfId="2" applyFont="1" applyFill="1" applyBorder="1" applyAlignment="1">
      <alignment horizontal="center"/>
    </xf>
    <xf numFmtId="0" fontId="28" fillId="7" borderId="7" xfId="1" applyFont="1" applyFill="1" applyBorder="1" applyAlignment="1">
      <alignment horizontal="center" vertical="center"/>
    </xf>
    <xf numFmtId="0" fontId="28" fillId="7" borderId="9" xfId="1" applyFont="1" applyFill="1" applyBorder="1" applyAlignment="1">
      <alignment horizontal="center" vertical="center"/>
    </xf>
    <xf numFmtId="0" fontId="31" fillId="7" borderId="13" xfId="1" applyFont="1" applyFill="1" applyBorder="1" applyAlignment="1">
      <alignment horizontal="center"/>
    </xf>
    <xf numFmtId="0" fontId="27" fillId="7" borderId="0" xfId="1" applyFont="1" applyFill="1" applyAlignment="1">
      <alignment vertical="center"/>
    </xf>
    <xf numFmtId="0" fontId="27" fillId="7" borderId="44" xfId="2" applyFont="1" applyFill="1" applyBorder="1" applyAlignment="1">
      <alignment horizontal="center"/>
    </xf>
    <xf numFmtId="0" fontId="36" fillId="7" borderId="5" xfId="2" applyFont="1" applyFill="1" applyBorder="1" applyAlignment="1">
      <alignment horizontal="center"/>
    </xf>
    <xf numFmtId="0" fontId="28" fillId="7" borderId="39" xfId="1" applyFont="1" applyFill="1" applyBorder="1" applyAlignment="1">
      <alignment horizontal="center" vertical="center"/>
    </xf>
    <xf numFmtId="0" fontId="28" fillId="7" borderId="28" xfId="1" applyFont="1" applyFill="1" applyBorder="1" applyAlignment="1">
      <alignment horizontal="center" vertical="center"/>
    </xf>
    <xf numFmtId="0" fontId="37" fillId="7" borderId="28" xfId="0" applyFont="1" applyFill="1" applyBorder="1" applyAlignment="1">
      <alignment horizontal="center" vertical="center" shrinkToFit="1" readingOrder="2"/>
    </xf>
    <xf numFmtId="0" fontId="37" fillId="7" borderId="9" xfId="0" applyFont="1" applyFill="1" applyBorder="1" applyAlignment="1">
      <alignment horizontal="center" vertical="center" shrinkToFit="1" readingOrder="2"/>
    </xf>
    <xf numFmtId="0" fontId="36" fillId="7" borderId="0" xfId="1" applyFont="1" applyFill="1"/>
    <xf numFmtId="0" fontId="37" fillId="7" borderId="8" xfId="0" applyFont="1" applyFill="1" applyBorder="1" applyAlignment="1">
      <alignment horizontal="center" vertical="center" shrinkToFit="1" readingOrder="2"/>
    </xf>
    <xf numFmtId="0" fontId="37" fillId="7" borderId="7" xfId="0" applyFont="1" applyFill="1" applyBorder="1" applyAlignment="1">
      <alignment horizontal="center" vertical="center" shrinkToFit="1" readingOrder="2"/>
    </xf>
    <xf numFmtId="0" fontId="37" fillId="7" borderId="10" xfId="0" applyFont="1" applyFill="1" applyBorder="1" applyAlignment="1">
      <alignment horizontal="center" vertical="center" shrinkToFit="1" readingOrder="2"/>
    </xf>
    <xf numFmtId="0" fontId="36" fillId="7" borderId="0" xfId="1" applyFont="1" applyFill="1" applyAlignment="1">
      <alignment vertical="center"/>
    </xf>
    <xf numFmtId="167" fontId="17" fillId="5" borderId="31" xfId="7" applyNumberFormat="1" applyFont="1" applyFill="1" applyBorder="1" applyAlignment="1">
      <alignment horizontal="center" vertical="center" wrapText="1"/>
    </xf>
    <xf numFmtId="167" fontId="17" fillId="5" borderId="31" xfId="7" applyNumberFormat="1" applyFont="1" applyFill="1" applyBorder="1" applyAlignment="1">
      <alignment vertical="center" wrapText="1"/>
    </xf>
    <xf numFmtId="167" fontId="14" fillId="5" borderId="31" xfId="7" applyNumberFormat="1" applyFont="1" applyFill="1" applyBorder="1" applyAlignment="1">
      <alignment horizontal="center" vertical="top" wrapText="1"/>
    </xf>
    <xf numFmtId="167" fontId="0" fillId="0" borderId="0" xfId="7" applyNumberFormat="1" applyFont="1"/>
    <xf numFmtId="167" fontId="15" fillId="0" borderId="31" xfId="7" applyNumberFormat="1" applyFont="1" applyFill="1" applyBorder="1" applyAlignment="1">
      <alignment horizontal="center" vertical="top" wrapText="1"/>
    </xf>
    <xf numFmtId="167" fontId="15" fillId="0" borderId="31" xfId="7" applyNumberFormat="1" applyFont="1" applyFill="1" applyBorder="1" applyAlignment="1">
      <alignment horizontal="center" vertical="center" wrapText="1"/>
    </xf>
    <xf numFmtId="167" fontId="14" fillId="5" borderId="31" xfId="7" applyNumberFormat="1" applyFont="1" applyFill="1" applyBorder="1" applyAlignment="1">
      <alignment horizontal="center" vertical="center" wrapText="1"/>
    </xf>
    <xf numFmtId="0" fontId="42" fillId="0" borderId="0" xfId="8" applyFont="1" applyFill="1" applyBorder="1" applyAlignment="1">
      <alignment horizontal="center" vertical="center"/>
    </xf>
    <xf numFmtId="0" fontId="0" fillId="0" borderId="50" xfId="0" applyBorder="1"/>
    <xf numFmtId="0" fontId="0" fillId="0" borderId="0" xfId="0" applyAlignment="1">
      <alignment vertical="center"/>
    </xf>
    <xf numFmtId="0" fontId="41" fillId="29" borderId="48" xfId="8" applyFont="1" applyFill="1" applyBorder="1" applyAlignment="1">
      <alignment horizontal="center" vertical="center"/>
    </xf>
    <xf numFmtId="0" fontId="9" fillId="29" borderId="48" xfId="8" applyFont="1" applyFill="1" applyBorder="1" applyAlignment="1">
      <alignment horizontal="center" vertical="center"/>
    </xf>
    <xf numFmtId="0" fontId="5" fillId="0" borderId="42" xfId="2" applyFont="1" applyBorder="1" applyAlignment="1">
      <alignment horizontal="center"/>
    </xf>
    <xf numFmtId="0" fontId="5" fillId="7" borderId="27" xfId="2" applyFont="1" applyFill="1" applyBorder="1" applyAlignment="1">
      <alignment horizontal="center"/>
    </xf>
    <xf numFmtId="0" fontId="5" fillId="7" borderId="5" xfId="2" applyFont="1" applyFill="1" applyBorder="1" applyAlignment="1">
      <alignment horizontal="center"/>
    </xf>
    <xf numFmtId="0" fontId="4" fillId="0" borderId="0" xfId="2" applyFill="1"/>
    <xf numFmtId="0" fontId="5" fillId="7" borderId="17" xfId="2" applyFont="1" applyFill="1" applyBorder="1" applyAlignment="1">
      <alignment horizontal="center"/>
    </xf>
    <xf numFmtId="0" fontId="5" fillId="7" borderId="28" xfId="2" applyFont="1" applyFill="1" applyBorder="1" applyAlignment="1">
      <alignment horizontal="center"/>
    </xf>
    <xf numFmtId="0" fontId="5" fillId="7" borderId="13" xfId="2" applyFont="1" applyFill="1" applyBorder="1" applyAlignment="1">
      <alignment horizontal="center"/>
    </xf>
    <xf numFmtId="0" fontId="5" fillId="7" borderId="10" xfId="2" applyFont="1" applyFill="1" applyBorder="1" applyAlignment="1">
      <alignment horizontal="center" vertical="center"/>
    </xf>
    <xf numFmtId="0" fontId="5" fillId="7" borderId="9" xfId="2" applyFont="1" applyFill="1" applyBorder="1" applyAlignment="1">
      <alignment horizontal="center" vertical="center"/>
    </xf>
    <xf numFmtId="0" fontId="5" fillId="7" borderId="7" xfId="2" applyFont="1" applyFill="1" applyBorder="1" applyAlignment="1">
      <alignment horizontal="center" vertical="center"/>
    </xf>
    <xf numFmtId="0" fontId="5" fillId="7" borderId="26" xfId="2" applyFont="1" applyFill="1" applyBorder="1" applyAlignment="1">
      <alignment horizontal="center" vertical="center"/>
    </xf>
    <xf numFmtId="0" fontId="5" fillId="7" borderId="25" xfId="2" applyFont="1" applyFill="1" applyBorder="1" applyAlignment="1">
      <alignment horizontal="center" vertical="center"/>
    </xf>
    <xf numFmtId="0" fontId="5" fillId="7" borderId="23" xfId="2" applyFont="1" applyFill="1" applyBorder="1" applyAlignment="1">
      <alignment horizontal="center" vertical="center"/>
    </xf>
    <xf numFmtId="0" fontId="5" fillId="7" borderId="8" xfId="2" applyFont="1" applyFill="1" applyBorder="1" applyAlignment="1">
      <alignment horizontal="center" vertical="center"/>
    </xf>
    <xf numFmtId="0" fontId="4" fillId="0" borderId="0" xfId="2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40" fillId="7" borderId="10" xfId="2" applyFont="1" applyFill="1" applyBorder="1" applyAlignment="1">
      <alignment horizontal="center" vertical="center"/>
    </xf>
    <xf numFmtId="0" fontId="40" fillId="7" borderId="8" xfId="2" applyFont="1" applyFill="1" applyBorder="1" applyAlignment="1">
      <alignment horizontal="center" vertical="center"/>
    </xf>
    <xf numFmtId="0" fontId="40" fillId="0" borderId="0" xfId="2" applyFont="1" applyAlignment="1">
      <alignment horizontal="center" vertical="center"/>
    </xf>
    <xf numFmtId="0" fontId="40" fillId="7" borderId="62" xfId="2" applyFont="1" applyFill="1" applyBorder="1" applyAlignment="1">
      <alignment horizontal="center" vertical="center"/>
    </xf>
    <xf numFmtId="0" fontId="40" fillId="7" borderId="63" xfId="2" applyFont="1" applyFill="1" applyBorder="1" applyAlignment="1">
      <alignment horizontal="center" vertical="center"/>
    </xf>
    <xf numFmtId="0" fontId="40" fillId="7" borderId="64" xfId="2" applyFont="1" applyFill="1" applyBorder="1" applyAlignment="1">
      <alignment horizontal="center" vertical="center"/>
    </xf>
    <xf numFmtId="0" fontId="40" fillId="7" borderId="65" xfId="2" applyFont="1" applyFill="1" applyBorder="1" applyAlignment="1">
      <alignment horizontal="center" vertical="center"/>
    </xf>
    <xf numFmtId="0" fontId="40" fillId="7" borderId="66" xfId="2" applyFont="1" applyFill="1" applyBorder="1" applyAlignment="1">
      <alignment horizontal="center" vertical="center"/>
    </xf>
    <xf numFmtId="0" fontId="40" fillId="7" borderId="67" xfId="2" applyFont="1" applyFill="1" applyBorder="1" applyAlignment="1">
      <alignment horizontal="center" vertical="center"/>
    </xf>
    <xf numFmtId="0" fontId="40" fillId="7" borderId="68" xfId="2" applyFont="1" applyFill="1" applyBorder="1" applyAlignment="1">
      <alignment horizontal="center" vertical="center"/>
    </xf>
    <xf numFmtId="0" fontId="40" fillId="0" borderId="48" xfId="2" applyFont="1" applyBorder="1" applyAlignment="1">
      <alignment horizontal="center" vertical="center"/>
    </xf>
    <xf numFmtId="0" fontId="40" fillId="7" borderId="17" xfId="2" applyFont="1" applyFill="1" applyBorder="1" applyAlignment="1">
      <alignment horizontal="center" vertical="center"/>
    </xf>
    <xf numFmtId="0" fontId="5" fillId="7" borderId="40" xfId="2" applyFont="1" applyFill="1" applyBorder="1" applyAlignment="1">
      <alignment horizontal="center" vertical="center"/>
    </xf>
    <xf numFmtId="0" fontId="40" fillId="7" borderId="27" xfId="2" applyFont="1" applyFill="1" applyBorder="1" applyAlignment="1">
      <alignment horizontal="center" vertical="center"/>
    </xf>
    <xf numFmtId="0" fontId="5" fillId="7" borderId="27" xfId="2" applyFont="1" applyFill="1" applyBorder="1" applyAlignment="1">
      <alignment horizontal="center" vertical="center"/>
    </xf>
    <xf numFmtId="0" fontId="40" fillId="7" borderId="28" xfId="2" applyFont="1" applyFill="1" applyBorder="1" applyAlignment="1">
      <alignment horizontal="center" vertical="center"/>
    </xf>
    <xf numFmtId="0" fontId="5" fillId="7" borderId="29" xfId="2" applyFont="1" applyFill="1" applyBorder="1" applyAlignment="1">
      <alignment horizontal="center" vertical="center"/>
    </xf>
    <xf numFmtId="0" fontId="40" fillId="7" borderId="13" xfId="2" applyFont="1" applyFill="1" applyBorder="1" applyAlignment="1">
      <alignment horizontal="center" vertical="center"/>
    </xf>
    <xf numFmtId="0" fontId="5" fillId="7" borderId="5" xfId="2" applyFont="1" applyFill="1" applyBorder="1" applyAlignment="1">
      <alignment horizontal="center" vertical="center"/>
    </xf>
    <xf numFmtId="0" fontId="40" fillId="0" borderId="0" xfId="2" applyFont="1" applyBorder="1" applyAlignment="1">
      <alignment horizontal="center" vertical="center"/>
    </xf>
    <xf numFmtId="0" fontId="39" fillId="0" borderId="0" xfId="2" applyFont="1" applyAlignment="1">
      <alignment horizontal="center" vertical="center"/>
    </xf>
    <xf numFmtId="0" fontId="60" fillId="0" borderId="0" xfId="2" applyFont="1" applyAlignment="1">
      <alignment horizontal="center" vertical="center"/>
    </xf>
    <xf numFmtId="0" fontId="41" fillId="7" borderId="48" xfId="8" applyFont="1" applyFill="1" applyBorder="1" applyAlignment="1">
      <alignment horizontal="center" vertical="center"/>
    </xf>
    <xf numFmtId="0" fontId="9" fillId="7" borderId="48" xfId="8" applyFont="1" applyFill="1" applyBorder="1" applyAlignment="1">
      <alignment horizontal="center" vertical="center"/>
    </xf>
    <xf numFmtId="0" fontId="9" fillId="7" borderId="11" xfId="1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0" xfId="0" applyBorder="1" applyAlignment="1">
      <alignment vertical="center"/>
    </xf>
    <xf numFmtId="0" fontId="25" fillId="0" borderId="48" xfId="0" applyFont="1" applyBorder="1"/>
    <xf numFmtId="0" fontId="5" fillId="29" borderId="48" xfId="2" applyFont="1" applyFill="1" applyBorder="1" applyAlignment="1">
      <alignment horizontal="center"/>
    </xf>
    <xf numFmtId="0" fontId="5" fillId="29" borderId="48" xfId="2" applyFont="1" applyFill="1" applyBorder="1" applyAlignment="1">
      <alignment horizontal="center" vertical="center"/>
    </xf>
    <xf numFmtId="0" fontId="26" fillId="0" borderId="0" xfId="0" applyFont="1" applyAlignment="1"/>
    <xf numFmtId="0" fontId="0" fillId="0" borderId="0" xfId="0" applyAlignment="1"/>
    <xf numFmtId="0" fontId="30" fillId="7" borderId="25" xfId="1" applyFont="1" applyFill="1" applyBorder="1" applyAlignment="1">
      <alignment horizontal="center" vertical="center" shrinkToFit="1"/>
    </xf>
    <xf numFmtId="0" fontId="42" fillId="7" borderId="48" xfId="8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62" fillId="7" borderId="48" xfId="8" applyFont="1" applyFill="1" applyBorder="1" applyAlignment="1">
      <alignment horizontal="center" vertical="center"/>
    </xf>
    <xf numFmtId="165" fontId="63" fillId="7" borderId="31" xfId="0" applyNumberFormat="1" applyFont="1" applyFill="1" applyBorder="1" applyAlignment="1">
      <alignment horizontal="center" vertical="top" wrapText="1"/>
    </xf>
    <xf numFmtId="0" fontId="13" fillId="7" borderId="31" xfId="0" applyFont="1" applyFill="1" applyBorder="1" applyAlignment="1">
      <alignment horizontal="center" vertical="top" wrapText="1"/>
    </xf>
    <xf numFmtId="165" fontId="12" fillId="7" borderId="31" xfId="0" applyNumberFormat="1" applyFont="1" applyFill="1" applyBorder="1" applyAlignment="1">
      <alignment horizontal="center" vertical="top" wrapText="1"/>
    </xf>
    <xf numFmtId="0" fontId="27" fillId="0" borderId="0" xfId="1" applyFont="1" applyAlignment="1">
      <alignment horizontal="center"/>
    </xf>
    <xf numFmtId="0" fontId="28" fillId="7" borderId="8" xfId="1" applyFont="1" applyFill="1" applyBorder="1" applyAlignment="1">
      <alignment horizontal="center" vertical="center"/>
    </xf>
    <xf numFmtId="0" fontId="28" fillId="7" borderId="44" xfId="1" applyFont="1" applyFill="1" applyBorder="1" applyAlignment="1">
      <alignment horizontal="center" vertical="center"/>
    </xf>
    <xf numFmtId="0" fontId="28" fillId="7" borderId="5" xfId="1" applyFont="1" applyFill="1" applyBorder="1" applyAlignment="1">
      <alignment horizontal="center" vertical="center"/>
    </xf>
    <xf numFmtId="0" fontId="5" fillId="7" borderId="29" xfId="2" applyFont="1" applyFill="1" applyBorder="1" applyAlignment="1">
      <alignment horizontal="center" vertical="center"/>
    </xf>
    <xf numFmtId="0" fontId="64" fillId="7" borderId="31" xfId="0" applyFont="1" applyFill="1" applyBorder="1" applyAlignment="1">
      <alignment horizontal="center" vertical="top" wrapText="1"/>
    </xf>
    <xf numFmtId="0" fontId="65" fillId="0" borderId="0" xfId="0" applyFont="1" applyAlignment="1">
      <alignment horizontal="right" vertical="center" readingOrder="2"/>
    </xf>
    <xf numFmtId="0" fontId="0" fillId="0" borderId="71" xfId="0" applyBorder="1"/>
    <xf numFmtId="0" fontId="40" fillId="7" borderId="71" xfId="2" applyFont="1" applyFill="1" applyBorder="1" applyAlignment="1">
      <alignment horizontal="center" vertical="center"/>
    </xf>
    <xf numFmtId="0" fontId="5" fillId="7" borderId="71" xfId="2" applyFont="1" applyFill="1" applyBorder="1" applyAlignment="1">
      <alignment horizontal="center" vertical="center"/>
    </xf>
    <xf numFmtId="0" fontId="40" fillId="7" borderId="73" xfId="2" applyFont="1" applyFill="1" applyBorder="1" applyAlignment="1">
      <alignment horizontal="center" vertical="center"/>
    </xf>
    <xf numFmtId="0" fontId="5" fillId="7" borderId="73" xfId="2" applyFont="1" applyFill="1" applyBorder="1" applyAlignment="1">
      <alignment horizontal="center" vertical="center"/>
    </xf>
    <xf numFmtId="0" fontId="68" fillId="0" borderId="73" xfId="0" applyFont="1" applyBorder="1" applyAlignment="1">
      <alignment horizontal="center" vertical="center" wrapText="1" readingOrder="2"/>
    </xf>
    <xf numFmtId="0" fontId="67" fillId="7" borderId="72" xfId="0" applyFont="1" applyFill="1" applyBorder="1" applyAlignment="1">
      <alignment horizontal="center" vertical="center" wrapText="1" readingOrder="2"/>
    </xf>
    <xf numFmtId="0" fontId="68" fillId="7" borderId="73" xfId="0" applyFont="1" applyFill="1" applyBorder="1" applyAlignment="1">
      <alignment horizontal="center" vertical="center" wrapText="1" readingOrder="2"/>
    </xf>
    <xf numFmtId="0" fontId="0" fillId="7" borderId="73" xfId="0" applyFill="1" applyBorder="1"/>
    <xf numFmtId="0" fontId="0" fillId="7" borderId="71" xfId="0" applyFill="1" applyBorder="1"/>
    <xf numFmtId="0" fontId="0" fillId="7" borderId="72" xfId="0" applyFill="1" applyBorder="1"/>
    <xf numFmtId="0" fontId="69" fillId="0" borderId="73" xfId="0" applyFont="1" applyBorder="1" applyAlignment="1">
      <alignment horizontal="right" vertical="center" wrapText="1" readingOrder="2"/>
    </xf>
    <xf numFmtId="0" fontId="69" fillId="7" borderId="73" xfId="0" applyFont="1" applyFill="1" applyBorder="1" applyAlignment="1">
      <alignment horizontal="right" vertical="center" wrapText="1" readingOrder="2"/>
    </xf>
    <xf numFmtId="0" fontId="71" fillId="0" borderId="73" xfId="0" applyFont="1" applyBorder="1" applyAlignment="1">
      <alignment horizontal="right" vertical="center" wrapText="1" readingOrder="2"/>
    </xf>
    <xf numFmtId="0" fontId="71" fillId="7" borderId="73" xfId="0" applyFont="1" applyFill="1" applyBorder="1" applyAlignment="1">
      <alignment horizontal="right" vertical="center" wrapText="1" readingOrder="2"/>
    </xf>
    <xf numFmtId="0" fontId="5" fillId="0" borderId="0" xfId="0" applyFont="1" applyAlignment="1">
      <alignment horizontal="center"/>
    </xf>
    <xf numFmtId="0" fontId="5" fillId="0" borderId="0" xfId="1" applyFont="1" applyAlignment="1"/>
    <xf numFmtId="0" fontId="61" fillId="0" borderId="0" xfId="5" applyFont="1"/>
    <xf numFmtId="0" fontId="61" fillId="0" borderId="0" xfId="0" applyFont="1"/>
    <xf numFmtId="0" fontId="61" fillId="0" borderId="0" xfId="5" applyFont="1" applyAlignment="1">
      <alignment horizontal="center"/>
    </xf>
    <xf numFmtId="0" fontId="8" fillId="0" borderId="0" xfId="1" applyFont="1" applyAlignment="1">
      <alignment horizontal="right"/>
    </xf>
    <xf numFmtId="0" fontId="5" fillId="0" borderId="0" xfId="1" applyFont="1" applyAlignment="1">
      <alignment horizontal="right"/>
    </xf>
    <xf numFmtId="0" fontId="27" fillId="0" borderId="0" xfId="1" applyFont="1" applyAlignment="1">
      <alignment horizontal="center"/>
    </xf>
    <xf numFmtId="0" fontId="0" fillId="7" borderId="61" xfId="0" applyFill="1" applyBorder="1"/>
    <xf numFmtId="0" fontId="27" fillId="7" borderId="71" xfId="2" applyFont="1" applyFill="1" applyBorder="1" applyAlignment="1">
      <alignment horizontal="center"/>
    </xf>
    <xf numFmtId="0" fontId="36" fillId="7" borderId="71" xfId="2" applyFont="1" applyFill="1" applyBorder="1" applyAlignment="1">
      <alignment horizontal="center"/>
    </xf>
    <xf numFmtId="0" fontId="68" fillId="0" borderId="71" xfId="0" applyFont="1" applyBorder="1" applyAlignment="1">
      <alignment horizontal="center" vertical="center" wrapText="1" readingOrder="2"/>
    </xf>
    <xf numFmtId="0" fontId="70" fillId="7" borderId="71" xfId="0" applyFont="1" applyFill="1" applyBorder="1" applyAlignment="1">
      <alignment horizontal="center" vertical="center" textRotation="90" wrapText="1" readingOrder="2"/>
    </xf>
    <xf numFmtId="0" fontId="68" fillId="0" borderId="71" xfId="0" applyFont="1" applyBorder="1" applyAlignment="1">
      <alignment horizontal="center" vertical="center" textRotation="90" wrapText="1" readingOrder="2"/>
    </xf>
    <xf numFmtId="0" fontId="5" fillId="0" borderId="0" xfId="0" applyFont="1"/>
    <xf numFmtId="0" fontId="40" fillId="0" borderId="0" xfId="51"/>
    <xf numFmtId="0" fontId="40" fillId="0" borderId="50" xfId="51" applyBorder="1"/>
    <xf numFmtId="0" fontId="40" fillId="0" borderId="74" xfId="51" applyBorder="1"/>
    <xf numFmtId="0" fontId="74" fillId="30" borderId="75" xfId="50" applyFont="1" applyFill="1" applyBorder="1" applyAlignment="1">
      <alignment horizontal="center" vertical="center" wrapText="1"/>
    </xf>
    <xf numFmtId="0" fontId="74" fillId="30" borderId="76" xfId="50" applyFont="1" applyFill="1" applyBorder="1" applyAlignment="1">
      <alignment horizontal="center" vertical="center" wrapText="1"/>
    </xf>
    <xf numFmtId="0" fontId="74" fillId="30" borderId="77" xfId="50" applyFont="1" applyFill="1" applyBorder="1" applyAlignment="1">
      <alignment horizontal="center" vertical="center" wrapText="1"/>
    </xf>
    <xf numFmtId="0" fontId="74" fillId="30" borderId="78" xfId="50" applyFont="1" applyFill="1" applyBorder="1" applyAlignment="1">
      <alignment horizontal="center" vertical="center" wrapText="1"/>
    </xf>
    <xf numFmtId="0" fontId="74" fillId="0" borderId="0" xfId="50" applyFont="1" applyFill="1" applyBorder="1" applyAlignment="1">
      <alignment horizontal="center" vertical="center" wrapText="1"/>
    </xf>
    <xf numFmtId="0" fontId="74" fillId="0" borderId="0" xfId="51" applyFont="1" applyAlignment="1">
      <alignment wrapText="1"/>
    </xf>
    <xf numFmtId="0" fontId="9" fillId="3" borderId="79" xfId="50" applyFont="1" applyFill="1" applyBorder="1" applyAlignment="1">
      <alignment horizontal="center" vertical="center" shrinkToFit="1" readingOrder="2"/>
    </xf>
    <xf numFmtId="0" fontId="41" fillId="0" borderId="43" xfId="50" applyFont="1" applyFill="1" applyBorder="1" applyAlignment="1">
      <alignment horizontal="center" vertical="center"/>
    </xf>
    <xf numFmtId="0" fontId="9" fillId="0" borderId="45" xfId="50" applyFont="1" applyFill="1" applyBorder="1" applyAlignment="1">
      <alignment horizontal="center" vertical="center"/>
    </xf>
    <xf numFmtId="0" fontId="41" fillId="0" borderId="45" xfId="50" applyFont="1" applyFill="1" applyBorder="1" applyAlignment="1">
      <alignment horizontal="center" vertical="center"/>
    </xf>
    <xf numFmtId="0" fontId="75" fillId="3" borderId="80" xfId="50" applyFont="1" applyFill="1" applyBorder="1" applyAlignment="1">
      <alignment vertical="center"/>
    </xf>
    <xf numFmtId="0" fontId="9" fillId="0" borderId="81" xfId="50" applyFont="1" applyFill="1" applyBorder="1" applyAlignment="1">
      <alignment horizontal="center" vertical="center" shrinkToFit="1" readingOrder="2"/>
    </xf>
    <xf numFmtId="0" fontId="41" fillId="0" borderId="82" xfId="50" applyFont="1" applyFill="1" applyBorder="1" applyAlignment="1">
      <alignment horizontal="right" vertical="center"/>
    </xf>
    <xf numFmtId="0" fontId="9" fillId="0" borderId="71" xfId="50" applyFont="1" applyFill="1" applyBorder="1" applyAlignment="1">
      <alignment horizontal="center" vertical="center"/>
    </xf>
    <xf numFmtId="0" fontId="40" fillId="0" borderId="71" xfId="51" applyBorder="1"/>
    <xf numFmtId="0" fontId="40" fillId="0" borderId="83" xfId="51" applyBorder="1"/>
    <xf numFmtId="0" fontId="9" fillId="0" borderId="0" xfId="50" applyFont="1" applyBorder="1" applyAlignment="1">
      <alignment vertical="center"/>
    </xf>
    <xf numFmtId="0" fontId="9" fillId="0" borderId="0" xfId="50" applyFont="1" applyBorder="1" applyAlignment="1">
      <alignment horizontal="right" vertical="center"/>
    </xf>
    <xf numFmtId="0" fontId="8" fillId="0" borderId="0" xfId="1" applyFont="1" applyAlignment="1">
      <alignment horizontal="right"/>
    </xf>
    <xf numFmtId="0" fontId="8" fillId="0" borderId="0" xfId="1" applyFont="1" applyAlignment="1"/>
    <xf numFmtId="0" fontId="5" fillId="0" borderId="30" xfId="1" applyFont="1" applyBorder="1" applyAlignment="1"/>
    <xf numFmtId="0" fontId="5" fillId="0" borderId="0" xfId="0" applyFont="1" applyAlignment="1"/>
    <xf numFmtId="0" fontId="40" fillId="0" borderId="0" xfId="2" applyFont="1" applyAlignment="1">
      <alignment vertical="center"/>
    </xf>
    <xf numFmtId="0" fontId="0" fillId="0" borderId="0" xfId="0" applyFont="1"/>
    <xf numFmtId="0" fontId="61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vertical="center"/>
    </xf>
    <xf numFmtId="0" fontId="61" fillId="0" borderId="0" xfId="0" applyFont="1" applyAlignment="1"/>
    <xf numFmtId="0" fontId="78" fillId="29" borderId="70" xfId="8" applyFont="1" applyFill="1" applyBorder="1" applyAlignment="1">
      <alignment horizontal="center" vertical="center" wrapText="1" shrinkToFit="1"/>
    </xf>
    <xf numFmtId="0" fontId="79" fillId="0" borderId="89" xfId="0" applyFont="1" applyBorder="1"/>
    <xf numFmtId="0" fontId="80" fillId="0" borderId="89" xfId="0" applyFont="1" applyBorder="1" applyAlignment="1">
      <alignment horizontal="center" vertical="center"/>
    </xf>
    <xf numFmtId="0" fontId="80" fillId="0" borderId="89" xfId="0" applyFont="1" applyBorder="1" applyAlignment="1">
      <alignment horizontal="center"/>
    </xf>
    <xf numFmtId="0" fontId="80" fillId="0" borderId="8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1" fillId="0" borderId="0" xfId="0" applyFont="1" applyAlignment="1">
      <alignment horizontal="center"/>
    </xf>
    <xf numFmtId="0" fontId="81" fillId="0" borderId="0" xfId="0" applyFont="1"/>
    <xf numFmtId="0" fontId="82" fillId="0" borderId="0" xfId="0" applyFont="1"/>
    <xf numFmtId="0" fontId="80" fillId="0" borderId="89" xfId="0" applyFont="1" applyBorder="1" applyAlignment="1">
      <alignment horizontal="center" vertical="center"/>
    </xf>
    <xf numFmtId="0" fontId="40" fillId="0" borderId="0" xfId="2" applyFont="1" applyAlignment="1">
      <alignment horizontal="center" vertical="center"/>
    </xf>
    <xf numFmtId="0" fontId="83" fillId="0" borderId="89" xfId="0" applyFont="1" applyBorder="1" applyAlignment="1">
      <alignment horizontal="center" vertical="center"/>
    </xf>
    <xf numFmtId="0" fontId="83" fillId="0" borderId="89" xfId="0" applyFont="1" applyBorder="1" applyAlignment="1">
      <alignment horizontal="center"/>
    </xf>
    <xf numFmtId="0" fontId="5" fillId="7" borderId="86" xfId="2" applyFont="1" applyFill="1" applyBorder="1" applyAlignment="1">
      <alignment horizontal="center" vertical="center"/>
    </xf>
    <xf numFmtId="0" fontId="78" fillId="29" borderId="48" xfId="8" applyFont="1" applyFill="1" applyBorder="1" applyAlignment="1">
      <alignment horizontal="center" vertical="center"/>
    </xf>
    <xf numFmtId="0" fontId="5" fillId="7" borderId="43" xfId="50" applyFont="1" applyFill="1" applyBorder="1" applyAlignment="1">
      <alignment horizontal="center"/>
    </xf>
    <xf numFmtId="0" fontId="9" fillId="3" borderId="73" xfId="50" applyFont="1" applyFill="1" applyBorder="1" applyAlignment="1">
      <alignment horizontal="center" vertical="center"/>
    </xf>
    <xf numFmtId="0" fontId="9" fillId="7" borderId="73" xfId="50" applyFont="1" applyFill="1" applyBorder="1" applyAlignment="1">
      <alignment horizontal="center" vertical="center"/>
    </xf>
    <xf numFmtId="0" fontId="5" fillId="7" borderId="28" xfId="50" applyFont="1" applyFill="1" applyBorder="1" applyAlignment="1">
      <alignment horizontal="center"/>
    </xf>
    <xf numFmtId="0" fontId="5" fillId="7" borderId="99" xfId="50" applyFont="1" applyFill="1" applyBorder="1" applyAlignment="1">
      <alignment horizontal="center"/>
    </xf>
    <xf numFmtId="0" fontId="78" fillId="29" borderId="70" xfId="8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7" borderId="101" xfId="50" applyFont="1" applyFill="1" applyBorder="1" applyAlignment="1">
      <alignment horizontal="center"/>
    </xf>
    <xf numFmtId="0" fontId="5" fillId="7" borderId="73" xfId="50" applyFont="1" applyFill="1" applyBorder="1" applyAlignment="1">
      <alignment horizontal="center"/>
    </xf>
    <xf numFmtId="0" fontId="39" fillId="0" borderId="0" xfId="0" applyFont="1"/>
    <xf numFmtId="0" fontId="9" fillId="0" borderId="0" xfId="0" applyFont="1" applyAlignment="1">
      <alignment horizontal="center" vertical="center"/>
    </xf>
    <xf numFmtId="0" fontId="81" fillId="0" borderId="0" xfId="0" applyFont="1" applyAlignment="1">
      <alignment horizontal="center"/>
    </xf>
    <xf numFmtId="0" fontId="83" fillId="0" borderId="89" xfId="0" applyFont="1" applyBorder="1" applyAlignment="1">
      <alignment horizontal="center" vertical="center"/>
    </xf>
    <xf numFmtId="0" fontId="80" fillId="0" borderId="8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7" borderId="29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40" fillId="0" borderId="0" xfId="2" applyFont="1" applyAlignment="1">
      <alignment horizontal="center" vertical="center"/>
    </xf>
    <xf numFmtId="0" fontId="22" fillId="5" borderId="31" xfId="3" applyFont="1" applyFill="1" applyBorder="1" applyAlignment="1">
      <alignment horizontal="center" vertical="center" textRotation="90" wrapText="1"/>
    </xf>
    <xf numFmtId="0" fontId="22" fillId="5" borderId="105" xfId="3" applyFont="1" applyFill="1" applyBorder="1" applyAlignment="1">
      <alignment horizontal="center" vertical="center" textRotation="90" wrapText="1"/>
    </xf>
    <xf numFmtId="0" fontId="22" fillId="5" borderId="35" xfId="3" applyFont="1" applyFill="1" applyBorder="1" applyAlignment="1">
      <alignment horizontal="center" vertical="center" textRotation="90" wrapText="1"/>
    </xf>
    <xf numFmtId="0" fontId="22" fillId="5" borderId="37" xfId="3" applyFont="1" applyFill="1" applyBorder="1" applyAlignment="1">
      <alignment horizontal="center" vertical="center" textRotation="90" wrapText="1"/>
    </xf>
    <xf numFmtId="166" fontId="20" fillId="0" borderId="105" xfId="3" applyNumberFormat="1" applyFont="1" applyFill="1" applyBorder="1" applyAlignment="1">
      <alignment horizontal="center" vertical="top" wrapText="1"/>
    </xf>
    <xf numFmtId="0" fontId="22" fillId="5" borderId="106" xfId="3" applyFont="1" applyFill="1" applyBorder="1" applyAlignment="1">
      <alignment horizontal="center" vertical="center" textRotation="90" wrapText="1"/>
    </xf>
    <xf numFmtId="166" fontId="20" fillId="0" borderId="35" xfId="3" applyNumberFormat="1" applyFont="1" applyFill="1" applyBorder="1" applyAlignment="1">
      <alignment horizontal="center" vertical="top" wrapText="1"/>
    </xf>
    <xf numFmtId="166" fontId="20" fillId="5" borderId="35" xfId="3" applyNumberFormat="1" applyFont="1" applyFill="1" applyBorder="1" applyAlignment="1">
      <alignment horizontal="center" vertical="top" wrapText="1"/>
    </xf>
    <xf numFmtId="166" fontId="20" fillId="0" borderId="106" xfId="3" applyNumberFormat="1" applyFont="1" applyFill="1" applyBorder="1" applyAlignment="1">
      <alignment horizontal="center" vertical="top" wrapText="1"/>
    </xf>
    <xf numFmtId="0" fontId="23" fillId="5" borderId="106" xfId="3" applyFont="1" applyFill="1" applyBorder="1" applyAlignment="1">
      <alignment horizontal="center" vertical="center" wrapText="1"/>
    </xf>
    <xf numFmtId="166" fontId="20" fillId="5" borderId="106" xfId="3" applyNumberFormat="1" applyFont="1" applyFill="1" applyBorder="1" applyAlignment="1">
      <alignment horizontal="center" vertical="top" wrapText="1"/>
    </xf>
    <xf numFmtId="0" fontId="21" fillId="5" borderId="106" xfId="3" applyFont="1" applyFill="1" applyBorder="1" applyAlignment="1">
      <alignment horizontal="center" vertical="top" wrapText="1"/>
    </xf>
    <xf numFmtId="0" fontId="23" fillId="3" borderId="106" xfId="3" applyFont="1" applyFill="1" applyBorder="1" applyAlignment="1">
      <alignment horizontal="center" vertical="center" wrapText="1"/>
    </xf>
    <xf numFmtId="0" fontId="20" fillId="3" borderId="106" xfId="3" applyFont="1" applyFill="1" applyBorder="1" applyAlignment="1">
      <alignment horizontal="center" vertical="top" wrapText="1"/>
    </xf>
    <xf numFmtId="0" fontId="79" fillId="0" borderId="89" xfId="0" applyFont="1" applyBorder="1" applyAlignment="1">
      <alignment horizontal="center" vertical="center"/>
    </xf>
    <xf numFmtId="0" fontId="80" fillId="0" borderId="93" xfId="0" applyFont="1" applyBorder="1" applyAlignment="1">
      <alignment horizontal="center" vertical="center"/>
    </xf>
    <xf numFmtId="0" fontId="80" fillId="0" borderId="92" xfId="0" applyFont="1" applyBorder="1" applyAlignment="1">
      <alignment horizontal="center" vertical="center"/>
    </xf>
    <xf numFmtId="0" fontId="80" fillId="0" borderId="91" xfId="0" applyFont="1" applyBorder="1" applyAlignment="1">
      <alignment horizontal="center" vertical="center"/>
    </xf>
    <xf numFmtId="0" fontId="79" fillId="0" borderId="90" xfId="0" applyFont="1" applyBorder="1" applyAlignment="1">
      <alignment horizontal="center" vertical="center"/>
    </xf>
    <xf numFmtId="0" fontId="80" fillId="0" borderId="89" xfId="0" applyFont="1" applyBorder="1" applyAlignment="1">
      <alignment horizontal="center" vertical="center"/>
    </xf>
    <xf numFmtId="0" fontId="83" fillId="0" borderId="98" xfId="0" applyFont="1" applyBorder="1" applyAlignment="1">
      <alignment horizontal="center" vertical="center"/>
    </xf>
    <xf numFmtId="0" fontId="83" fillId="0" borderId="50" xfId="0" applyFont="1" applyBorder="1" applyAlignment="1">
      <alignment horizontal="center" vertical="center"/>
    </xf>
    <xf numFmtId="0" fontId="83" fillId="0" borderId="97" xfId="0" applyFont="1" applyBorder="1" applyAlignment="1">
      <alignment horizontal="center" vertical="center"/>
    </xf>
    <xf numFmtId="0" fontId="83" fillId="0" borderId="96" xfId="0" applyFont="1" applyBorder="1" applyAlignment="1">
      <alignment horizontal="center" vertical="center"/>
    </xf>
    <xf numFmtId="0" fontId="83" fillId="0" borderId="95" xfId="0" applyFont="1" applyBorder="1" applyAlignment="1">
      <alignment horizontal="center" vertical="center"/>
    </xf>
    <xf numFmtId="0" fontId="83" fillId="0" borderId="94" xfId="0" applyFont="1" applyBorder="1" applyAlignment="1">
      <alignment horizontal="center" vertical="center"/>
    </xf>
    <xf numFmtId="0" fontId="83" fillId="0" borderId="89" xfId="0" applyFont="1" applyBorder="1" applyAlignment="1">
      <alignment horizontal="center" vertical="center"/>
    </xf>
    <xf numFmtId="0" fontId="81" fillId="0" borderId="0" xfId="0" applyFont="1" applyAlignment="1">
      <alignment horizontal="center"/>
    </xf>
    <xf numFmtId="0" fontId="83" fillId="0" borderId="89" xfId="0" applyFont="1" applyBorder="1" applyAlignment="1">
      <alignment horizontal="center" vertical="center" textRotation="255"/>
    </xf>
    <xf numFmtId="0" fontId="80" fillId="0" borderId="89" xfId="0" applyFont="1" applyBorder="1" applyAlignment="1">
      <alignment horizontal="center" vertical="center" textRotation="255"/>
    </xf>
    <xf numFmtId="0" fontId="80" fillId="0" borderId="98" xfId="0" applyFont="1" applyBorder="1" applyAlignment="1">
      <alignment horizontal="center" vertical="center"/>
    </xf>
    <xf numFmtId="0" fontId="80" fillId="0" borderId="50" xfId="0" applyFont="1" applyBorder="1" applyAlignment="1">
      <alignment horizontal="center" vertical="center"/>
    </xf>
    <xf numFmtId="0" fontId="80" fillId="0" borderId="97" xfId="0" applyFont="1" applyBorder="1" applyAlignment="1">
      <alignment horizontal="center" vertical="center"/>
    </xf>
    <xf numFmtId="0" fontId="80" fillId="0" borderId="96" xfId="0" applyFont="1" applyBorder="1" applyAlignment="1">
      <alignment horizontal="center" vertical="center"/>
    </xf>
    <xf numFmtId="0" fontId="80" fillId="0" borderId="95" xfId="0" applyFont="1" applyBorder="1" applyAlignment="1">
      <alignment horizontal="center" vertical="center"/>
    </xf>
    <xf numFmtId="0" fontId="80" fillId="0" borderId="94" xfId="0" applyFont="1" applyBorder="1" applyAlignment="1">
      <alignment horizontal="center" vertical="center"/>
    </xf>
    <xf numFmtId="0" fontId="80" fillId="0" borderId="93" xfId="0" applyFont="1" applyBorder="1" applyAlignment="1">
      <alignment horizontal="center"/>
    </xf>
    <xf numFmtId="0" fontId="80" fillId="0" borderId="92" xfId="0" applyFont="1" applyBorder="1" applyAlignment="1">
      <alignment horizontal="center"/>
    </xf>
    <xf numFmtId="0" fontId="79" fillId="0" borderId="98" xfId="0" applyFont="1" applyBorder="1" applyAlignment="1">
      <alignment horizontal="center" vertical="center"/>
    </xf>
    <xf numFmtId="0" fontId="79" fillId="0" borderId="96" xfId="0" applyFont="1" applyBorder="1" applyAlignment="1">
      <alignment horizontal="center" vertical="center"/>
    </xf>
    <xf numFmtId="0" fontId="84" fillId="0" borderId="98" xfId="0" applyFont="1" applyBorder="1" applyAlignment="1">
      <alignment horizontal="center" vertical="center"/>
    </xf>
    <xf numFmtId="0" fontId="79" fillId="0" borderId="50" xfId="0" applyFont="1" applyBorder="1" applyAlignment="1">
      <alignment horizontal="center" vertical="center"/>
    </xf>
    <xf numFmtId="0" fontId="79" fillId="0" borderId="97" xfId="0" applyFont="1" applyBorder="1" applyAlignment="1">
      <alignment horizontal="center" vertical="center"/>
    </xf>
    <xf numFmtId="0" fontId="79" fillId="0" borderId="95" xfId="0" applyFont="1" applyBorder="1" applyAlignment="1">
      <alignment horizontal="center" vertical="center"/>
    </xf>
    <xf numFmtId="0" fontId="79" fillId="0" borderId="94" xfId="0" applyFont="1" applyBorder="1" applyAlignment="1">
      <alignment horizontal="center" vertical="center"/>
    </xf>
    <xf numFmtId="0" fontId="79" fillId="0" borderId="93" xfId="0" applyFont="1" applyBorder="1" applyAlignment="1">
      <alignment horizontal="center" vertical="center"/>
    </xf>
    <xf numFmtId="0" fontId="79" fillId="0" borderId="92" xfId="0" applyFont="1" applyBorder="1" applyAlignment="1">
      <alignment horizontal="center" vertical="center"/>
    </xf>
    <xf numFmtId="0" fontId="17" fillId="5" borderId="31" xfId="0" applyFont="1" applyFill="1" applyBorder="1" applyAlignment="1">
      <alignment horizontal="center" vertical="top" wrapText="1"/>
    </xf>
    <xf numFmtId="0" fontId="16" fillId="5" borderId="31" xfId="0" applyFont="1" applyFill="1" applyBorder="1" applyAlignment="1">
      <alignment horizontal="center" vertical="top" wrapText="1"/>
    </xf>
    <xf numFmtId="0" fontId="38" fillId="3" borderId="32" xfId="0" applyFont="1" applyFill="1" applyBorder="1" applyAlignment="1">
      <alignment horizontal="center" vertical="center" textRotation="90" wrapText="1"/>
    </xf>
    <xf numFmtId="0" fontId="38" fillId="3" borderId="34" xfId="0" applyFont="1" applyFill="1" applyBorder="1" applyAlignment="1">
      <alignment horizontal="center" vertical="center" textRotation="90" wrapText="1"/>
    </xf>
    <xf numFmtId="0" fontId="17" fillId="5" borderId="32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84" xfId="0" applyFont="1" applyBorder="1" applyAlignment="1">
      <alignment horizontal="center"/>
    </xf>
    <xf numFmtId="0" fontId="26" fillId="0" borderId="8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5" borderId="32" xfId="0" applyFont="1" applyFill="1" applyBorder="1" applyAlignment="1">
      <alignment horizontal="center" vertical="top" wrapText="1"/>
    </xf>
    <xf numFmtId="0" fontId="13" fillId="5" borderId="33" xfId="0" applyFont="1" applyFill="1" applyBorder="1" applyAlignment="1">
      <alignment horizontal="center" vertical="top" wrapText="1"/>
    </xf>
    <xf numFmtId="0" fontId="61" fillId="0" borderId="0" xfId="0" applyFont="1" applyAlignment="1">
      <alignment horizontal="center"/>
    </xf>
    <xf numFmtId="0" fontId="13" fillId="5" borderId="35" xfId="0" applyFont="1" applyFill="1" applyBorder="1" applyAlignment="1">
      <alignment horizontal="center" vertical="top" wrapText="1"/>
    </xf>
    <xf numFmtId="0" fontId="13" fillId="5" borderId="36" xfId="0" applyFont="1" applyFill="1" applyBorder="1" applyAlignment="1">
      <alignment horizontal="center" vertical="top" wrapText="1"/>
    </xf>
    <xf numFmtId="0" fontId="13" fillId="5" borderId="37" xfId="0" applyFont="1" applyFill="1" applyBorder="1" applyAlignment="1">
      <alignment horizontal="center" vertical="top" wrapText="1"/>
    </xf>
    <xf numFmtId="0" fontId="10" fillId="29" borderId="48" xfId="1" applyFont="1" applyFill="1" applyBorder="1" applyAlignment="1">
      <alignment horizontal="center" vertical="center"/>
    </xf>
    <xf numFmtId="0" fontId="42" fillId="29" borderId="48" xfId="8" applyFont="1" applyFill="1" applyBorder="1" applyAlignment="1">
      <alignment horizontal="center" vertical="center"/>
    </xf>
    <xf numFmtId="0" fontId="77" fillId="29" borderId="48" xfId="8" applyFont="1" applyFill="1" applyBorder="1" applyAlignment="1">
      <alignment horizontal="center" vertical="center"/>
    </xf>
    <xf numFmtId="0" fontId="42" fillId="29" borderId="70" xfId="8" applyFont="1" applyFill="1" applyBorder="1" applyAlignment="1">
      <alignment horizontal="center" vertical="center" textRotation="90" shrinkToFit="1"/>
    </xf>
    <xf numFmtId="0" fontId="42" fillId="29" borderId="60" xfId="8" applyFont="1" applyFill="1" applyBorder="1" applyAlignment="1">
      <alignment horizontal="center" vertical="center" textRotation="90" shrinkToFit="1"/>
    </xf>
    <xf numFmtId="0" fontId="78" fillId="29" borderId="85" xfId="8" applyFont="1" applyFill="1" applyBorder="1" applyAlignment="1">
      <alignment horizontal="center" vertical="center" textRotation="90" wrapText="1"/>
    </xf>
    <xf numFmtId="0" fontId="78" fillId="29" borderId="60" xfId="8" applyFont="1" applyFill="1" applyBorder="1" applyAlignment="1">
      <alignment horizontal="center" vertical="center" textRotation="90" wrapText="1"/>
    </xf>
    <xf numFmtId="0" fontId="77" fillId="29" borderId="86" xfId="8" applyFont="1" applyFill="1" applyBorder="1" applyAlignment="1">
      <alignment horizontal="center" vertical="center"/>
    </xf>
    <xf numFmtId="0" fontId="77" fillId="29" borderId="87" xfId="8" applyFont="1" applyFill="1" applyBorder="1" applyAlignment="1">
      <alignment horizontal="center" vertical="center"/>
    </xf>
    <xf numFmtId="0" fontId="77" fillId="29" borderId="88" xfId="8" applyFont="1" applyFill="1" applyBorder="1" applyAlignment="1">
      <alignment horizontal="center" vertical="center"/>
    </xf>
    <xf numFmtId="0" fontId="42" fillId="29" borderId="86" xfId="8" applyFont="1" applyFill="1" applyBorder="1" applyAlignment="1">
      <alignment horizontal="center" vertical="center"/>
    </xf>
    <xf numFmtId="0" fontId="42" fillId="29" borderId="87" xfId="8" applyFont="1" applyFill="1" applyBorder="1" applyAlignment="1">
      <alignment horizontal="center" vertical="center"/>
    </xf>
    <xf numFmtId="0" fontId="42" fillId="29" borderId="88" xfId="8" applyFont="1" applyFill="1" applyBorder="1" applyAlignment="1">
      <alignment horizontal="center" vertical="center"/>
    </xf>
    <xf numFmtId="0" fontId="66" fillId="7" borderId="49" xfId="0" applyFont="1" applyFill="1" applyBorder="1" applyAlignment="1">
      <alignment horizontal="center" vertical="center" shrinkToFit="1" readingOrder="2"/>
    </xf>
    <xf numFmtId="0" fontId="66" fillId="7" borderId="3" xfId="0" applyFont="1" applyFill="1" applyBorder="1" applyAlignment="1">
      <alignment horizontal="center" vertical="center" shrinkToFit="1" readingOrder="2"/>
    </xf>
    <xf numFmtId="0" fontId="5" fillId="0" borderId="3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7" borderId="29" xfId="2" applyFont="1" applyFill="1" applyBorder="1" applyAlignment="1">
      <alignment horizontal="center" vertical="center"/>
    </xf>
    <xf numFmtId="0" fontId="5" fillId="7" borderId="22" xfId="2" applyFont="1" applyFill="1" applyBorder="1" applyAlignment="1">
      <alignment horizontal="center" vertical="center"/>
    </xf>
    <xf numFmtId="0" fontId="40" fillId="7" borderId="45" xfId="2" applyFont="1" applyFill="1" applyBorder="1" applyAlignment="1">
      <alignment horizontal="center" vertical="center"/>
    </xf>
    <xf numFmtId="0" fontId="40" fillId="7" borderId="72" xfId="2" applyFont="1" applyFill="1" applyBorder="1" applyAlignment="1">
      <alignment horizontal="center" vertical="center"/>
    </xf>
    <xf numFmtId="0" fontId="5" fillId="7" borderId="45" xfId="2" applyFont="1" applyFill="1" applyBorder="1" applyAlignment="1">
      <alignment horizontal="center" vertical="center"/>
    </xf>
    <xf numFmtId="0" fontId="5" fillId="7" borderId="72" xfId="2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69" xfId="0" applyFont="1" applyFill="1" applyBorder="1" applyAlignment="1">
      <alignment horizontal="center" vertical="center"/>
    </xf>
    <xf numFmtId="0" fontId="5" fillId="7" borderId="71" xfId="2" applyFont="1" applyFill="1" applyBorder="1" applyAlignment="1">
      <alignment horizontal="center" vertical="center"/>
    </xf>
    <xf numFmtId="0" fontId="67" fillId="7" borderId="45" xfId="0" applyFont="1" applyFill="1" applyBorder="1" applyAlignment="1">
      <alignment horizontal="center" vertical="center" wrapText="1" readingOrder="2"/>
    </xf>
    <xf numFmtId="0" fontId="66" fillId="7" borderId="45" xfId="0" applyFont="1" applyFill="1" applyBorder="1" applyAlignment="1">
      <alignment horizontal="center" vertical="center" wrapText="1" readingOrder="2"/>
    </xf>
    <xf numFmtId="0" fontId="66" fillId="7" borderId="49" xfId="0" applyFont="1" applyFill="1" applyBorder="1" applyAlignment="1">
      <alignment horizontal="center" vertical="center" wrapText="1" readingOrder="2"/>
    </xf>
    <xf numFmtId="0" fontId="66" fillId="7" borderId="3" xfId="0" applyFont="1" applyFill="1" applyBorder="1" applyAlignment="1">
      <alignment horizontal="center" vertical="center" wrapText="1" readingOrder="2"/>
    </xf>
    <xf numFmtId="0" fontId="70" fillId="7" borderId="45" xfId="0" applyFont="1" applyFill="1" applyBorder="1" applyAlignment="1">
      <alignment horizontal="center" vertical="center" wrapText="1" readingOrder="2"/>
    </xf>
    <xf numFmtId="0" fontId="72" fillId="7" borderId="45" xfId="0" applyFont="1" applyFill="1" applyBorder="1" applyAlignment="1">
      <alignment horizontal="center" vertical="center" wrapText="1" readingOrder="2"/>
    </xf>
    <xf numFmtId="0" fontId="72" fillId="7" borderId="49" xfId="0" applyFont="1" applyFill="1" applyBorder="1" applyAlignment="1">
      <alignment horizontal="center" vertical="center" wrapText="1" readingOrder="2"/>
    </xf>
    <xf numFmtId="0" fontId="72" fillId="7" borderId="3" xfId="0" applyFont="1" applyFill="1" applyBorder="1" applyAlignment="1">
      <alignment horizontal="center" vertical="center" wrapText="1" readingOrder="2"/>
    </xf>
    <xf numFmtId="0" fontId="35" fillId="7" borderId="19" xfId="2" applyFont="1" applyFill="1" applyBorder="1" applyAlignment="1">
      <alignment horizontal="center" vertical="center"/>
    </xf>
    <xf numFmtId="0" fontId="35" fillId="7" borderId="49" xfId="2" applyFont="1" applyFill="1" applyBorder="1" applyAlignment="1">
      <alignment horizontal="center" vertical="center"/>
    </xf>
    <xf numFmtId="0" fontId="35" fillId="7" borderId="3" xfId="2" applyFont="1" applyFill="1" applyBorder="1" applyAlignment="1">
      <alignment horizontal="center" vertical="center"/>
    </xf>
    <xf numFmtId="0" fontId="35" fillId="7" borderId="4" xfId="2" applyFont="1" applyFill="1" applyBorder="1" applyAlignment="1">
      <alignment horizontal="center" vertical="center"/>
    </xf>
    <xf numFmtId="0" fontId="35" fillId="7" borderId="2" xfId="2" applyFont="1" applyFill="1" applyBorder="1" applyAlignment="1">
      <alignment horizontal="center" vertical="center"/>
    </xf>
    <xf numFmtId="0" fontId="40" fillId="7" borderId="18" xfId="2" applyFont="1" applyFill="1" applyBorder="1" applyAlignment="1">
      <alignment horizontal="center" vertical="center"/>
    </xf>
    <xf numFmtId="0" fontId="40" fillId="7" borderId="20" xfId="2" applyFont="1" applyFill="1" applyBorder="1" applyAlignment="1">
      <alignment horizontal="center" vertical="center"/>
    </xf>
    <xf numFmtId="0" fontId="5" fillId="7" borderId="1" xfId="2" applyFont="1" applyFill="1" applyBorder="1" applyAlignment="1">
      <alignment horizontal="center" vertical="center"/>
    </xf>
    <xf numFmtId="0" fontId="5" fillId="7" borderId="6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2" xfId="2" applyFont="1" applyFill="1" applyBorder="1" applyAlignment="1">
      <alignment horizontal="center" vertical="center"/>
    </xf>
    <xf numFmtId="0" fontId="5" fillId="7" borderId="3" xfId="2" applyFont="1" applyFill="1" applyBorder="1" applyAlignment="1">
      <alignment horizontal="center" vertical="center"/>
    </xf>
    <xf numFmtId="0" fontId="5" fillId="7" borderId="19" xfId="2" applyFont="1" applyFill="1" applyBorder="1" applyAlignment="1">
      <alignment horizontal="center" vertical="center"/>
    </xf>
    <xf numFmtId="0" fontId="5" fillId="7" borderId="49" xfId="2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5" fillId="7" borderId="29" xfId="2" applyFont="1" applyFill="1" applyBorder="1" applyAlignment="1">
      <alignment horizontal="center"/>
    </xf>
    <xf numFmtId="0" fontId="5" fillId="7" borderId="22" xfId="2" applyFont="1" applyFill="1" applyBorder="1" applyAlignment="1">
      <alignment horizontal="center"/>
    </xf>
    <xf numFmtId="0" fontId="5" fillId="7" borderId="18" xfId="2" applyFont="1" applyFill="1" applyBorder="1" applyAlignment="1">
      <alignment horizontal="center" vertical="center"/>
    </xf>
    <xf numFmtId="0" fontId="5" fillId="7" borderId="20" xfId="2" applyFont="1" applyFill="1" applyBorder="1" applyAlignment="1">
      <alignment horizontal="center" vertical="center"/>
    </xf>
    <xf numFmtId="0" fontId="5" fillId="7" borderId="38" xfId="2" applyFont="1" applyFill="1" applyBorder="1" applyAlignment="1">
      <alignment horizontal="center"/>
    </xf>
    <xf numFmtId="0" fontId="10" fillId="7" borderId="1" xfId="1" applyFont="1" applyFill="1" applyBorder="1" applyAlignment="1">
      <alignment horizontal="center" vertical="center"/>
    </xf>
    <xf numFmtId="0" fontId="10" fillId="7" borderId="69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69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right" vertical="center"/>
    </xf>
    <xf numFmtId="0" fontId="10" fillId="7" borderId="69" xfId="1" applyFont="1" applyFill="1" applyBorder="1" applyAlignment="1">
      <alignment horizontal="right" vertical="center"/>
    </xf>
    <xf numFmtId="0" fontId="10" fillId="7" borderId="1" xfId="50" applyFont="1" applyFill="1" applyBorder="1" applyAlignment="1">
      <alignment horizontal="center" vertical="center"/>
    </xf>
    <xf numFmtId="0" fontId="10" fillId="7" borderId="69" xfId="50" applyFont="1" applyFill="1" applyBorder="1" applyAlignment="1">
      <alignment horizontal="center" vertical="center"/>
    </xf>
    <xf numFmtId="0" fontId="5" fillId="7" borderId="38" xfId="50" applyFont="1" applyFill="1" applyBorder="1" applyAlignment="1">
      <alignment horizontal="center"/>
    </xf>
    <xf numFmtId="0" fontId="5" fillId="7" borderId="100" xfId="50" applyFont="1" applyFill="1" applyBorder="1" applyAlignment="1">
      <alignment horizontal="center"/>
    </xf>
    <xf numFmtId="0" fontId="7" fillId="7" borderId="1" xfId="50" applyFont="1" applyFill="1" applyBorder="1" applyAlignment="1">
      <alignment horizontal="center" vertical="center"/>
    </xf>
    <xf numFmtId="0" fontId="7" fillId="7" borderId="69" xfId="50" applyFont="1" applyFill="1" applyBorder="1" applyAlignment="1">
      <alignment horizontal="center" vertical="center"/>
    </xf>
    <xf numFmtId="0" fontId="10" fillId="7" borderId="1" xfId="50" applyFont="1" applyFill="1" applyBorder="1" applyAlignment="1">
      <alignment horizontal="right" vertical="center"/>
    </xf>
    <xf numFmtId="0" fontId="10" fillId="7" borderId="69" xfId="50" applyFont="1" applyFill="1" applyBorder="1" applyAlignment="1">
      <alignment horizontal="right" vertical="center"/>
    </xf>
    <xf numFmtId="0" fontId="42" fillId="7" borderId="70" xfId="8" applyFont="1" applyFill="1" applyBorder="1" applyAlignment="1">
      <alignment horizontal="center" vertical="center"/>
    </xf>
    <xf numFmtId="0" fontId="42" fillId="7" borderId="60" xfId="8" applyFont="1" applyFill="1" applyBorder="1" applyAlignment="1">
      <alignment horizontal="center" vertical="center"/>
    </xf>
    <xf numFmtId="0" fontId="42" fillId="7" borderId="48" xfId="8" applyFont="1" applyFill="1" applyBorder="1" applyAlignment="1">
      <alignment horizontal="center" vertical="center" textRotation="90"/>
    </xf>
    <xf numFmtId="0" fontId="42" fillId="7" borderId="86" xfId="8" applyFont="1" applyFill="1" applyBorder="1" applyAlignment="1">
      <alignment horizontal="center" vertical="center"/>
    </xf>
    <xf numFmtId="0" fontId="42" fillId="7" borderId="88" xfId="8" applyFont="1" applyFill="1" applyBorder="1" applyAlignment="1">
      <alignment horizontal="center" vertical="center"/>
    </xf>
    <xf numFmtId="0" fontId="9" fillId="2" borderId="38" xfId="1" applyFont="1" applyFill="1" applyBorder="1" applyAlignment="1">
      <alignment horizontal="center"/>
    </xf>
    <xf numFmtId="0" fontId="9" fillId="2" borderId="22" xfId="1" applyFont="1" applyFill="1" applyBorder="1" applyAlignment="1">
      <alignment horizontal="center"/>
    </xf>
    <xf numFmtId="0" fontId="17" fillId="0" borderId="0" xfId="3" applyFont="1" applyFill="1" applyBorder="1" applyAlignment="1">
      <alignment horizontal="center" vertical="top" wrapText="1"/>
    </xf>
    <xf numFmtId="0" fontId="23" fillId="5" borderId="35" xfId="3" applyFont="1" applyFill="1" applyBorder="1" applyAlignment="1">
      <alignment horizontal="center" vertical="top" wrapText="1"/>
    </xf>
    <xf numFmtId="0" fontId="23" fillId="5" borderId="36" xfId="3" applyFont="1" applyFill="1" applyBorder="1" applyAlignment="1">
      <alignment horizontal="center" vertical="top" wrapText="1"/>
    </xf>
    <xf numFmtId="0" fontId="13" fillId="5" borderId="106" xfId="3" applyFont="1" applyFill="1" applyBorder="1" applyAlignment="1">
      <alignment horizontal="center" vertical="center" wrapText="1"/>
    </xf>
    <xf numFmtId="0" fontId="23" fillId="5" borderId="112" xfId="3" applyFont="1" applyFill="1" applyBorder="1" applyAlignment="1">
      <alignment horizontal="center" vertical="top" wrapText="1"/>
    </xf>
    <xf numFmtId="0" fontId="23" fillId="5" borderId="0" xfId="3" applyFont="1" applyFill="1" applyBorder="1" applyAlignment="1">
      <alignment horizontal="center" vertical="top" wrapText="1"/>
    </xf>
    <xf numFmtId="0" fontId="23" fillId="5" borderId="113" xfId="3" applyFont="1" applyFill="1" applyBorder="1" applyAlignment="1">
      <alignment horizontal="center" vertical="top" wrapText="1"/>
    </xf>
    <xf numFmtId="0" fontId="23" fillId="5" borderId="106" xfId="3" applyFont="1" applyFill="1" applyBorder="1" applyAlignment="1">
      <alignment horizontal="center" vertical="top" wrapText="1"/>
    </xf>
    <xf numFmtId="0" fontId="23" fillId="5" borderId="111" xfId="3" applyFont="1" applyFill="1" applyBorder="1" applyAlignment="1">
      <alignment horizontal="center" vertical="top" wrapText="1"/>
    </xf>
    <xf numFmtId="0" fontId="23" fillId="5" borderId="114" xfId="3" applyFont="1" applyFill="1" applyBorder="1" applyAlignment="1">
      <alignment horizontal="center" vertical="top" wrapText="1"/>
    </xf>
    <xf numFmtId="0" fontId="23" fillId="5" borderId="107" xfId="3" applyFont="1" applyFill="1" applyBorder="1" applyAlignment="1">
      <alignment horizontal="center" vertical="top" wrapText="1"/>
    </xf>
    <xf numFmtId="0" fontId="23" fillId="5" borderId="109" xfId="3" applyFont="1" applyFill="1" applyBorder="1" applyAlignment="1">
      <alignment horizontal="center" vertical="top" wrapText="1"/>
    </xf>
    <xf numFmtId="0" fontId="23" fillId="5" borderId="110" xfId="3" applyFont="1" applyFill="1" applyBorder="1" applyAlignment="1">
      <alignment horizontal="center" vertical="top" wrapText="1"/>
    </xf>
    <xf numFmtId="0" fontId="23" fillId="5" borderId="37" xfId="3" applyFont="1" applyFill="1" applyBorder="1" applyAlignment="1">
      <alignment horizontal="center" vertical="top" wrapText="1"/>
    </xf>
    <xf numFmtId="0" fontId="23" fillId="5" borderId="32" xfId="3" applyFont="1" applyFill="1" applyBorder="1" applyAlignment="1">
      <alignment horizontal="center" vertical="top" textRotation="90" wrapText="1"/>
    </xf>
    <xf numFmtId="0" fontId="23" fillId="5" borderId="105" xfId="3" applyFont="1" applyFill="1" applyBorder="1" applyAlignment="1">
      <alignment horizontal="center" vertical="top" textRotation="90" wrapText="1"/>
    </xf>
    <xf numFmtId="0" fontId="8" fillId="0" borderId="0" xfId="0" applyFont="1" applyAlignment="1">
      <alignment horizontal="center"/>
    </xf>
    <xf numFmtId="0" fontId="28" fillId="2" borderId="1" xfId="1" applyFont="1" applyFill="1" applyBorder="1" applyAlignment="1">
      <alignment horizontal="center" vertical="center"/>
    </xf>
    <xf numFmtId="0" fontId="28" fillId="2" borderId="6" xfId="1" applyFont="1" applyFill="1" applyBorder="1" applyAlignment="1">
      <alignment horizontal="center" vertical="center"/>
    </xf>
    <xf numFmtId="0" fontId="28" fillId="2" borderId="2" xfId="1" applyFont="1" applyFill="1" applyBorder="1" applyAlignment="1">
      <alignment horizontal="center" vertical="center"/>
    </xf>
    <xf numFmtId="0" fontId="28" fillId="2" borderId="3" xfId="1" applyFont="1" applyFill="1" applyBorder="1" applyAlignment="1">
      <alignment horizontal="center" vertical="center"/>
    </xf>
    <xf numFmtId="0" fontId="35" fillId="0" borderId="0" xfId="1" applyFont="1" applyAlignment="1">
      <alignment horizontal="center"/>
    </xf>
    <xf numFmtId="0" fontId="28" fillId="2" borderId="4" xfId="1" applyFont="1" applyFill="1" applyBorder="1" applyAlignment="1">
      <alignment horizontal="center" vertical="center"/>
    </xf>
    <xf numFmtId="0" fontId="28" fillId="2" borderId="14" xfId="1" applyFont="1" applyFill="1" applyBorder="1" applyAlignment="1">
      <alignment horizontal="center"/>
    </xf>
    <xf numFmtId="0" fontId="28" fillId="2" borderId="15" xfId="1" applyFont="1" applyFill="1" applyBorder="1" applyAlignment="1">
      <alignment horizontal="center"/>
    </xf>
    <xf numFmtId="0" fontId="3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28" fillId="7" borderId="42" xfId="1" applyFont="1" applyFill="1" applyBorder="1" applyAlignment="1">
      <alignment horizontal="center" vertical="center"/>
    </xf>
    <xf numFmtId="0" fontId="28" fillId="7" borderId="43" xfId="1" applyFont="1" applyFill="1" applyBorder="1" applyAlignment="1">
      <alignment horizontal="center" vertical="center"/>
    </xf>
    <xf numFmtId="0" fontId="28" fillId="7" borderId="41" xfId="1" applyFont="1" applyFill="1" applyBorder="1" applyAlignment="1">
      <alignment horizontal="center" vertical="center"/>
    </xf>
    <xf numFmtId="0" fontId="28" fillId="7" borderId="27" xfId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28" fillId="7" borderId="10" xfId="1" applyFont="1" applyFill="1" applyBorder="1" applyAlignment="1">
      <alignment horizontal="center" vertical="center"/>
    </xf>
    <xf numFmtId="0" fontId="28" fillId="7" borderId="8" xfId="1" applyFont="1" applyFill="1" applyBorder="1" applyAlignment="1">
      <alignment horizontal="center" vertical="center"/>
    </xf>
    <xf numFmtId="0" fontId="28" fillId="7" borderId="44" xfId="1" applyFont="1" applyFill="1" applyBorder="1" applyAlignment="1">
      <alignment horizontal="center" vertical="center"/>
    </xf>
    <xf numFmtId="0" fontId="28" fillId="7" borderId="5" xfId="1" applyFont="1" applyFill="1" applyBorder="1" applyAlignment="1">
      <alignment horizontal="center" vertical="center"/>
    </xf>
    <xf numFmtId="0" fontId="28" fillId="7" borderId="19" xfId="1" applyFont="1" applyFill="1" applyBorder="1" applyAlignment="1">
      <alignment horizontal="center" vertical="center" wrapText="1"/>
    </xf>
    <xf numFmtId="0" fontId="8" fillId="7" borderId="23" xfId="1" applyFont="1" applyFill="1" applyBorder="1" applyAlignment="1">
      <alignment horizontal="center" vertical="center"/>
    </xf>
    <xf numFmtId="0" fontId="8" fillId="7" borderId="24" xfId="1" applyFont="1" applyFill="1" applyBorder="1" applyAlignment="1">
      <alignment horizontal="center" vertical="center"/>
    </xf>
    <xf numFmtId="0" fontId="28" fillId="7" borderId="1" xfId="1" applyFont="1" applyFill="1" applyBorder="1" applyAlignment="1">
      <alignment horizontal="center" vertical="center"/>
    </xf>
    <xf numFmtId="0" fontId="28" fillId="7" borderId="6" xfId="1" applyFont="1" applyFill="1" applyBorder="1" applyAlignment="1">
      <alignment horizontal="center" vertical="center"/>
    </xf>
    <xf numFmtId="0" fontId="28" fillId="7" borderId="3" xfId="1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40" fillId="0" borderId="0" xfId="2" applyFont="1" applyAlignment="1">
      <alignment horizontal="center" vertical="center"/>
    </xf>
    <xf numFmtId="0" fontId="70" fillId="7" borderId="71" xfId="0" applyFont="1" applyFill="1" applyBorder="1" applyAlignment="1">
      <alignment horizontal="center" vertical="center" wrapText="1" readingOrder="2"/>
    </xf>
    <xf numFmtId="0" fontId="28" fillId="7" borderId="47" xfId="1" applyFont="1" applyFill="1" applyBorder="1" applyAlignment="1">
      <alignment horizontal="center" vertical="center"/>
    </xf>
    <xf numFmtId="0" fontId="28" fillId="7" borderId="73" xfId="1" applyFont="1" applyFill="1" applyBorder="1" applyAlignment="1">
      <alignment horizontal="center" vertical="center"/>
    </xf>
    <xf numFmtId="0" fontId="70" fillId="7" borderId="1" xfId="0" applyFont="1" applyFill="1" applyBorder="1" applyAlignment="1">
      <alignment horizontal="center" vertical="center" textRotation="90" wrapText="1" readingOrder="2"/>
    </xf>
    <xf numFmtId="0" fontId="70" fillId="7" borderId="47" xfId="0" applyFont="1" applyFill="1" applyBorder="1" applyAlignment="1">
      <alignment horizontal="center" vertical="center" textRotation="90" wrapText="1" readingOrder="2"/>
    </xf>
    <xf numFmtId="0" fontId="70" fillId="7" borderId="73" xfId="0" applyFont="1" applyFill="1" applyBorder="1" applyAlignment="1">
      <alignment horizontal="center" vertical="center" textRotation="90" wrapText="1" readingOrder="2"/>
    </xf>
    <xf numFmtId="0" fontId="85" fillId="0" borderId="0" xfId="0" applyFont="1"/>
    <xf numFmtId="0" fontId="86" fillId="0" borderId="0" xfId="0" applyFont="1"/>
    <xf numFmtId="0" fontId="25" fillId="0" borderId="106" xfId="0" applyFont="1" applyBorder="1"/>
    <xf numFmtId="0" fontId="62" fillId="29" borderId="48" xfId="8" applyFont="1" applyFill="1" applyBorder="1" applyAlignment="1">
      <alignment horizontal="center" vertical="center" wrapText="1"/>
    </xf>
    <xf numFmtId="0" fontId="22" fillId="5" borderId="108" xfId="3" applyFont="1" applyFill="1" applyBorder="1" applyAlignment="1">
      <alignment horizontal="center" vertical="center" textRotation="90" wrapText="1"/>
    </xf>
    <xf numFmtId="0" fontId="22" fillId="5" borderId="105" xfId="3" applyFont="1" applyFill="1" applyBorder="1" applyAlignment="1">
      <alignment horizontal="center" vertical="center" textRotation="90" wrapText="1"/>
    </xf>
    <xf numFmtId="0" fontId="22" fillId="5" borderId="107" xfId="3" applyFont="1" applyFill="1" applyBorder="1" applyAlignment="1">
      <alignment horizontal="center" vertical="center" textRotation="90" wrapText="1"/>
    </xf>
    <xf numFmtId="0" fontId="22" fillId="5" borderId="115" xfId="3" applyFont="1" applyFill="1" applyBorder="1" applyAlignment="1">
      <alignment horizontal="center" vertical="center" textRotation="90" wrapText="1"/>
    </xf>
    <xf numFmtId="0" fontId="0" fillId="0" borderId="101" xfId="0" applyBorder="1"/>
    <xf numFmtId="0" fontId="68" fillId="0" borderId="101" xfId="0" applyFont="1" applyBorder="1" applyAlignment="1">
      <alignment horizontal="center" vertical="center" textRotation="90" wrapText="1" readingOrder="2"/>
    </xf>
    <xf numFmtId="0" fontId="5" fillId="0" borderId="0" xfId="1" applyFont="1" applyBorder="1" applyAlignment="1"/>
    <xf numFmtId="0" fontId="66" fillId="7" borderId="117" xfId="0" applyFont="1" applyFill="1" applyBorder="1" applyAlignment="1">
      <alignment horizontal="center" vertical="center" textRotation="90" wrapText="1" shrinkToFit="1" readingOrder="2"/>
    </xf>
    <xf numFmtId="0" fontId="70" fillId="7" borderId="117" xfId="0" applyFont="1" applyFill="1" applyBorder="1" applyAlignment="1">
      <alignment horizontal="center" vertical="center" textRotation="90" wrapText="1" shrinkToFit="1" readingOrder="2"/>
    </xf>
    <xf numFmtId="0" fontId="67" fillId="7" borderId="45" xfId="0" applyFont="1" applyFill="1" applyBorder="1" applyAlignment="1">
      <alignment horizontal="center" vertical="center" textRotation="90" wrapText="1" shrinkToFit="1" readingOrder="2"/>
    </xf>
    <xf numFmtId="0" fontId="66" fillId="7" borderId="45" xfId="0" applyFont="1" applyFill="1" applyBorder="1" applyAlignment="1">
      <alignment horizontal="center" vertical="center" textRotation="90" wrapText="1" shrinkToFit="1" readingOrder="2"/>
    </xf>
    <xf numFmtId="0" fontId="73" fillId="7" borderId="45" xfId="0" applyFont="1" applyFill="1" applyBorder="1" applyAlignment="1">
      <alignment horizontal="center" vertical="center" textRotation="90" wrapText="1" shrinkToFit="1" readingOrder="2"/>
    </xf>
    <xf numFmtId="0" fontId="0" fillId="0" borderId="0" xfId="0" applyAlignment="1">
      <alignment wrapText="1"/>
    </xf>
    <xf numFmtId="0" fontId="61" fillId="7" borderId="45" xfId="1" applyFont="1" applyFill="1" applyBorder="1" applyAlignment="1">
      <alignment horizontal="center" vertical="center" wrapText="1"/>
    </xf>
    <xf numFmtId="0" fontId="74" fillId="30" borderId="118" xfId="50" applyFont="1" applyFill="1" applyBorder="1" applyAlignment="1">
      <alignment horizontal="center" vertical="center" wrapText="1"/>
    </xf>
    <xf numFmtId="0" fontId="9" fillId="0" borderId="119" xfId="50" applyFont="1" applyFill="1" applyBorder="1" applyAlignment="1">
      <alignment horizontal="center" vertical="center"/>
    </xf>
    <xf numFmtId="0" fontId="40" fillId="0" borderId="38" xfId="51" applyBorder="1"/>
    <xf numFmtId="0" fontId="23" fillId="5" borderId="31" xfId="3" applyFont="1" applyFill="1" applyBorder="1" applyAlignment="1">
      <alignment horizontal="center" vertical="center" textRotation="90" wrapText="1"/>
    </xf>
    <xf numFmtId="0" fontId="23" fillId="5" borderId="31" xfId="3" applyFont="1" applyFill="1" applyBorder="1" applyAlignment="1">
      <alignment horizontal="center" vertical="center" wrapText="1"/>
    </xf>
    <xf numFmtId="0" fontId="20" fillId="6" borderId="31" xfId="3" applyFont="1" applyFill="1" applyBorder="1" applyAlignment="1">
      <alignment horizontal="center" vertical="top" wrapText="1"/>
    </xf>
    <xf numFmtId="0" fontId="21" fillId="5" borderId="31" xfId="3" applyFont="1" applyFill="1" applyBorder="1" applyAlignment="1">
      <alignment horizontal="center" vertical="top" wrapText="1"/>
    </xf>
    <xf numFmtId="0" fontId="87" fillId="5" borderId="31" xfId="3" applyFont="1" applyFill="1" applyBorder="1" applyAlignment="1">
      <alignment horizontal="center" vertical="top" wrapText="1"/>
    </xf>
    <xf numFmtId="0" fontId="10" fillId="2" borderId="116" xfId="1" applyFont="1" applyFill="1" applyBorder="1" applyAlignment="1">
      <alignment horizontal="center" vertical="center"/>
    </xf>
    <xf numFmtId="0" fontId="10" fillId="2" borderId="120" xfId="1" applyFont="1" applyFill="1" applyBorder="1" applyAlignment="1">
      <alignment horizontal="center" vertical="center"/>
    </xf>
    <xf numFmtId="0" fontId="10" fillId="2" borderId="104" xfId="1" applyFont="1" applyFill="1" applyBorder="1" applyAlignment="1">
      <alignment horizontal="center" vertical="center"/>
    </xf>
    <xf numFmtId="0" fontId="9" fillId="2" borderId="73" xfId="1" applyFont="1" applyFill="1" applyBorder="1" applyAlignment="1">
      <alignment horizontal="center" vertical="center"/>
    </xf>
    <xf numFmtId="0" fontId="0" fillId="0" borderId="60" xfId="0" applyBorder="1"/>
    <xf numFmtId="0" fontId="5" fillId="2" borderId="121" xfId="2" applyFont="1" applyFill="1" applyBorder="1" applyAlignment="1">
      <alignment horizontal="center"/>
    </xf>
    <xf numFmtId="0" fontId="10" fillId="2" borderId="121" xfId="1" applyFont="1" applyFill="1" applyBorder="1" applyAlignment="1">
      <alignment horizontal="center" vertical="center" wrapText="1"/>
    </xf>
    <xf numFmtId="0" fontId="10" fillId="2" borderId="121" xfId="1" applyFont="1" applyFill="1" applyBorder="1" applyAlignment="1">
      <alignment horizontal="center" vertical="center"/>
    </xf>
    <xf numFmtId="0" fontId="5" fillId="2" borderId="121" xfId="2" applyFont="1" applyFill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/>
    </xf>
    <xf numFmtId="0" fontId="88" fillId="2" borderId="18" xfId="2" applyFont="1" applyFill="1" applyBorder="1" applyAlignment="1">
      <alignment horizontal="center" vertical="center"/>
    </xf>
    <xf numFmtId="0" fontId="88" fillId="2" borderId="103" xfId="2" applyFont="1" applyFill="1" applyBorder="1" applyAlignment="1">
      <alignment horizontal="center" vertical="center"/>
    </xf>
    <xf numFmtId="0" fontId="88" fillId="2" borderId="102" xfId="2" applyFont="1" applyFill="1" applyBorder="1" applyAlignment="1">
      <alignment horizontal="center" vertical="center"/>
    </xf>
  </cellXfs>
  <cellStyles count="52">
    <cellStyle name="20% - تمييز1 2" xfId="9" xr:uid="{00000000-0005-0000-0000-000000000000}"/>
    <cellStyle name="20% - تمييز2 2" xfId="10" xr:uid="{00000000-0005-0000-0000-000001000000}"/>
    <cellStyle name="20% - تمييز3 2" xfId="11" xr:uid="{00000000-0005-0000-0000-000002000000}"/>
    <cellStyle name="20% - تمييز4 2" xfId="12" xr:uid="{00000000-0005-0000-0000-000003000000}"/>
    <cellStyle name="20% - تمييز5 2" xfId="13" xr:uid="{00000000-0005-0000-0000-000004000000}"/>
    <cellStyle name="20% - تمييز6 2" xfId="14" xr:uid="{00000000-0005-0000-0000-000005000000}"/>
    <cellStyle name="40% - تمييز1 2" xfId="15" xr:uid="{00000000-0005-0000-0000-000006000000}"/>
    <cellStyle name="40% - تمييز2 2" xfId="16" xr:uid="{00000000-0005-0000-0000-000007000000}"/>
    <cellStyle name="40% - تمييز3 2" xfId="17" xr:uid="{00000000-0005-0000-0000-000008000000}"/>
    <cellStyle name="40% - تمييز4 2" xfId="18" xr:uid="{00000000-0005-0000-0000-000009000000}"/>
    <cellStyle name="40% - تمييز5 2" xfId="19" xr:uid="{00000000-0005-0000-0000-00000A000000}"/>
    <cellStyle name="40% - تمييز6 2" xfId="20" xr:uid="{00000000-0005-0000-0000-00000B000000}"/>
    <cellStyle name="60% - تمييز1 2" xfId="21" xr:uid="{00000000-0005-0000-0000-00000C000000}"/>
    <cellStyle name="60% - تمييز2 2" xfId="22" xr:uid="{00000000-0005-0000-0000-00000D000000}"/>
    <cellStyle name="60% - تمييز3 2" xfId="23" xr:uid="{00000000-0005-0000-0000-00000E000000}"/>
    <cellStyle name="60% - تمييز4 2" xfId="24" xr:uid="{00000000-0005-0000-0000-00000F000000}"/>
    <cellStyle name="60% - تمييز5 2" xfId="25" xr:uid="{00000000-0005-0000-0000-000010000000}"/>
    <cellStyle name="60% - تمييز6 2" xfId="26" xr:uid="{00000000-0005-0000-0000-000011000000}"/>
    <cellStyle name="Comma" xfId="7" builtinId="3"/>
    <cellStyle name="Normal 2" xfId="1" xr:uid="{00000000-0005-0000-0000-000014000000}"/>
    <cellStyle name="Normal 2 2" xfId="2" xr:uid="{00000000-0005-0000-0000-000015000000}"/>
    <cellStyle name="Normal 2 2 2" xfId="5" xr:uid="{00000000-0005-0000-0000-000016000000}"/>
    <cellStyle name="Normal 2 2 3" xfId="8" xr:uid="{00000000-0005-0000-0000-000017000000}"/>
    <cellStyle name="Normal 2 2 4" xfId="50" xr:uid="{00000000-0005-0000-0000-000018000000}"/>
    <cellStyle name="Normal 2 3" xfId="4" xr:uid="{00000000-0005-0000-0000-000019000000}"/>
    <cellStyle name="Normal 2 4" xfId="6" xr:uid="{00000000-0005-0000-0000-00001A000000}"/>
    <cellStyle name="Normal 2 5" xfId="51" xr:uid="{00000000-0005-0000-0000-00001B000000}"/>
    <cellStyle name="Normal 3" xfId="3" xr:uid="{00000000-0005-0000-0000-00001C000000}"/>
    <cellStyle name="إخراج 2" xfId="27" xr:uid="{00000000-0005-0000-0000-00001D000000}"/>
    <cellStyle name="إدخال 2" xfId="28" xr:uid="{00000000-0005-0000-0000-00001E000000}"/>
    <cellStyle name="الإجمالي 2" xfId="29" xr:uid="{00000000-0005-0000-0000-00001F000000}"/>
    <cellStyle name="تمييز1 2" xfId="30" xr:uid="{00000000-0005-0000-0000-000020000000}"/>
    <cellStyle name="تمييز2 2" xfId="31" xr:uid="{00000000-0005-0000-0000-000021000000}"/>
    <cellStyle name="تمييز3 2" xfId="32" xr:uid="{00000000-0005-0000-0000-000022000000}"/>
    <cellStyle name="تمييز4 2" xfId="33" xr:uid="{00000000-0005-0000-0000-000023000000}"/>
    <cellStyle name="تمييز5 2" xfId="34" xr:uid="{00000000-0005-0000-0000-000024000000}"/>
    <cellStyle name="تمييز6 2" xfId="35" xr:uid="{00000000-0005-0000-0000-000025000000}"/>
    <cellStyle name="جيد 2" xfId="36" xr:uid="{00000000-0005-0000-0000-000026000000}"/>
    <cellStyle name="حساب 2" xfId="37" xr:uid="{00000000-0005-0000-0000-000027000000}"/>
    <cellStyle name="خلية تدقيق 2" xfId="38" xr:uid="{00000000-0005-0000-0000-000028000000}"/>
    <cellStyle name="خلية مرتبطة 2" xfId="39" xr:uid="{00000000-0005-0000-0000-000029000000}"/>
    <cellStyle name="سيئ 2" xfId="40" xr:uid="{00000000-0005-0000-0000-00002A000000}"/>
    <cellStyle name="عادي" xfId="0" builtinId="0"/>
    <cellStyle name="عنوان 1 2" xfId="42" xr:uid="{00000000-0005-0000-0000-00002B000000}"/>
    <cellStyle name="عنوان 2 2" xfId="43" xr:uid="{00000000-0005-0000-0000-00002C000000}"/>
    <cellStyle name="عنوان 3 2" xfId="44" xr:uid="{00000000-0005-0000-0000-00002D000000}"/>
    <cellStyle name="عنوان 4 2" xfId="45" xr:uid="{00000000-0005-0000-0000-00002E000000}"/>
    <cellStyle name="عنوان 5" xfId="41" xr:uid="{00000000-0005-0000-0000-00002F000000}"/>
    <cellStyle name="محايد 2" xfId="46" xr:uid="{00000000-0005-0000-0000-000030000000}"/>
    <cellStyle name="ملاحظة 2" xfId="47" xr:uid="{00000000-0005-0000-0000-000031000000}"/>
    <cellStyle name="نص تحذير 2" xfId="48" xr:uid="{00000000-0005-0000-0000-000032000000}"/>
    <cellStyle name="نص توضيحي 2" xfId="49" xr:uid="{00000000-0005-0000-0000-000033000000}"/>
  </cellStyles>
  <dxfs count="0"/>
  <tableStyles count="1" defaultTableStyle="TableStyleMedium2" defaultPivotStyle="PivotStyleMedium9">
    <tableStyle name="نمط الجدول 1" pivot="0" count="0" xr9:uid="{00000000-0011-0000-FFFF-FFFF00000000}"/>
  </tableStyles>
  <colors>
    <mruColors>
      <color rgb="FFCFF7A7"/>
      <color rgb="FFB8E4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119063</xdr:colOff>
      <xdr:row>2</xdr:row>
      <xdr:rowOff>119062</xdr:rowOff>
    </xdr:from>
    <xdr:to>
      <xdr:col>12</xdr:col>
      <xdr:colOff>425224</xdr:colOff>
      <xdr:row>2</xdr:row>
      <xdr:rowOff>858949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34D2B6DE-9B0E-458A-85DB-EA68B538B1CD}"/>
            </a:ext>
          </a:extLst>
        </xdr:cNvPr>
        <xdr:cNvSpPr/>
      </xdr:nvSpPr>
      <xdr:spPr>
        <a:xfrm>
          <a:off x="11227263776" y="1042987"/>
          <a:ext cx="4430486" cy="739887"/>
        </a:xfrm>
        <a:prstGeom prst="roundRect">
          <a:avLst/>
        </a:prstGeom>
        <a:solidFill>
          <a:schemeClr val="accent6">
            <a:lumMod val="20000"/>
            <a:lumOff val="80000"/>
            <a:alpha val="99000"/>
          </a:scheme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1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YE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إحصائيات القوى الوظيفية لمدارس</a:t>
          </a:r>
          <a:r>
            <a:rPr kumimoji="0" lang="ar-SA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تحفيظ القرآن الكريم أولي في مديرية.................</a:t>
          </a:r>
          <a:r>
            <a:rPr kumimoji="0" lang="ar-YE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 للعام الدراسي </a:t>
          </a:r>
          <a:r>
            <a:rPr kumimoji="0" lang="ar-SA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  </a:t>
          </a:r>
          <a:r>
            <a:rPr kumimoji="0" lang="ar-YE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5</a:t>
          </a:r>
          <a:r>
            <a:rPr kumimoji="0" lang="ar-YE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- 202</a:t>
          </a:r>
          <a:r>
            <a:rPr kumimoji="0" lang="ar-SA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6</a:t>
          </a:r>
          <a:r>
            <a:rPr kumimoji="0" lang="ar-YE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م</a:t>
          </a:r>
        </a:p>
      </xdr:txBody>
    </xdr:sp>
    <xdr:clientData/>
  </xdr:twoCellAnchor>
  <xdr:twoCellAnchor>
    <xdr:from>
      <xdr:col>0</xdr:col>
      <xdr:colOff>0</xdr:colOff>
      <xdr:row>0</xdr:row>
      <xdr:rowOff>358865</xdr:rowOff>
    </xdr:from>
    <xdr:to>
      <xdr:col>5</xdr:col>
      <xdr:colOff>85044</xdr:colOff>
      <xdr:row>2</xdr:row>
      <xdr:rowOff>297656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E2A93E3D-266B-4B5D-AE96-53FA9C6064F0}"/>
            </a:ext>
          </a:extLst>
        </xdr:cNvPr>
        <xdr:cNvSpPr txBox="1">
          <a:spLocks noChangeArrowheads="1"/>
        </xdr:cNvSpPr>
      </xdr:nvSpPr>
      <xdr:spPr bwMode="auto">
        <a:xfrm>
          <a:off x="11230004256" y="358865"/>
          <a:ext cx="1809069" cy="862716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4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400" b="1">
            <a:effectLst/>
          </a:endParaRPr>
        </a:p>
      </xdr:txBody>
    </xdr:sp>
    <xdr:clientData/>
  </xdr:twoCellAnchor>
  <xdr:twoCellAnchor>
    <xdr:from>
      <xdr:col>0</xdr:col>
      <xdr:colOff>216385</xdr:colOff>
      <xdr:row>0</xdr:row>
      <xdr:rowOff>85045</xdr:rowOff>
    </xdr:from>
    <xdr:to>
      <xdr:col>5</xdr:col>
      <xdr:colOff>77463</xdr:colOff>
      <xdr:row>0</xdr:row>
      <xdr:rowOff>320653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D751C1EB-E530-4C77-8B14-29E154738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0011837" y="85045"/>
          <a:ext cx="1585103" cy="235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34018</xdr:colOff>
      <xdr:row>0</xdr:row>
      <xdr:rowOff>144576</xdr:rowOff>
    </xdr:from>
    <xdr:to>
      <xdr:col>10</xdr:col>
      <xdr:colOff>307695</xdr:colOff>
      <xdr:row>0</xdr:row>
      <xdr:rowOff>697366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3984985B-564F-47E8-8E19-1A7A23C13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28219505" y="144576"/>
          <a:ext cx="1073777" cy="552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503801</xdr:colOff>
      <xdr:row>4</xdr:row>
      <xdr:rowOff>107057</xdr:rowOff>
    </xdr:from>
    <xdr:to>
      <xdr:col>23</xdr:col>
      <xdr:colOff>513849</xdr:colOff>
      <xdr:row>5</xdr:row>
      <xdr:rowOff>170032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DCE0D311-324B-480F-A9F5-693CAB562180}"/>
            </a:ext>
          </a:extLst>
        </xdr:cNvPr>
        <xdr:cNvSpPr txBox="1"/>
      </xdr:nvSpPr>
      <xdr:spPr>
        <a:xfrm>
          <a:off x="11277274145" y="808899"/>
          <a:ext cx="9660377" cy="3512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الإحصائية العامة لطلاب و طالبات المرحلة الثانوية حكومي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أهلي في مدرسة: ................... 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بمديرية/.............. للعام الدراسي   202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 202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</a:t>
          </a:r>
          <a:r>
            <a:rPr lang="ar-YE" sz="1400"/>
            <a:t> </a:t>
          </a:r>
          <a:endParaRPr lang="en-US" sz="1400"/>
        </a:p>
      </xdr:txBody>
    </xdr:sp>
    <xdr:clientData/>
  </xdr:twoCellAnchor>
  <xdr:twoCellAnchor>
    <xdr:from>
      <xdr:col>5</xdr:col>
      <xdr:colOff>0</xdr:colOff>
      <xdr:row>1</xdr:row>
      <xdr:rowOff>142875</xdr:rowOff>
    </xdr:from>
    <xdr:to>
      <xdr:col>7</xdr:col>
      <xdr:colOff>626490</xdr:colOff>
      <xdr:row>5</xdr:row>
      <xdr:rowOff>4512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C2BAA27C-E8BE-452E-A809-5AE783D395D6}"/>
            </a:ext>
          </a:extLst>
        </xdr:cNvPr>
        <xdr:cNvSpPr txBox="1">
          <a:spLocks noChangeArrowheads="1"/>
        </xdr:cNvSpPr>
      </xdr:nvSpPr>
      <xdr:spPr bwMode="auto">
        <a:xfrm>
          <a:off x="11288190451" y="318336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5</xdr:col>
      <xdr:colOff>401764</xdr:colOff>
      <xdr:row>1</xdr:row>
      <xdr:rowOff>0</xdr:rowOff>
    </xdr:from>
    <xdr:to>
      <xdr:col>7</xdr:col>
      <xdr:colOff>192164</xdr:colOff>
      <xdr:row>2</xdr:row>
      <xdr:rowOff>11465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D23DC2C8-A509-47BE-B56D-1ED92C497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8624777" y="175461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235371</xdr:colOff>
      <xdr:row>0</xdr:row>
      <xdr:rowOff>121939</xdr:rowOff>
    </xdr:from>
    <xdr:to>
      <xdr:col>17</xdr:col>
      <xdr:colOff>172979</xdr:colOff>
      <xdr:row>4</xdr:row>
      <xdr:rowOff>28851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73BC9770-7FD7-48BD-A8EC-36559F69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81750870" y="121939"/>
          <a:ext cx="1316226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503801</xdr:colOff>
      <xdr:row>4</xdr:row>
      <xdr:rowOff>107057</xdr:rowOff>
    </xdr:from>
    <xdr:to>
      <xdr:col>21</xdr:col>
      <xdr:colOff>510099</xdr:colOff>
      <xdr:row>5</xdr:row>
      <xdr:rowOff>170032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7953CFC4-7153-49B2-9DB6-87F9DA7F0CDF}"/>
            </a:ext>
          </a:extLst>
        </xdr:cNvPr>
        <xdr:cNvSpPr txBox="1"/>
      </xdr:nvSpPr>
      <xdr:spPr>
        <a:xfrm>
          <a:off x="9994373108" y="837569"/>
          <a:ext cx="7336612" cy="3274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الإحصائية العامة لطلاب و طالبات المرحلة الثانوية حكومي +اهلي بمديرية/.............. للعام الدراسي   202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 202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</a:t>
          </a:r>
          <a:r>
            <a:rPr lang="ar-YE" sz="1400"/>
            <a:t> ئ</a:t>
          </a:r>
          <a:endParaRPr lang="en-US" sz="1400"/>
        </a:p>
      </xdr:txBody>
    </xdr:sp>
    <xdr:clientData/>
  </xdr:twoCellAnchor>
  <xdr:twoCellAnchor>
    <xdr:from>
      <xdr:col>6</xdr:col>
      <xdr:colOff>517663</xdr:colOff>
      <xdr:row>0</xdr:row>
      <xdr:rowOff>142875</xdr:rowOff>
    </xdr:from>
    <xdr:to>
      <xdr:col>9</xdr:col>
      <xdr:colOff>472827</xdr:colOff>
      <xdr:row>4</xdr:row>
      <xdr:rowOff>115128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A6270581-B365-4F59-8532-5A4A456D9D59}"/>
            </a:ext>
          </a:extLst>
        </xdr:cNvPr>
        <xdr:cNvSpPr txBox="1">
          <a:spLocks noChangeArrowheads="1"/>
        </xdr:cNvSpPr>
      </xdr:nvSpPr>
      <xdr:spPr bwMode="auto">
        <a:xfrm>
          <a:off x="11188813858" y="142875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7</xdr:col>
      <xdr:colOff>236112</xdr:colOff>
      <xdr:row>0</xdr:row>
      <xdr:rowOff>0</xdr:rowOff>
    </xdr:from>
    <xdr:to>
      <xdr:col>9</xdr:col>
      <xdr:colOff>38501</xdr:colOff>
      <xdr:row>1</xdr:row>
      <xdr:rowOff>10920</xdr:rowOff>
    </xdr:to>
    <xdr:pic>
      <xdr:nvPicPr>
        <xdr:cNvPr id="10" name="صورة 15">
          <a:extLst>
            <a:ext uri="{FF2B5EF4-FFF2-40B4-BE49-F238E27FC236}">
              <a16:creationId xmlns:a16="http://schemas.microsoft.com/office/drawing/2014/main" id="{76E8449B-0E8F-4124-90AA-852A9572C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9248184" y="0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232647</xdr:colOff>
      <xdr:row>0</xdr:row>
      <xdr:rowOff>106136</xdr:rowOff>
    </xdr:from>
    <xdr:to>
      <xdr:col>18</xdr:col>
      <xdr:colOff>182243</xdr:colOff>
      <xdr:row>4</xdr:row>
      <xdr:rowOff>10868</xdr:rowOff>
    </xdr:to>
    <xdr:pic>
      <xdr:nvPicPr>
        <xdr:cNvPr id="11" name="صورة 1">
          <a:extLst>
            <a:ext uri="{FF2B5EF4-FFF2-40B4-BE49-F238E27FC236}">
              <a16:creationId xmlns:a16="http://schemas.microsoft.com/office/drawing/2014/main" id="{0354283A-0F4A-46EB-93F1-9C9788955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182954605" y="106136"/>
          <a:ext cx="1316226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503801</xdr:colOff>
      <xdr:row>4</xdr:row>
      <xdr:rowOff>107057</xdr:rowOff>
    </xdr:from>
    <xdr:to>
      <xdr:col>21</xdr:col>
      <xdr:colOff>510099</xdr:colOff>
      <xdr:row>5</xdr:row>
      <xdr:rowOff>170032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1879A3DB-0FE7-468F-B98B-1D3A96371F1A}"/>
            </a:ext>
          </a:extLst>
        </xdr:cNvPr>
        <xdr:cNvSpPr txBox="1"/>
      </xdr:nvSpPr>
      <xdr:spPr>
        <a:xfrm>
          <a:off x="11221235301" y="830957"/>
          <a:ext cx="8235898" cy="348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الإحصائية العامة لطلاب و طالبات المرحلة الثانوية حكومي بمديرية/.............. للعام الدراسي   202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 202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</a:t>
          </a:r>
          <a:r>
            <a:rPr lang="ar-YE" sz="1400"/>
            <a:t> ئ</a:t>
          </a:r>
          <a:endParaRPr lang="en-US" sz="1400"/>
        </a:p>
      </xdr:txBody>
    </xdr:sp>
    <xdr:clientData/>
  </xdr:twoCellAnchor>
  <xdr:twoCellAnchor>
    <xdr:from>
      <xdr:col>5</xdr:col>
      <xdr:colOff>0</xdr:colOff>
      <xdr:row>1</xdr:row>
      <xdr:rowOff>142875</xdr:rowOff>
    </xdr:from>
    <xdr:to>
      <xdr:col>7</xdr:col>
      <xdr:colOff>626490</xdr:colOff>
      <xdr:row>5</xdr:row>
      <xdr:rowOff>4512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7AB5E53B-1B03-4D1B-B166-043000DAD975}"/>
            </a:ext>
          </a:extLst>
        </xdr:cNvPr>
        <xdr:cNvSpPr txBox="1">
          <a:spLocks noChangeArrowheads="1"/>
        </xdr:cNvSpPr>
      </xdr:nvSpPr>
      <xdr:spPr bwMode="auto">
        <a:xfrm>
          <a:off x="11230720110" y="323850"/>
          <a:ext cx="1998090" cy="690312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5</xdr:col>
      <xdr:colOff>401764</xdr:colOff>
      <xdr:row>1</xdr:row>
      <xdr:rowOff>0</xdr:rowOff>
    </xdr:from>
    <xdr:to>
      <xdr:col>7</xdr:col>
      <xdr:colOff>192164</xdr:colOff>
      <xdr:row>2</xdr:row>
      <xdr:rowOff>11465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21DCA014-ACC1-4585-9235-5D916A047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154436" y="180975"/>
          <a:ext cx="1162000" cy="19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235371</xdr:colOff>
      <xdr:row>0</xdr:row>
      <xdr:rowOff>121939</xdr:rowOff>
    </xdr:from>
    <xdr:to>
      <xdr:col>17</xdr:col>
      <xdr:colOff>172979</xdr:colOff>
      <xdr:row>4</xdr:row>
      <xdr:rowOff>28851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70DBE4BA-C2B2-43B5-89F3-D5C4D98F2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24315621" y="121939"/>
          <a:ext cx="1309208" cy="630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142875</xdr:rowOff>
    </xdr:from>
    <xdr:to>
      <xdr:col>6</xdr:col>
      <xdr:colOff>325245</xdr:colOff>
      <xdr:row>5</xdr:row>
      <xdr:rowOff>5196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DF3938B2-1B6A-4102-86FF-510A53CEF0BC}"/>
            </a:ext>
          </a:extLst>
        </xdr:cNvPr>
        <xdr:cNvSpPr txBox="1">
          <a:spLocks noChangeArrowheads="1"/>
        </xdr:cNvSpPr>
      </xdr:nvSpPr>
      <xdr:spPr bwMode="auto">
        <a:xfrm>
          <a:off x="11231707155" y="323850"/>
          <a:ext cx="1992120" cy="690996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4</xdr:col>
      <xdr:colOff>401764</xdr:colOff>
      <xdr:row>1</xdr:row>
      <xdr:rowOff>0</xdr:rowOff>
    </xdr:from>
    <xdr:to>
      <xdr:col>5</xdr:col>
      <xdr:colOff>583646</xdr:colOff>
      <xdr:row>2</xdr:row>
      <xdr:rowOff>13743</xdr:rowOff>
    </xdr:to>
    <xdr:pic>
      <xdr:nvPicPr>
        <xdr:cNvPr id="3" name="صورة 15">
          <a:extLst>
            <a:ext uri="{FF2B5EF4-FFF2-40B4-BE49-F238E27FC236}">
              <a16:creationId xmlns:a16="http://schemas.microsoft.com/office/drawing/2014/main" id="{AEE5690B-8CAA-453A-BBCE-E08A659F5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134554" y="180975"/>
          <a:ext cx="1162957" cy="194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298720</xdr:colOff>
      <xdr:row>0</xdr:row>
      <xdr:rowOff>71124</xdr:rowOff>
    </xdr:from>
    <xdr:to>
      <xdr:col>24</xdr:col>
      <xdr:colOff>229491</xdr:colOff>
      <xdr:row>3</xdr:row>
      <xdr:rowOff>160333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B8B12CC6-3B6F-4F3C-9F9F-B7E628321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19458509" y="71124"/>
          <a:ext cx="1302371" cy="632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142875</xdr:rowOff>
    </xdr:from>
    <xdr:to>
      <xdr:col>6</xdr:col>
      <xdr:colOff>325245</xdr:colOff>
      <xdr:row>5</xdr:row>
      <xdr:rowOff>5196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3ADD3FEA-4D80-4076-9DA7-0AF22BFD854E}"/>
            </a:ext>
          </a:extLst>
        </xdr:cNvPr>
        <xdr:cNvSpPr txBox="1">
          <a:spLocks noChangeArrowheads="1"/>
        </xdr:cNvSpPr>
      </xdr:nvSpPr>
      <xdr:spPr bwMode="auto">
        <a:xfrm>
          <a:off x="11345162028" y="316057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4</xdr:col>
      <xdr:colOff>401764</xdr:colOff>
      <xdr:row>1</xdr:row>
      <xdr:rowOff>0</xdr:rowOff>
    </xdr:from>
    <xdr:to>
      <xdr:col>5</xdr:col>
      <xdr:colOff>583646</xdr:colOff>
      <xdr:row>2</xdr:row>
      <xdr:rowOff>13743</xdr:rowOff>
    </xdr:to>
    <xdr:pic>
      <xdr:nvPicPr>
        <xdr:cNvPr id="3" name="صورة 15">
          <a:extLst>
            <a:ext uri="{FF2B5EF4-FFF2-40B4-BE49-F238E27FC236}">
              <a16:creationId xmlns:a16="http://schemas.microsoft.com/office/drawing/2014/main" id="{EEA10BB2-717C-4789-87D3-919CFB189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5596354" y="173182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298720</xdr:colOff>
      <xdr:row>0</xdr:row>
      <xdr:rowOff>71124</xdr:rowOff>
    </xdr:from>
    <xdr:to>
      <xdr:col>24</xdr:col>
      <xdr:colOff>229491</xdr:colOff>
      <xdr:row>3</xdr:row>
      <xdr:rowOff>160333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C23CC943-8444-499B-8BAA-79FAC9314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332788691" y="71124"/>
          <a:ext cx="1316226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399815</xdr:colOff>
      <xdr:row>0</xdr:row>
      <xdr:rowOff>142875</xdr:rowOff>
    </xdr:from>
    <xdr:to>
      <xdr:col>15</xdr:col>
      <xdr:colOff>358813</xdr:colOff>
      <xdr:row>4</xdr:row>
      <xdr:rowOff>113594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29C1E0C-7F60-4AE1-9AAA-16CAFE126347}"/>
            </a:ext>
          </a:extLst>
        </xdr:cNvPr>
        <xdr:cNvSpPr txBox="1">
          <a:spLocks noChangeArrowheads="1"/>
        </xdr:cNvSpPr>
      </xdr:nvSpPr>
      <xdr:spPr bwMode="auto">
        <a:xfrm>
          <a:off x="11163905446" y="142875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13</xdr:col>
      <xdr:colOff>119542</xdr:colOff>
      <xdr:row>0</xdr:row>
      <xdr:rowOff>0</xdr:rowOff>
    </xdr:from>
    <xdr:to>
      <xdr:col>14</xdr:col>
      <xdr:colOff>606524</xdr:colOff>
      <xdr:row>1</xdr:row>
      <xdr:rowOff>10536</xdr:rowOff>
    </xdr:to>
    <xdr:pic>
      <xdr:nvPicPr>
        <xdr:cNvPr id="3" name="صورة 15">
          <a:extLst>
            <a:ext uri="{FF2B5EF4-FFF2-40B4-BE49-F238E27FC236}">
              <a16:creationId xmlns:a16="http://schemas.microsoft.com/office/drawing/2014/main" id="{1180C7E2-33EB-4E8B-93CA-F7813501F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4339772" y="0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148415</xdr:colOff>
      <xdr:row>0</xdr:row>
      <xdr:rowOff>103836</xdr:rowOff>
    </xdr:from>
    <xdr:to>
      <xdr:col>24</xdr:col>
      <xdr:colOff>100567</xdr:colOff>
      <xdr:row>4</xdr:row>
      <xdr:rowOff>7034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DA9A227D-4ECF-45AC-977B-F1C518166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158025359" y="103836"/>
          <a:ext cx="1316226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593067</xdr:colOff>
      <xdr:row>4</xdr:row>
      <xdr:rowOff>107057</xdr:rowOff>
    </xdr:from>
    <xdr:to>
      <xdr:col>21</xdr:col>
      <xdr:colOff>510100</xdr:colOff>
      <xdr:row>5</xdr:row>
      <xdr:rowOff>107830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1B7920DD-D469-466E-A1D3-98644987BCD3}"/>
            </a:ext>
          </a:extLst>
        </xdr:cNvPr>
        <xdr:cNvSpPr txBox="1"/>
      </xdr:nvSpPr>
      <xdr:spPr>
        <a:xfrm>
          <a:off x="11174183957" y="825925"/>
          <a:ext cx="8795051" cy="288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الإحصائية العامة لطلاب و طالبات المرحلة الثانوية اهلي بمديرية/.............. للعام الدراسي   20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 20</a:t>
          </a:r>
          <a:r>
            <a:rPr lang="ar-SA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ar-YE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</a:t>
          </a:r>
          <a:r>
            <a:rPr lang="ar-YE" sz="1400"/>
            <a:t> ئ</a:t>
          </a:r>
          <a:endParaRPr lang="en-US" sz="1400"/>
        </a:p>
      </xdr:txBody>
    </xdr:sp>
    <xdr:clientData/>
  </xdr:twoCellAnchor>
  <xdr:twoCellAnchor>
    <xdr:from>
      <xdr:col>5</xdr:col>
      <xdr:colOff>287548</xdr:colOff>
      <xdr:row>0</xdr:row>
      <xdr:rowOff>142875</xdr:rowOff>
    </xdr:from>
    <xdr:to>
      <xdr:col>8</xdr:col>
      <xdr:colOff>243883</xdr:colOff>
      <xdr:row>4</xdr:row>
      <xdr:rowOff>100282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36214EAF-AFB1-420D-B9D4-6DF35D3F8DEF}"/>
            </a:ext>
          </a:extLst>
        </xdr:cNvPr>
        <xdr:cNvSpPr txBox="1">
          <a:spLocks noChangeArrowheads="1"/>
        </xdr:cNvSpPr>
      </xdr:nvSpPr>
      <xdr:spPr bwMode="auto">
        <a:xfrm>
          <a:off x="11183328192" y="142875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6</xdr:col>
      <xdr:colOff>6388</xdr:colOff>
      <xdr:row>0</xdr:row>
      <xdr:rowOff>0</xdr:rowOff>
    </xdr:from>
    <xdr:to>
      <xdr:col>7</xdr:col>
      <xdr:colOff>492482</xdr:colOff>
      <xdr:row>1</xdr:row>
      <xdr:rowOff>7208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640E6C10-CAEB-46A8-9B5A-4004FFEE9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3762518" y="0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250034</xdr:colOff>
      <xdr:row>0</xdr:row>
      <xdr:rowOff>47924</xdr:rowOff>
    </xdr:from>
    <xdr:to>
      <xdr:col>17</xdr:col>
      <xdr:colOff>200411</xdr:colOff>
      <xdr:row>3</xdr:row>
      <xdr:rowOff>117527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3731CA14-A372-4680-8FB0-1C6B00562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177225344" y="47924"/>
          <a:ext cx="1316226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142875</xdr:rowOff>
    </xdr:from>
    <xdr:to>
      <xdr:col>6</xdr:col>
      <xdr:colOff>333375</xdr:colOff>
      <xdr:row>4</xdr:row>
      <xdr:rowOff>265145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70D43C4F-5DF8-4E24-9AC4-225BBA22B40E}"/>
            </a:ext>
          </a:extLst>
        </xdr:cNvPr>
        <xdr:cNvSpPr txBox="1">
          <a:spLocks noChangeArrowheads="1"/>
        </xdr:cNvSpPr>
      </xdr:nvSpPr>
      <xdr:spPr bwMode="auto">
        <a:xfrm>
          <a:off x="11301740044" y="327543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4</xdr:col>
      <xdr:colOff>401764</xdr:colOff>
      <xdr:row>1</xdr:row>
      <xdr:rowOff>0</xdr:rowOff>
    </xdr:from>
    <xdr:to>
      <xdr:col>5</xdr:col>
      <xdr:colOff>589125</xdr:colOff>
      <xdr:row>2</xdr:row>
      <xdr:rowOff>2256</xdr:rowOff>
    </xdr:to>
    <xdr:pic>
      <xdr:nvPicPr>
        <xdr:cNvPr id="3" name="صورة 15">
          <a:extLst>
            <a:ext uri="{FF2B5EF4-FFF2-40B4-BE49-F238E27FC236}">
              <a16:creationId xmlns:a16="http://schemas.microsoft.com/office/drawing/2014/main" id="{3E20EA90-5C02-4E77-97DF-C0BB3921C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174370" y="184668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412878</xdr:colOff>
      <xdr:row>0</xdr:row>
      <xdr:rowOff>112475</xdr:rowOff>
    </xdr:from>
    <xdr:to>
      <xdr:col>18</xdr:col>
      <xdr:colOff>348951</xdr:colOff>
      <xdr:row>3</xdr:row>
      <xdr:rowOff>167224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72D7A32D-4D3B-4C88-BD0A-83028C6B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93443549" y="112475"/>
          <a:ext cx="1316226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114301</xdr:colOff>
      <xdr:row>5</xdr:row>
      <xdr:rowOff>38100</xdr:rowOff>
    </xdr:from>
    <xdr:to>
      <xdr:col>7</xdr:col>
      <xdr:colOff>800101</xdr:colOff>
      <xdr:row>10</xdr:row>
      <xdr:rowOff>114300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0762849949" y="942975"/>
          <a:ext cx="6581775" cy="981075"/>
        </a:xfrm>
        <a:prstGeom prst="roundRect">
          <a:avLst/>
        </a:prstGeom>
        <a:gradFill>
          <a:gsLst>
            <a:gs pos="0">
              <a:schemeClr val="accent1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</a:t>
          </a:r>
          <a:r>
            <a:rPr lang="ar-SA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توضح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الشعب والطلبة للتعليم الاساسي  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</a:t>
          </a:r>
          <a:r>
            <a:rPr lang="ar-SA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مديرية ................</a:t>
          </a:r>
          <a:r>
            <a:rPr lang="ar-YE" sz="1600" b="1" baseline="0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للعام 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الدراسي  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 </a:t>
          </a:r>
          <a:r>
            <a:rPr lang="ar-YE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5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-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 </a:t>
          </a:r>
          <a:r>
            <a:rPr lang="ar-YE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6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م</a:t>
          </a:r>
        </a:p>
      </xdr:txBody>
    </xdr:sp>
    <xdr:clientData/>
  </xdr:twoCellAnchor>
  <xdr:twoCellAnchor>
    <xdr:from>
      <xdr:col>1</xdr:col>
      <xdr:colOff>0</xdr:colOff>
      <xdr:row>1</xdr:row>
      <xdr:rowOff>47625</xdr:rowOff>
    </xdr:from>
    <xdr:to>
      <xdr:col>2</xdr:col>
      <xdr:colOff>900209</xdr:colOff>
      <xdr:row>5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10767607591" y="228600"/>
          <a:ext cx="1938434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401764</xdr:colOff>
      <xdr:row>0</xdr:row>
      <xdr:rowOff>85725</xdr:rowOff>
    </xdr:from>
    <xdr:to>
      <xdr:col>2</xdr:col>
      <xdr:colOff>465883</xdr:colOff>
      <xdr:row>1</xdr:row>
      <xdr:rowOff>91675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8041917" y="85725"/>
          <a:ext cx="1102344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845974</xdr:colOff>
      <xdr:row>1</xdr:row>
      <xdr:rowOff>114419</xdr:rowOff>
    </xdr:from>
    <xdr:to>
      <xdr:col>5</xdr:col>
      <xdr:colOff>200050</xdr:colOff>
      <xdr:row>4</xdr:row>
      <xdr:rowOff>180248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0765440725" y="295394"/>
          <a:ext cx="1211451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6</xdr:row>
      <xdr:rowOff>85726</xdr:rowOff>
    </xdr:from>
    <xdr:to>
      <xdr:col>7</xdr:col>
      <xdr:colOff>866775</xdr:colOff>
      <xdr:row>9</xdr:row>
      <xdr:rowOff>142875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0762783275" y="1171576"/>
          <a:ext cx="7181850" cy="600074"/>
        </a:xfrm>
        <a:prstGeom prst="roundRect">
          <a:avLst/>
        </a:prstGeom>
        <a:gradFill>
          <a:gsLst>
            <a:gs pos="0">
              <a:schemeClr val="accent1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توضح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الشعب والطلبة للتعليم الثانوي في مديرية ...............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للعام الدراسي 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2023-2024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</a:t>
          </a:r>
        </a:p>
      </xdr:txBody>
    </xdr:sp>
    <xdr:clientData/>
  </xdr:twoCellAnchor>
  <xdr:twoCellAnchor>
    <xdr:from>
      <xdr:col>3</xdr:col>
      <xdr:colOff>845974</xdr:colOff>
      <xdr:row>0</xdr:row>
      <xdr:rowOff>162044</xdr:rowOff>
    </xdr:from>
    <xdr:to>
      <xdr:col>5</xdr:col>
      <xdr:colOff>200050</xdr:colOff>
      <xdr:row>4</xdr:row>
      <xdr:rowOff>46898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0765850300" y="162044"/>
          <a:ext cx="1211451" cy="608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0</xdr:row>
      <xdr:rowOff>142875</xdr:rowOff>
    </xdr:from>
    <xdr:to>
      <xdr:col>2</xdr:col>
      <xdr:colOff>966884</xdr:colOff>
      <xdr:row>4</xdr:row>
      <xdr:rowOff>95250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112467E4-A1E7-46A9-A482-FC3580CEC713}"/>
            </a:ext>
          </a:extLst>
        </xdr:cNvPr>
        <xdr:cNvSpPr txBox="1">
          <a:spLocks noChangeArrowheads="1"/>
        </xdr:cNvSpPr>
      </xdr:nvSpPr>
      <xdr:spPr bwMode="auto">
        <a:xfrm>
          <a:off x="11392238041" y="142875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525589</xdr:colOff>
      <xdr:row>0</xdr:row>
      <xdr:rowOff>28575</xdr:rowOff>
    </xdr:from>
    <xdr:to>
      <xdr:col>2</xdr:col>
      <xdr:colOff>589708</xdr:colOff>
      <xdr:row>1</xdr:row>
      <xdr:rowOff>34525</xdr:rowOff>
    </xdr:to>
    <xdr:pic>
      <xdr:nvPicPr>
        <xdr:cNvPr id="10" name="صورة 15">
          <a:extLst>
            <a:ext uri="{FF2B5EF4-FFF2-40B4-BE49-F238E27FC236}">
              <a16:creationId xmlns:a16="http://schemas.microsoft.com/office/drawing/2014/main" id="{37C2BC52-AC2B-4D26-A406-61BC6F55C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2615217" y="28575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112449</xdr:colOff>
      <xdr:row>6</xdr:row>
      <xdr:rowOff>175846</xdr:rowOff>
    </xdr:from>
    <xdr:to>
      <xdr:col>18</xdr:col>
      <xdr:colOff>140948</xdr:colOff>
      <xdr:row>9</xdr:row>
      <xdr:rowOff>114578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9947183237" y="1285811"/>
          <a:ext cx="6450441" cy="49371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توضح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توزيع المدارس العاملة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مديرية ................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للعام الدراسي 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 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5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-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6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 م</a:t>
          </a:r>
          <a:endParaRPr lang="ar-YE" sz="1400" b="1">
            <a:solidFill>
              <a:schemeClr val="tx1"/>
            </a:solidFill>
            <a:latin typeface="Microsoft Uighur" pitchFamily="2" charset="-78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8</xdr:col>
      <xdr:colOff>366346</xdr:colOff>
      <xdr:row>0</xdr:row>
      <xdr:rowOff>47364</xdr:rowOff>
    </xdr:from>
    <xdr:to>
      <xdr:col>11</xdr:col>
      <xdr:colOff>279052</xdr:colOff>
      <xdr:row>3</xdr:row>
      <xdr:rowOff>164135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3802673" y="47364"/>
          <a:ext cx="1231552" cy="66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114300</xdr:rowOff>
    </xdr:from>
    <xdr:to>
      <xdr:col>6</xdr:col>
      <xdr:colOff>258859</xdr:colOff>
      <xdr:row>5</xdr:row>
      <xdr:rowOff>76200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A83E4109-3282-4FA3-8EF3-53AB9217D92A}"/>
            </a:ext>
          </a:extLst>
        </xdr:cNvPr>
        <xdr:cNvSpPr txBox="1">
          <a:spLocks noChangeArrowheads="1"/>
        </xdr:cNvSpPr>
      </xdr:nvSpPr>
      <xdr:spPr bwMode="auto">
        <a:xfrm>
          <a:off x="11208909969" y="292894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3</xdr:col>
      <xdr:colOff>22351</xdr:colOff>
      <xdr:row>1</xdr:row>
      <xdr:rowOff>0</xdr:rowOff>
    </xdr:from>
    <xdr:to>
      <xdr:col>5</xdr:col>
      <xdr:colOff>318245</xdr:colOff>
      <xdr:row>2</xdr:row>
      <xdr:rowOff>8331</xdr:rowOff>
    </xdr:to>
    <xdr:pic>
      <xdr:nvPicPr>
        <xdr:cNvPr id="7" name="صورة 15">
          <a:extLst>
            <a:ext uri="{FF2B5EF4-FFF2-40B4-BE49-F238E27FC236}">
              <a16:creationId xmlns:a16="http://schemas.microsoft.com/office/drawing/2014/main" id="{8C2DED30-F4F8-4D55-BA28-9AB9D0728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287145" y="178594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66675</xdr:rowOff>
    </xdr:from>
    <xdr:to>
      <xdr:col>16</xdr:col>
      <xdr:colOff>357674</xdr:colOff>
      <xdr:row>1</xdr:row>
      <xdr:rowOff>505409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0945266918" y="1271879"/>
          <a:ext cx="6795796" cy="438734"/>
        </a:xfrm>
        <a:prstGeom prst="roundRect">
          <a:avLst/>
        </a:prstGeom>
        <a:solidFill>
          <a:schemeClr val="accent6">
            <a:lumMod val="40000"/>
            <a:lumOff val="6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إحصائيات </a:t>
          </a:r>
          <a:r>
            <a:rPr lang="ar-SA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بعدد</a:t>
          </a:r>
          <a:r>
            <a:rPr lang="ar-SA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المدارس ( الحكومية + الاهلية + رياض اطفال + تحفيظ قرآن ) </a:t>
          </a:r>
          <a:r>
            <a:rPr lang="ar-YE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محافظة تعز للعام الدراسي </a:t>
          </a:r>
          <a:r>
            <a:rPr lang="ar-SA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  </a:t>
          </a:r>
          <a:r>
            <a:rPr lang="ar-YE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202</a:t>
          </a:r>
          <a:r>
            <a:rPr lang="ar-SA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5</a:t>
          </a:r>
          <a:r>
            <a:rPr lang="ar-YE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-202</a:t>
          </a:r>
          <a:r>
            <a:rPr lang="ar-SA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6</a:t>
          </a:r>
          <a:r>
            <a:rPr lang="ar-YE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م</a:t>
          </a:r>
          <a:endParaRPr lang="ar-YE" sz="105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7</xdr:col>
      <xdr:colOff>215141</xdr:colOff>
      <xdr:row>0</xdr:row>
      <xdr:rowOff>404326</xdr:rowOff>
    </xdr:from>
    <xdr:to>
      <xdr:col>9</xdr:col>
      <xdr:colOff>403743</xdr:colOff>
      <xdr:row>0</xdr:row>
      <xdr:rowOff>1020729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0948097788" y="404326"/>
          <a:ext cx="1106112" cy="616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69980</xdr:colOff>
      <xdr:row>5</xdr:row>
      <xdr:rowOff>108857</xdr:rowOff>
    </xdr:from>
    <xdr:to>
      <xdr:col>6</xdr:col>
      <xdr:colOff>23327</xdr:colOff>
      <xdr:row>8</xdr:row>
      <xdr:rowOff>23326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10949815591" y="6274837"/>
          <a:ext cx="1936103" cy="5209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رئيس قسم</a:t>
          </a:r>
          <a:r>
            <a:rPr lang="ar-YE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التخطيط والاحصاء</a:t>
          </a:r>
          <a:endParaRPr lang="ar-YE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132182</xdr:colOff>
      <xdr:row>5</xdr:row>
      <xdr:rowOff>77755</xdr:rowOff>
    </xdr:from>
    <xdr:to>
      <xdr:col>16</xdr:col>
      <xdr:colOff>284922</xdr:colOff>
      <xdr:row>8</xdr:row>
      <xdr:rowOff>38877</xdr:rowOff>
    </xdr:to>
    <xdr:sp macro="" textlink="">
      <xdr:nvSpPr>
        <xdr:cNvPr id="8" name="مربع نص 7">
          <a:extLst>
            <a:ext uri="{FF2B5EF4-FFF2-40B4-BE49-F238E27FC236}">
              <a16:creationId xmlns:a16="http://schemas.microsoft.com/office/drawing/2014/main" id="{5E14364A-73BB-487A-8455-C554ADBE570B}"/>
            </a:ext>
          </a:extLst>
        </xdr:cNvPr>
        <xdr:cNvSpPr txBox="1"/>
      </xdr:nvSpPr>
      <xdr:spPr>
        <a:xfrm>
          <a:off x="9978164713" y="2708312"/>
          <a:ext cx="1941783" cy="544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100" b="1"/>
            <a:t>مدير </a:t>
          </a:r>
          <a:r>
            <a:rPr lang="ar-YE" sz="1100" b="1"/>
            <a:t>ادارة </a:t>
          </a:r>
          <a:r>
            <a:rPr lang="ar-SA" sz="1100" b="1"/>
            <a:t> التربية والتعليم </a:t>
          </a:r>
          <a:r>
            <a:rPr lang="ar-YE" sz="1100" b="1"/>
            <a:t>بالمديرية</a:t>
          </a:r>
          <a:endParaRPr lang="ar-SA" sz="1100" b="1"/>
        </a:p>
      </xdr:txBody>
    </xdr:sp>
    <xdr:clientData/>
  </xdr:twoCellAnchor>
  <xdr:twoCellAnchor>
    <xdr:from>
      <xdr:col>2</xdr:col>
      <xdr:colOff>0</xdr:colOff>
      <xdr:row>0</xdr:row>
      <xdr:rowOff>264127</xdr:rowOff>
    </xdr:from>
    <xdr:to>
      <xdr:col>5</xdr:col>
      <xdr:colOff>274044</xdr:colOff>
      <xdr:row>0</xdr:row>
      <xdr:rowOff>893407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9C506B2F-BCF8-4A65-8A7D-F88718BD7B93}"/>
            </a:ext>
          </a:extLst>
        </xdr:cNvPr>
        <xdr:cNvSpPr txBox="1">
          <a:spLocks noChangeArrowheads="1"/>
        </xdr:cNvSpPr>
      </xdr:nvSpPr>
      <xdr:spPr bwMode="auto">
        <a:xfrm>
          <a:off x="11257422848" y="264127"/>
          <a:ext cx="2005109" cy="62928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2</xdr:col>
      <xdr:colOff>458914</xdr:colOff>
      <xdr:row>0</xdr:row>
      <xdr:rowOff>107673</xdr:rowOff>
    </xdr:from>
    <xdr:to>
      <xdr:col>4</xdr:col>
      <xdr:colOff>211607</xdr:colOff>
      <xdr:row>0</xdr:row>
      <xdr:rowOff>281608</xdr:rowOff>
    </xdr:to>
    <xdr:pic>
      <xdr:nvPicPr>
        <xdr:cNvPr id="10" name="صورة 15">
          <a:extLst>
            <a:ext uri="{FF2B5EF4-FFF2-40B4-BE49-F238E27FC236}">
              <a16:creationId xmlns:a16="http://schemas.microsoft.com/office/drawing/2014/main" id="{26017FB4-35B1-4518-B39C-C8391C7D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7800024" y="107673"/>
          <a:ext cx="1169019" cy="173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114300</xdr:rowOff>
    </xdr:from>
    <xdr:to>
      <xdr:col>26</xdr:col>
      <xdr:colOff>247651</xdr:colOff>
      <xdr:row>5</xdr:row>
      <xdr:rowOff>298334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1167354474" y="812800"/>
          <a:ext cx="6867526" cy="358659"/>
        </a:xfrm>
        <a:prstGeom prst="roundRect">
          <a:avLst/>
        </a:prstGeom>
        <a:solidFill>
          <a:schemeClr val="accent6">
            <a:lumMod val="20000"/>
            <a:lumOff val="80000"/>
            <a:alpha val="99000"/>
          </a:scheme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1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إحصائيات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المؤهلات الدراسية للمعلمين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لمدارس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مديرية ...............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 للعام الدراسي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</a:t>
          </a:r>
          <a:r>
            <a:rPr lang="ar-YE" sz="1100" b="1" i="0" baseline="0">
              <a:effectLst/>
              <a:latin typeface="+mn-lt"/>
              <a:ea typeface="+mn-ea"/>
              <a:cs typeface="+mn-cs"/>
            </a:rPr>
            <a:t>20</a:t>
          </a:r>
          <a:r>
            <a:rPr lang="ar-SA" sz="1100" b="1" i="0" baseline="0">
              <a:effectLst/>
              <a:latin typeface="+mn-lt"/>
              <a:ea typeface="+mn-ea"/>
              <a:cs typeface="+mn-cs"/>
            </a:rPr>
            <a:t>25</a:t>
          </a:r>
          <a:r>
            <a:rPr lang="ar-YE" sz="1100" b="1" i="0" baseline="0">
              <a:effectLst/>
              <a:latin typeface="+mn-lt"/>
              <a:ea typeface="+mn-ea"/>
              <a:cs typeface="+mn-cs"/>
            </a:rPr>
            <a:t> -</a:t>
          </a:r>
          <a:r>
            <a:rPr lang="ar-SA" sz="1100" b="1" i="0" baseline="0">
              <a:effectLst/>
              <a:latin typeface="+mn-lt"/>
              <a:ea typeface="+mn-ea"/>
              <a:cs typeface="+mn-cs"/>
            </a:rPr>
            <a:t> </a:t>
          </a:r>
          <a:r>
            <a:rPr lang="ar-YE" sz="1100" b="1" i="0" baseline="0">
              <a:effectLst/>
              <a:latin typeface="+mn-lt"/>
              <a:ea typeface="+mn-ea"/>
              <a:cs typeface="+mn-cs"/>
            </a:rPr>
            <a:t>202</a:t>
          </a:r>
          <a:r>
            <a:rPr lang="ar-SA" sz="1100" b="1" i="0" baseline="0">
              <a:effectLst/>
              <a:latin typeface="+mn-lt"/>
              <a:ea typeface="+mn-ea"/>
              <a:cs typeface="+mn-cs"/>
            </a:rPr>
            <a:t>6 </a:t>
          </a:r>
          <a:r>
            <a:rPr lang="ar-YE" sz="1100" b="1" i="0" baseline="0">
              <a:effectLst/>
              <a:latin typeface="+mn-lt"/>
              <a:ea typeface="+mn-ea"/>
              <a:cs typeface="+mn-cs"/>
            </a:rPr>
            <a:t>م</a:t>
          </a:r>
          <a:endParaRPr kumimoji="0" lang="ar-YE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11</xdr:col>
      <xdr:colOff>180973</xdr:colOff>
      <xdr:row>0</xdr:row>
      <xdr:rowOff>0</xdr:rowOff>
    </xdr:from>
    <xdr:to>
      <xdr:col>14</xdr:col>
      <xdr:colOff>159034</xdr:colOff>
      <xdr:row>3</xdr:row>
      <xdr:rowOff>79047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23291341" y="0"/>
          <a:ext cx="1149636" cy="621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114300</xdr:rowOff>
    </xdr:from>
    <xdr:to>
      <xdr:col>7</xdr:col>
      <xdr:colOff>56814</xdr:colOff>
      <xdr:row>4</xdr:row>
      <xdr:rowOff>63211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79BBE2ED-A892-471B-96C6-76BDC413B999}"/>
            </a:ext>
          </a:extLst>
        </xdr:cNvPr>
        <xdr:cNvSpPr txBox="1">
          <a:spLocks noChangeArrowheads="1"/>
        </xdr:cNvSpPr>
      </xdr:nvSpPr>
      <xdr:spPr bwMode="auto">
        <a:xfrm>
          <a:off x="11197195482" y="114300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3</xdr:col>
      <xdr:colOff>69255</xdr:colOff>
      <xdr:row>0</xdr:row>
      <xdr:rowOff>0</xdr:rowOff>
    </xdr:from>
    <xdr:to>
      <xdr:col>6</xdr:col>
      <xdr:colOff>69297</xdr:colOff>
      <xdr:row>1</xdr:row>
      <xdr:rowOff>5084</xdr:rowOff>
    </xdr:to>
    <xdr:pic>
      <xdr:nvPicPr>
        <xdr:cNvPr id="7" name="صورة 15">
          <a:extLst>
            <a:ext uri="{FF2B5EF4-FFF2-40B4-BE49-F238E27FC236}">
              <a16:creationId xmlns:a16="http://schemas.microsoft.com/office/drawing/2014/main" id="{1E87EE4D-F633-4D63-A193-CFFD11AAA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7572658" y="0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107949</xdr:colOff>
      <xdr:row>4</xdr:row>
      <xdr:rowOff>166158</xdr:rowOff>
    </xdr:from>
    <xdr:to>
      <xdr:col>29</xdr:col>
      <xdr:colOff>63500</xdr:colOff>
      <xdr:row>6</xdr:row>
      <xdr:rowOff>163926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9969512700" y="911225"/>
          <a:ext cx="8100484" cy="370301"/>
        </a:xfrm>
        <a:prstGeom prst="roundRect">
          <a:avLst/>
        </a:prstGeom>
        <a:solidFill>
          <a:schemeClr val="accent6">
            <a:lumMod val="20000"/>
            <a:lumOff val="80000"/>
            <a:alpha val="99000"/>
          </a:scheme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1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إحصائيات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بتخصصات ا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لمعلمين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للمرحلة الاساسية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لمدارس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مديرية ....................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للعام الدراسي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20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25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-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6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م</a:t>
          </a:r>
        </a:p>
      </xdr:txBody>
    </xdr:sp>
    <xdr:clientData/>
  </xdr:twoCellAnchor>
  <xdr:twoCellAnchor>
    <xdr:from>
      <xdr:col>0</xdr:col>
      <xdr:colOff>15876</xdr:colOff>
      <xdr:row>1</xdr:row>
      <xdr:rowOff>74976</xdr:rowOff>
    </xdr:from>
    <xdr:to>
      <xdr:col>4</xdr:col>
      <xdr:colOff>238125</xdr:colOff>
      <xdr:row>6</xdr:row>
      <xdr:rowOff>79375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11173666375" y="249601"/>
          <a:ext cx="1857374" cy="87752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endParaRPr lang="ar-Y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317499</xdr:colOff>
      <xdr:row>0</xdr:row>
      <xdr:rowOff>63500</xdr:rowOff>
    </xdr:from>
    <xdr:to>
      <xdr:col>15</xdr:col>
      <xdr:colOff>70135</xdr:colOff>
      <xdr:row>3</xdr:row>
      <xdr:rowOff>161597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169992615" y="63500"/>
          <a:ext cx="1149636" cy="621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114300</xdr:rowOff>
    </xdr:from>
    <xdr:to>
      <xdr:col>5</xdr:col>
      <xdr:colOff>269443</xdr:colOff>
      <xdr:row>4</xdr:row>
      <xdr:rowOff>70908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30FFD4DC-E567-40DB-8AA5-E788321CC3CD}"/>
            </a:ext>
          </a:extLst>
        </xdr:cNvPr>
        <xdr:cNvSpPr txBox="1">
          <a:spLocks noChangeArrowheads="1"/>
        </xdr:cNvSpPr>
      </xdr:nvSpPr>
      <xdr:spPr bwMode="auto">
        <a:xfrm>
          <a:off x="11258492224" y="114300"/>
          <a:ext cx="2005109" cy="6762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2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458914</xdr:colOff>
      <xdr:row>0</xdr:row>
      <xdr:rowOff>0</xdr:rowOff>
    </xdr:from>
    <xdr:to>
      <xdr:col>4</xdr:col>
      <xdr:colOff>241517</xdr:colOff>
      <xdr:row>1</xdr:row>
      <xdr:rowOff>7008</xdr:rowOff>
    </xdr:to>
    <xdr:pic>
      <xdr:nvPicPr>
        <xdr:cNvPr id="7" name="صورة 15">
          <a:extLst>
            <a:ext uri="{FF2B5EF4-FFF2-40B4-BE49-F238E27FC236}">
              <a16:creationId xmlns:a16="http://schemas.microsoft.com/office/drawing/2014/main" id="{9A14AC74-C34E-4C49-A7EA-B18F30D3D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869400" y="0"/>
          <a:ext cx="1169019" cy="18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5</xdr:row>
      <xdr:rowOff>88900</xdr:rowOff>
    </xdr:from>
    <xdr:to>
      <xdr:col>36</xdr:col>
      <xdr:colOff>207818</xdr:colOff>
      <xdr:row>6</xdr:row>
      <xdr:rowOff>272934</xdr:rowOff>
    </xdr:to>
    <xdr:sp macro="" textlink="">
      <xdr:nvSpPr>
        <xdr:cNvPr id="3" name="مستطيل مستدير الزوايا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9985153538" y="1002040"/>
          <a:ext cx="8103178" cy="366663"/>
        </a:xfrm>
        <a:prstGeom prst="roundRect">
          <a:avLst/>
        </a:prstGeom>
        <a:solidFill>
          <a:schemeClr val="accent6">
            <a:lumMod val="20000"/>
            <a:lumOff val="80000"/>
            <a:alpha val="99000"/>
          </a:scheme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1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إحصائيات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(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بتخصصات ا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لمعلمين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)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للمرحلة الثانوية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لمدارس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مديرية ....................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للعام الدراسي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 </a:t>
          </a:r>
          <a:r>
            <a:rPr lang="ar-YE" sz="1400" b="1" i="0" baseline="0">
              <a:effectLst/>
              <a:latin typeface="+mn-lt"/>
              <a:ea typeface="+mn-ea"/>
              <a:cs typeface="+mn-cs"/>
            </a:rPr>
            <a:t>202</a:t>
          </a:r>
          <a:r>
            <a:rPr lang="ar-SA" sz="1400" b="1" i="0" baseline="0">
              <a:effectLst/>
              <a:latin typeface="+mn-lt"/>
              <a:ea typeface="+mn-ea"/>
              <a:cs typeface="+mn-cs"/>
            </a:rPr>
            <a:t>5</a:t>
          </a:r>
          <a:r>
            <a:rPr lang="ar-YE" sz="1400" b="1" i="0" baseline="0">
              <a:effectLst/>
              <a:latin typeface="+mn-lt"/>
              <a:ea typeface="+mn-ea"/>
              <a:cs typeface="+mn-cs"/>
            </a:rPr>
            <a:t> -</a:t>
          </a:r>
          <a:r>
            <a:rPr lang="ar-SA" sz="1400" b="1" i="0" baseline="0">
              <a:effectLst/>
              <a:latin typeface="+mn-lt"/>
              <a:ea typeface="+mn-ea"/>
              <a:cs typeface="+mn-cs"/>
            </a:rPr>
            <a:t>  2026</a:t>
          </a:r>
          <a:r>
            <a:rPr lang="ar-YE" sz="1400" b="1" i="0" baseline="0">
              <a:effectLst/>
              <a:latin typeface="+mn-lt"/>
              <a:ea typeface="+mn-ea"/>
              <a:cs typeface="+mn-cs"/>
            </a:rPr>
            <a:t>م</a:t>
          </a:r>
          <a:endParaRPr kumimoji="0" lang="ar-YE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1</xdr:col>
      <xdr:colOff>0</xdr:colOff>
      <xdr:row>1</xdr:row>
      <xdr:rowOff>13674</xdr:rowOff>
    </xdr:from>
    <xdr:to>
      <xdr:col>6</xdr:col>
      <xdr:colOff>220784</xdr:colOff>
      <xdr:row>6</xdr:row>
      <xdr:rowOff>26865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>
          <a:spLocks noChangeArrowheads="1"/>
        </xdr:cNvSpPr>
      </xdr:nvSpPr>
      <xdr:spPr bwMode="auto">
        <a:xfrm>
          <a:off x="11167159091" y="188299"/>
          <a:ext cx="1855909" cy="886316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1</xdr:col>
      <xdr:colOff>396516</xdr:colOff>
      <xdr:row>0</xdr:row>
      <xdr:rowOff>269</xdr:rowOff>
    </xdr:from>
    <xdr:to>
      <xdr:col>5</xdr:col>
      <xdr:colOff>80108</xdr:colOff>
      <xdr:row>1</xdr:row>
      <xdr:rowOff>18073</xdr:rowOff>
    </xdr:to>
    <xdr:pic>
      <xdr:nvPicPr>
        <xdr:cNvPr id="5" name="صورة 1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569642" y="269"/>
          <a:ext cx="1048842" cy="192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30771</xdr:colOff>
      <xdr:row>1</xdr:row>
      <xdr:rowOff>31750</xdr:rowOff>
    </xdr:from>
    <xdr:to>
      <xdr:col>20</xdr:col>
      <xdr:colOff>94313</xdr:colOff>
      <xdr:row>4</xdr:row>
      <xdr:rowOff>136441</xdr:rowOff>
    </xdr:to>
    <xdr:pic>
      <xdr:nvPicPr>
        <xdr:cNvPr id="6" name="صورة 1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163507312" y="206375"/>
          <a:ext cx="1143042" cy="628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153084</xdr:colOff>
      <xdr:row>0</xdr:row>
      <xdr:rowOff>60214</xdr:rowOff>
    </xdr:from>
    <xdr:to>
      <xdr:col>32</xdr:col>
      <xdr:colOff>68039</xdr:colOff>
      <xdr:row>2</xdr:row>
      <xdr:rowOff>102053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11213904961" y="60214"/>
          <a:ext cx="8639855" cy="365689"/>
        </a:xfrm>
        <a:prstGeom prst="roundRect">
          <a:avLst/>
        </a:prstGeom>
        <a:solidFill>
          <a:schemeClr val="accent6">
            <a:lumMod val="20000"/>
            <a:lumOff val="80000"/>
            <a:alpha val="99000"/>
          </a:scheme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1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إحصائيات القوى الوظيفية لمدارس التعليم  الاساسي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في مديرية ........................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للعام الدراسي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 </a:t>
          </a:r>
          <a:r>
            <a:rPr lang="ar-YE" sz="1400" b="1" i="0" baseline="0">
              <a:effectLst/>
              <a:latin typeface="+mn-lt"/>
              <a:ea typeface="+mn-ea"/>
              <a:cs typeface="+mn-cs"/>
            </a:rPr>
            <a:t>202</a:t>
          </a:r>
          <a:r>
            <a:rPr lang="ar-SA" sz="1400" b="1" i="0" baseline="0">
              <a:effectLst/>
              <a:latin typeface="+mn-lt"/>
              <a:ea typeface="+mn-ea"/>
              <a:cs typeface="+mn-cs"/>
            </a:rPr>
            <a:t>5</a:t>
          </a:r>
          <a:r>
            <a:rPr lang="ar-YE" sz="1400" b="1" i="0" baseline="0">
              <a:effectLst/>
              <a:latin typeface="+mn-lt"/>
              <a:ea typeface="+mn-ea"/>
              <a:cs typeface="+mn-cs"/>
            </a:rPr>
            <a:t> -</a:t>
          </a:r>
          <a:r>
            <a:rPr lang="ar-SA" sz="1400" b="1" i="0" baseline="0">
              <a:effectLst/>
              <a:latin typeface="+mn-lt"/>
              <a:ea typeface="+mn-ea"/>
              <a:cs typeface="+mn-cs"/>
            </a:rPr>
            <a:t>  2026</a:t>
          </a:r>
          <a:r>
            <a:rPr lang="ar-YE" sz="1400" b="1" i="0" baseline="0">
              <a:effectLst/>
              <a:latin typeface="+mn-lt"/>
              <a:ea typeface="+mn-ea"/>
              <a:cs typeface="+mn-cs"/>
            </a:rPr>
            <a:t>م</a:t>
          </a:r>
          <a:endParaRPr kumimoji="0" lang="ar-YE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PT Bold Heading" pitchFamily="2" charset="-78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9524</xdr:rowOff>
    </xdr:from>
    <xdr:to>
      <xdr:col>29</xdr:col>
      <xdr:colOff>171450</xdr:colOff>
      <xdr:row>3</xdr:row>
      <xdr:rowOff>133350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11371259325" y="190499"/>
          <a:ext cx="9591675" cy="485776"/>
        </a:xfrm>
        <a:prstGeom prst="roundRect">
          <a:avLst/>
        </a:prstGeom>
        <a:solidFill>
          <a:schemeClr val="accent6">
            <a:lumMod val="20000"/>
            <a:lumOff val="80000"/>
            <a:alpha val="99000"/>
          </a:scheme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1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إحصائيات القوى الوظيفية لمدارس التعليم  الثانوي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بمديرية ..............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للعام الدراسي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 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25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-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6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م</a:t>
          </a:r>
          <a:endParaRPr kumimoji="0" lang="ar-YE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1</xdr:col>
      <xdr:colOff>0</xdr:colOff>
      <xdr:row>0</xdr:row>
      <xdr:rowOff>181944</xdr:rowOff>
    </xdr:from>
    <xdr:to>
      <xdr:col>4</xdr:col>
      <xdr:colOff>38100</xdr:colOff>
      <xdr:row>0</xdr:row>
      <xdr:rowOff>886794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781DF338-6C4D-4D18-8F84-8578625C05DD}"/>
            </a:ext>
          </a:extLst>
        </xdr:cNvPr>
        <xdr:cNvSpPr txBox="1">
          <a:spLocks noChangeArrowheads="1"/>
        </xdr:cNvSpPr>
      </xdr:nvSpPr>
      <xdr:spPr bwMode="auto">
        <a:xfrm>
          <a:off x="11224212375" y="181944"/>
          <a:ext cx="1524000" cy="7048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1</xdr:col>
      <xdr:colOff>237766</xdr:colOff>
      <xdr:row>0</xdr:row>
      <xdr:rowOff>0</xdr:rowOff>
    </xdr:from>
    <xdr:to>
      <xdr:col>3</xdr:col>
      <xdr:colOff>141079</xdr:colOff>
      <xdr:row>0</xdr:row>
      <xdr:rowOff>181901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D7FA6970-0D77-43A7-B112-2E4B6FBB2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4442771" y="0"/>
          <a:ext cx="1055838" cy="181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63501</xdr:colOff>
      <xdr:row>4</xdr:row>
      <xdr:rowOff>50800</xdr:rowOff>
    </xdr:from>
    <xdr:to>
      <xdr:col>4</xdr:col>
      <xdr:colOff>1311276</xdr:colOff>
      <xdr:row>6</xdr:row>
      <xdr:rowOff>117475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11181340349" y="749300"/>
          <a:ext cx="6042025" cy="415925"/>
        </a:xfrm>
        <a:prstGeom prst="roundRect">
          <a:avLst/>
        </a:prstGeom>
        <a:solidFill>
          <a:schemeClr val="accent6">
            <a:lumMod val="20000"/>
            <a:lumOff val="8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إحصائيات عدد المعلمين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- اساسي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في مديرية ..................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5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-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6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م</a:t>
          </a:r>
          <a:endParaRPr lang="ar-YE" sz="12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1</xdr:col>
      <xdr:colOff>0</xdr:colOff>
      <xdr:row>1</xdr:row>
      <xdr:rowOff>19050</xdr:rowOff>
    </xdr:from>
    <xdr:to>
      <xdr:col>2</xdr:col>
      <xdr:colOff>47625</xdr:colOff>
      <xdr:row>5</xdr:row>
      <xdr:rowOff>0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41727FC9-71BE-46C3-B52A-64F7764FB214}"/>
            </a:ext>
          </a:extLst>
        </xdr:cNvPr>
        <xdr:cNvSpPr txBox="1">
          <a:spLocks noChangeArrowheads="1"/>
        </xdr:cNvSpPr>
      </xdr:nvSpPr>
      <xdr:spPr bwMode="auto">
        <a:xfrm>
          <a:off x="11237547375" y="200025"/>
          <a:ext cx="1524000" cy="7524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1</xdr:col>
      <xdr:colOff>237766</xdr:colOff>
      <xdr:row>0</xdr:row>
      <xdr:rowOff>18081</xdr:rowOff>
    </xdr:from>
    <xdr:to>
      <xdr:col>1</xdr:col>
      <xdr:colOff>1293604</xdr:colOff>
      <xdr:row>1</xdr:row>
      <xdr:rowOff>19007</xdr:rowOff>
    </xdr:to>
    <xdr:pic>
      <xdr:nvPicPr>
        <xdr:cNvPr id="8" name="صورة 15">
          <a:extLst>
            <a:ext uri="{FF2B5EF4-FFF2-40B4-BE49-F238E27FC236}">
              <a16:creationId xmlns:a16="http://schemas.microsoft.com/office/drawing/2014/main" id="{DE102BFA-07BD-40F0-99BA-D69C61B14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7777771" y="18081"/>
          <a:ext cx="1055838" cy="181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355600</xdr:colOff>
      <xdr:row>0</xdr:row>
      <xdr:rowOff>44450</xdr:rowOff>
    </xdr:from>
    <xdr:to>
      <xdr:col>3</xdr:col>
      <xdr:colOff>28861</xdr:colOff>
      <xdr:row>3</xdr:row>
      <xdr:rowOff>139372</xdr:rowOff>
    </xdr:to>
    <xdr:pic>
      <xdr:nvPicPr>
        <xdr:cNvPr id="9" name="صورة 1">
          <a:extLst>
            <a:ext uri="{FF2B5EF4-FFF2-40B4-BE49-F238E27FC236}">
              <a16:creationId xmlns:a16="http://schemas.microsoft.com/office/drawing/2014/main" id="{62A121C9-3285-4202-BA84-37CCDDC51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184099139" y="44450"/>
          <a:ext cx="1149636" cy="618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5</xdr:row>
      <xdr:rowOff>66675</xdr:rowOff>
    </xdr:from>
    <xdr:to>
      <xdr:col>4</xdr:col>
      <xdr:colOff>1295401</xdr:colOff>
      <xdr:row>7</xdr:row>
      <xdr:rowOff>133350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5AD4156C-64B2-4222-A288-8A4868072C6D}"/>
            </a:ext>
          </a:extLst>
        </xdr:cNvPr>
        <xdr:cNvSpPr/>
      </xdr:nvSpPr>
      <xdr:spPr>
        <a:xfrm>
          <a:off x="10484411339" y="66675"/>
          <a:ext cx="5751195" cy="432435"/>
        </a:xfrm>
        <a:prstGeom prst="roundRect">
          <a:avLst/>
        </a:prstGeom>
        <a:solidFill>
          <a:schemeClr val="accent6">
            <a:lumMod val="20000"/>
            <a:lumOff val="8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إحصائيات عدد المعلمين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- 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ثانوي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في مديرية ..................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5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-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6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م</a:t>
          </a:r>
          <a:endParaRPr lang="ar-YE" sz="12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1</xdr:col>
      <xdr:colOff>0</xdr:colOff>
      <xdr:row>1</xdr:row>
      <xdr:rowOff>19050</xdr:rowOff>
    </xdr:from>
    <xdr:to>
      <xdr:col>2</xdr:col>
      <xdr:colOff>47625</xdr:colOff>
      <xdr:row>5</xdr:row>
      <xdr:rowOff>47625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67D4D363-DD9D-4354-B084-7C7629BEDC10}"/>
            </a:ext>
          </a:extLst>
        </xdr:cNvPr>
        <xdr:cNvSpPr txBox="1">
          <a:spLocks noChangeArrowheads="1"/>
        </xdr:cNvSpPr>
      </xdr:nvSpPr>
      <xdr:spPr bwMode="auto">
        <a:xfrm>
          <a:off x="11237547375" y="200025"/>
          <a:ext cx="1524000" cy="7524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1</xdr:col>
      <xdr:colOff>237766</xdr:colOff>
      <xdr:row>0</xdr:row>
      <xdr:rowOff>18081</xdr:rowOff>
    </xdr:from>
    <xdr:to>
      <xdr:col>1</xdr:col>
      <xdr:colOff>1293604</xdr:colOff>
      <xdr:row>1</xdr:row>
      <xdr:rowOff>19007</xdr:rowOff>
    </xdr:to>
    <xdr:pic>
      <xdr:nvPicPr>
        <xdr:cNvPr id="6" name="صورة 15">
          <a:extLst>
            <a:ext uri="{FF2B5EF4-FFF2-40B4-BE49-F238E27FC236}">
              <a16:creationId xmlns:a16="http://schemas.microsoft.com/office/drawing/2014/main" id="{7333731F-BE55-41E5-9AE5-F2B2C2D56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5787146" y="18081"/>
          <a:ext cx="1055838" cy="175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847725</xdr:colOff>
      <xdr:row>0</xdr:row>
      <xdr:rowOff>76200</xdr:rowOff>
    </xdr:from>
    <xdr:to>
      <xdr:col>3</xdr:col>
      <xdr:colOff>520986</xdr:colOff>
      <xdr:row>3</xdr:row>
      <xdr:rowOff>171122</xdr:rowOff>
    </xdr:to>
    <xdr:pic>
      <xdr:nvPicPr>
        <xdr:cNvPr id="7" name="صورة 1">
          <a:extLst>
            <a:ext uri="{FF2B5EF4-FFF2-40B4-BE49-F238E27FC236}">
              <a16:creationId xmlns:a16="http://schemas.microsoft.com/office/drawing/2014/main" id="{3FDC761E-BA7A-484E-840C-5225644FE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35597639" y="76200"/>
          <a:ext cx="1149636" cy="63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981075</xdr:rowOff>
    </xdr:from>
    <xdr:to>
      <xdr:col>4</xdr:col>
      <xdr:colOff>1295401</xdr:colOff>
      <xdr:row>2</xdr:row>
      <xdr:rowOff>133349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DC1339E6-C9D7-498F-A229-252575C87C15}"/>
            </a:ext>
          </a:extLst>
        </xdr:cNvPr>
        <xdr:cNvSpPr/>
      </xdr:nvSpPr>
      <xdr:spPr>
        <a:xfrm>
          <a:off x="11233346849" y="981075"/>
          <a:ext cx="6038850" cy="466724"/>
        </a:xfrm>
        <a:prstGeom prst="roundRect">
          <a:avLst/>
        </a:prstGeom>
        <a:solidFill>
          <a:schemeClr val="accent6">
            <a:lumMod val="20000"/>
            <a:lumOff val="8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إحصائيات باعداد موظفي ادارة التربية بمديرية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..................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5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-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6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م</a:t>
          </a:r>
          <a:endParaRPr lang="ar-YE" sz="12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1</xdr:col>
      <xdr:colOff>0</xdr:colOff>
      <xdr:row>0</xdr:row>
      <xdr:rowOff>181944</xdr:rowOff>
    </xdr:from>
    <xdr:to>
      <xdr:col>2</xdr:col>
      <xdr:colOff>47625</xdr:colOff>
      <xdr:row>0</xdr:row>
      <xdr:rowOff>886794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910F85DE-61AC-48AE-B295-2112480B9595}"/>
            </a:ext>
          </a:extLst>
        </xdr:cNvPr>
        <xdr:cNvSpPr txBox="1">
          <a:spLocks noChangeArrowheads="1"/>
        </xdr:cNvSpPr>
      </xdr:nvSpPr>
      <xdr:spPr bwMode="auto">
        <a:xfrm>
          <a:off x="11237547375" y="181944"/>
          <a:ext cx="1524000" cy="7048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1</xdr:col>
      <xdr:colOff>237766</xdr:colOff>
      <xdr:row>0</xdr:row>
      <xdr:rowOff>0</xdr:rowOff>
    </xdr:from>
    <xdr:to>
      <xdr:col>1</xdr:col>
      <xdr:colOff>1293604</xdr:colOff>
      <xdr:row>0</xdr:row>
      <xdr:rowOff>181901</xdr:rowOff>
    </xdr:to>
    <xdr:pic>
      <xdr:nvPicPr>
        <xdr:cNvPr id="6" name="صورة 15">
          <a:extLst>
            <a:ext uri="{FF2B5EF4-FFF2-40B4-BE49-F238E27FC236}">
              <a16:creationId xmlns:a16="http://schemas.microsoft.com/office/drawing/2014/main" id="{CB88415E-3255-40DE-BD42-DC40BEF40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7777771" y="0"/>
          <a:ext cx="1055838" cy="181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1009650</xdr:colOff>
      <xdr:row>0</xdr:row>
      <xdr:rowOff>76200</xdr:rowOff>
    </xdr:from>
    <xdr:to>
      <xdr:col>3</xdr:col>
      <xdr:colOff>682911</xdr:colOff>
      <xdr:row>0</xdr:row>
      <xdr:rowOff>714047</xdr:rowOff>
    </xdr:to>
    <xdr:pic>
      <xdr:nvPicPr>
        <xdr:cNvPr id="7" name="صورة 1">
          <a:extLst>
            <a:ext uri="{FF2B5EF4-FFF2-40B4-BE49-F238E27FC236}">
              <a16:creationId xmlns:a16="http://schemas.microsoft.com/office/drawing/2014/main" id="{848A1B92-293C-4EBC-9AF5-AB66A8A9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35435714" y="76200"/>
          <a:ext cx="1149636" cy="63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495860</xdr:colOff>
      <xdr:row>1</xdr:row>
      <xdr:rowOff>66675</xdr:rowOff>
    </xdr:from>
    <xdr:to>
      <xdr:col>11</xdr:col>
      <xdr:colOff>280512</xdr:colOff>
      <xdr:row>1</xdr:row>
      <xdr:rowOff>495301</xdr:rowOff>
    </xdr:to>
    <xdr:sp macro="" textlink="">
      <xdr:nvSpPr>
        <xdr:cNvPr id="5" name="مستطيل مستدير الزوايا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11228227638" y="828675"/>
          <a:ext cx="8509552" cy="428626"/>
        </a:xfrm>
        <a:prstGeom prst="roundRect">
          <a:avLst/>
        </a:prstGeom>
        <a:solidFill>
          <a:schemeClr val="accent6">
            <a:lumMod val="40000"/>
            <a:lumOff val="6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4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إحصائيات </a:t>
          </a:r>
          <a:r>
            <a:rPr lang="ar-SA" sz="14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بعدد</a:t>
          </a:r>
          <a:r>
            <a:rPr lang="ar-SA" sz="14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الموجهين في المديرية ....................</a:t>
          </a:r>
          <a:r>
            <a:rPr lang="ar-YE" sz="14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</a:t>
          </a:r>
          <a:r>
            <a:rPr lang="ar-SA" sz="14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</a:t>
          </a:r>
          <a:r>
            <a:rPr lang="ar-YE" sz="14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5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-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6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م</a:t>
          </a:r>
          <a:endParaRPr lang="ar-YE" sz="14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0</xdr:colOff>
      <xdr:row>0</xdr:row>
      <xdr:rowOff>247650</xdr:rowOff>
    </xdr:from>
    <xdr:to>
      <xdr:col>1</xdr:col>
      <xdr:colOff>257175</xdr:colOff>
      <xdr:row>1</xdr:row>
      <xdr:rowOff>104775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FD2B6984-7585-4EB2-9F6A-AB65EF4E78CD}"/>
            </a:ext>
          </a:extLst>
        </xdr:cNvPr>
        <xdr:cNvSpPr txBox="1">
          <a:spLocks noChangeArrowheads="1"/>
        </xdr:cNvSpPr>
      </xdr:nvSpPr>
      <xdr:spPr bwMode="auto">
        <a:xfrm>
          <a:off x="11235728100" y="247650"/>
          <a:ext cx="1504950" cy="61912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0</xdr:col>
      <xdr:colOff>190141</xdr:colOff>
      <xdr:row>0</xdr:row>
      <xdr:rowOff>85725</xdr:rowOff>
    </xdr:from>
    <xdr:to>
      <xdr:col>0</xdr:col>
      <xdr:colOff>1226929</xdr:colOff>
      <xdr:row>0</xdr:row>
      <xdr:rowOff>267626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43FCB687-1985-4A76-85A8-F74311FE7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006121" y="85725"/>
          <a:ext cx="1036788" cy="181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533400</xdr:colOff>
      <xdr:row>0</xdr:row>
      <xdr:rowOff>28575</xdr:rowOff>
    </xdr:from>
    <xdr:to>
      <xdr:col>6</xdr:col>
      <xdr:colOff>111411</xdr:colOff>
      <xdr:row>0</xdr:row>
      <xdr:rowOff>666422</xdr:rowOff>
    </xdr:to>
    <xdr:pic>
      <xdr:nvPicPr>
        <xdr:cNvPr id="6" name="صورة 1">
          <a:extLst>
            <a:ext uri="{FF2B5EF4-FFF2-40B4-BE49-F238E27FC236}">
              <a16:creationId xmlns:a16="http://schemas.microsoft.com/office/drawing/2014/main" id="{ECF2F6C8-BD6F-45B6-A640-FB0B79062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32006714" y="28575"/>
          <a:ext cx="1149636" cy="637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752475</xdr:rowOff>
    </xdr:from>
    <xdr:to>
      <xdr:col>8</xdr:col>
      <xdr:colOff>1314451</xdr:colOff>
      <xdr:row>3</xdr:row>
      <xdr:rowOff>38100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2812E94D-9558-40B2-B27C-A215F197EC1B}"/>
            </a:ext>
          </a:extLst>
        </xdr:cNvPr>
        <xdr:cNvSpPr/>
      </xdr:nvSpPr>
      <xdr:spPr>
        <a:xfrm>
          <a:off x="11230536974" y="752475"/>
          <a:ext cx="5562601" cy="561975"/>
        </a:xfrm>
        <a:prstGeom prst="roundRect">
          <a:avLst/>
        </a:prstGeom>
        <a:solidFill>
          <a:schemeClr val="accent3">
            <a:lumMod val="60000"/>
            <a:lumOff val="4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إحصائيات  المعلمين رياض أطفال</a:t>
          </a:r>
          <a:r>
            <a:rPr lang="ar-SA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حكومي</a:t>
          </a:r>
          <a:r>
            <a:rPr lang="ar-YE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- </a:t>
          </a:r>
          <a:r>
            <a:rPr lang="ar-SA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مديرية</a:t>
          </a:r>
          <a:r>
            <a:rPr lang="ar-SA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.....................</a:t>
          </a:r>
          <a:r>
            <a:rPr lang="ar-YE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</a:t>
          </a:r>
          <a:r>
            <a:rPr lang="ar-SA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lang="ar-YE" sz="105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202</a:t>
          </a:r>
          <a:r>
            <a:rPr lang="ar-SA" sz="105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5/ 2026م</a:t>
          </a:r>
        </a:p>
      </xdr:txBody>
    </xdr:sp>
    <xdr:clientData/>
  </xdr:twoCellAnchor>
  <xdr:twoCellAnchor>
    <xdr:from>
      <xdr:col>2</xdr:col>
      <xdr:colOff>0</xdr:colOff>
      <xdr:row>0</xdr:row>
      <xdr:rowOff>181944</xdr:rowOff>
    </xdr:from>
    <xdr:to>
      <xdr:col>3</xdr:col>
      <xdr:colOff>47625</xdr:colOff>
      <xdr:row>0</xdr:row>
      <xdr:rowOff>886794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73547B6-8F0E-4D46-98B9-8B524FDD76F0}"/>
            </a:ext>
          </a:extLst>
        </xdr:cNvPr>
        <xdr:cNvSpPr txBox="1">
          <a:spLocks noChangeArrowheads="1"/>
        </xdr:cNvSpPr>
      </xdr:nvSpPr>
      <xdr:spPr bwMode="auto">
        <a:xfrm>
          <a:off x="11234242200" y="181944"/>
          <a:ext cx="1524000" cy="7048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2</xdr:col>
      <xdr:colOff>237766</xdr:colOff>
      <xdr:row>0</xdr:row>
      <xdr:rowOff>0</xdr:rowOff>
    </xdr:from>
    <xdr:to>
      <xdr:col>2</xdr:col>
      <xdr:colOff>1293604</xdr:colOff>
      <xdr:row>0</xdr:row>
      <xdr:rowOff>181901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4434AB68-749A-49C0-A590-89895823C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472596" y="0"/>
          <a:ext cx="1055838" cy="181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752475</xdr:rowOff>
    </xdr:from>
    <xdr:to>
      <xdr:col>8</xdr:col>
      <xdr:colOff>1314451</xdr:colOff>
      <xdr:row>3</xdr:row>
      <xdr:rowOff>38100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FFC849B8-BA65-4D1A-8928-FD6829AF3E2E}"/>
            </a:ext>
          </a:extLst>
        </xdr:cNvPr>
        <xdr:cNvSpPr/>
      </xdr:nvSpPr>
      <xdr:spPr>
        <a:xfrm>
          <a:off x="11232641999" y="752475"/>
          <a:ext cx="4562476" cy="561975"/>
        </a:xfrm>
        <a:prstGeom prst="roundRect">
          <a:avLst/>
        </a:prstGeom>
        <a:solidFill>
          <a:schemeClr val="accent3">
            <a:lumMod val="60000"/>
            <a:lumOff val="4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إحصائيات  المعلمين رياض أطفال</a:t>
          </a:r>
          <a:r>
            <a:rPr lang="ar-SA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أهلي</a:t>
          </a:r>
          <a:r>
            <a:rPr lang="ar-YE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- </a:t>
          </a:r>
          <a:r>
            <a:rPr lang="ar-SA" sz="105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مديرية</a:t>
          </a:r>
          <a:r>
            <a:rPr lang="ar-SA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.....................</a:t>
          </a:r>
          <a:r>
            <a:rPr lang="ar-YE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</a:t>
          </a:r>
          <a:r>
            <a:rPr lang="ar-SA" sz="105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lang="ar-YE" sz="105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202</a:t>
          </a:r>
          <a:r>
            <a:rPr lang="ar-SA" sz="105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5/ 2026م</a:t>
          </a:r>
        </a:p>
      </xdr:txBody>
    </xdr:sp>
    <xdr:clientData/>
  </xdr:twoCellAnchor>
  <xdr:twoCellAnchor>
    <xdr:from>
      <xdr:col>2</xdr:col>
      <xdr:colOff>0</xdr:colOff>
      <xdr:row>0</xdr:row>
      <xdr:rowOff>181944</xdr:rowOff>
    </xdr:from>
    <xdr:to>
      <xdr:col>3</xdr:col>
      <xdr:colOff>47625</xdr:colOff>
      <xdr:row>0</xdr:row>
      <xdr:rowOff>886794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AF74C7F-CFE1-40C1-B60C-73585C397958}"/>
            </a:ext>
          </a:extLst>
        </xdr:cNvPr>
        <xdr:cNvSpPr txBox="1">
          <a:spLocks noChangeArrowheads="1"/>
        </xdr:cNvSpPr>
      </xdr:nvSpPr>
      <xdr:spPr bwMode="auto">
        <a:xfrm>
          <a:off x="11236632975" y="181944"/>
          <a:ext cx="1524000" cy="7048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2</xdr:col>
      <xdr:colOff>237766</xdr:colOff>
      <xdr:row>0</xdr:row>
      <xdr:rowOff>0</xdr:rowOff>
    </xdr:from>
    <xdr:to>
      <xdr:col>2</xdr:col>
      <xdr:colOff>1293604</xdr:colOff>
      <xdr:row>0</xdr:row>
      <xdr:rowOff>181901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A7FE326C-674C-439C-9F2A-2C33A7A0A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863371" y="0"/>
          <a:ext cx="1055838" cy="181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102369</xdr:rowOff>
    </xdr:from>
    <xdr:to>
      <xdr:col>7</xdr:col>
      <xdr:colOff>311591</xdr:colOff>
      <xdr:row>6</xdr:row>
      <xdr:rowOff>193139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91982D05-94C2-46B7-A2DC-D97C91CC3806}"/>
            </a:ext>
          </a:extLst>
        </xdr:cNvPr>
        <xdr:cNvSpPr txBox="1">
          <a:spLocks noChangeArrowheads="1"/>
        </xdr:cNvSpPr>
      </xdr:nvSpPr>
      <xdr:spPr bwMode="auto">
        <a:xfrm>
          <a:off x="11220081259" y="283344"/>
          <a:ext cx="2235641" cy="99564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4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400" b="1">
            <a:effectLst/>
          </a:endParaRPr>
        </a:p>
      </xdr:txBody>
    </xdr:sp>
    <xdr:clientData/>
  </xdr:twoCellAnchor>
  <xdr:twoCellAnchor>
    <xdr:from>
      <xdr:col>1</xdr:col>
      <xdr:colOff>199562</xdr:colOff>
      <xdr:row>0</xdr:row>
      <xdr:rowOff>9525</xdr:rowOff>
    </xdr:from>
    <xdr:to>
      <xdr:col>7</xdr:col>
      <xdr:colOff>191167</xdr:colOff>
      <xdr:row>1</xdr:row>
      <xdr:rowOff>99499</xdr:rowOff>
    </xdr:to>
    <xdr:pic>
      <xdr:nvPicPr>
        <xdr:cNvPr id="3" name="صورة 15">
          <a:extLst>
            <a:ext uri="{FF2B5EF4-FFF2-40B4-BE49-F238E27FC236}">
              <a16:creationId xmlns:a16="http://schemas.microsoft.com/office/drawing/2014/main" id="{3096BF67-94BC-4CD0-A0FB-1FB864FAD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0201683" y="9525"/>
          <a:ext cx="1915655" cy="270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457631</xdr:colOff>
      <xdr:row>0</xdr:row>
      <xdr:rowOff>56173</xdr:rowOff>
    </xdr:from>
    <xdr:to>
      <xdr:col>18</xdr:col>
      <xdr:colOff>261918</xdr:colOff>
      <xdr:row>4</xdr:row>
      <xdr:rowOff>152396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DC8BE18A-8459-43F9-AC4C-5F407F103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17054357" y="56173"/>
          <a:ext cx="1309237" cy="820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123825</xdr:rowOff>
    </xdr:from>
    <xdr:to>
      <xdr:col>18</xdr:col>
      <xdr:colOff>428625</xdr:colOff>
      <xdr:row>5</xdr:row>
      <xdr:rowOff>9525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11376860025" y="123825"/>
          <a:ext cx="4114800" cy="695325"/>
        </a:xfrm>
        <a:prstGeom prst="roundRect">
          <a:avLst/>
        </a:prstGeom>
        <a:gradFill>
          <a:gsLst>
            <a:gs pos="0">
              <a:schemeClr val="accent1"/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الطلاب</a:t>
          </a:r>
          <a:r>
            <a:rPr lang="ar-YE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للتعليم </a:t>
          </a:r>
          <a:r>
            <a:rPr lang="ar-SA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الاساسي 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 </a:t>
          </a:r>
          <a:r>
            <a:rPr lang="ar-SA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مديرية ...................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.</a:t>
          </a:r>
          <a:r>
            <a:rPr lang="ar-YE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</a:p>
        <a:p>
          <a:pPr algn="ctr" rtl="1"/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للعام الدراسي  </a:t>
          </a:r>
          <a:r>
            <a:rPr lang="ar-SA" sz="16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  201-     201</a:t>
          </a:r>
          <a:r>
            <a:rPr lang="ar-YE" sz="16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م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0</xdr:row>
      <xdr:rowOff>0</xdr:rowOff>
    </xdr:from>
    <xdr:to>
      <xdr:col>21</xdr:col>
      <xdr:colOff>167640</xdr:colOff>
      <xdr:row>2</xdr:row>
      <xdr:rowOff>149625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10094427360" y="0"/>
          <a:ext cx="7724775" cy="50014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الطلاب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مدارس تحفيظ القرآن الكريم </a:t>
          </a:r>
          <a:r>
            <a:rPr lang="ar-SA" sz="1400" b="1">
              <a:solidFill>
                <a:srgbClr val="FF0000"/>
              </a:solidFill>
              <a:latin typeface="Microsoft Uighur" pitchFamily="2" charset="-78"/>
              <a:cs typeface="PT Bold Heading" pitchFamily="2" charset="-78"/>
            </a:rPr>
            <a:t>(</a:t>
          </a:r>
          <a:r>
            <a:rPr lang="ar-SA" sz="1400" b="1" baseline="0">
              <a:solidFill>
                <a:srgbClr val="FF0000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SA" sz="1400" b="1">
              <a:solidFill>
                <a:srgbClr val="FF0000"/>
              </a:solidFill>
              <a:latin typeface="Microsoft Uighur" pitchFamily="2" charset="-78"/>
              <a:cs typeface="PT Bold Heading" pitchFamily="2" charset="-78"/>
            </a:rPr>
            <a:t>1 - 5  )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مديرية ................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للعام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الدراسي  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  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5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- 202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6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م</a:t>
          </a:r>
          <a:endParaRPr lang="ar-YE" sz="1400" b="1">
            <a:solidFill>
              <a:schemeClr val="tx1"/>
            </a:solidFill>
            <a:latin typeface="Microsoft Uighur" pitchFamily="2" charset="-78"/>
            <a:cs typeface="PT Bold Heading" pitchFamily="2" charset="-78"/>
          </a:endParaRPr>
        </a:p>
      </xdr:txBody>
    </xdr:sp>
    <xdr:clientData/>
  </xdr:twoCellAnchor>
  <xdr:twoCellAnchor>
    <xdr:from>
      <xdr:col>22</xdr:col>
      <xdr:colOff>205740</xdr:colOff>
      <xdr:row>0</xdr:row>
      <xdr:rowOff>0</xdr:rowOff>
    </xdr:from>
    <xdr:to>
      <xdr:col>41</xdr:col>
      <xdr:colOff>342900</xdr:colOff>
      <xdr:row>2</xdr:row>
      <xdr:rowOff>123825</xdr:rowOff>
    </xdr:to>
    <xdr:sp macro="" textlink="">
      <xdr:nvSpPr>
        <xdr:cNvPr id="3" name="مستطيل مستدير الزوايا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10086708300" y="0"/>
          <a:ext cx="7307580" cy="47434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الطلاب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مدارس تحفيظ القرآن الكريم </a:t>
          </a:r>
          <a:r>
            <a:rPr lang="ar-SA" sz="1400" b="1">
              <a:solidFill>
                <a:srgbClr val="FF0000"/>
              </a:solidFill>
              <a:latin typeface="Microsoft Uighur" pitchFamily="2" charset="-78"/>
              <a:cs typeface="PT Bold Heading" pitchFamily="2" charset="-78"/>
            </a:rPr>
            <a:t>( 6 - 9 )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مديرية ..........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للعام الدراسي  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  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5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- 202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6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م</a:t>
          </a:r>
          <a:endParaRPr lang="ar-YE" sz="1400" b="1">
            <a:solidFill>
              <a:schemeClr val="tx1"/>
            </a:solidFill>
            <a:latin typeface="Microsoft Uighur" pitchFamily="2" charset="-78"/>
            <a:cs typeface="PT Bold Heading" pitchFamily="2" charset="-78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206674</xdr:colOff>
      <xdr:row>4</xdr:row>
      <xdr:rowOff>80873</xdr:rowOff>
    </xdr:from>
    <xdr:to>
      <xdr:col>17</xdr:col>
      <xdr:colOff>170731</xdr:colOff>
      <xdr:row>8</xdr:row>
      <xdr:rowOff>68036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11324074811" y="727854"/>
          <a:ext cx="6344010" cy="526314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الطلاب</a:t>
          </a:r>
          <a:r>
            <a:rPr lang="ar-YE" sz="12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SA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مدارس تحفيظ القرآن الكريم تكميلي </a:t>
          </a:r>
          <a:r>
            <a:rPr lang="ar-YE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 </a:t>
          </a:r>
          <a:r>
            <a:rPr lang="ar-SA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مديرية...............</a:t>
          </a:r>
          <a:r>
            <a:rPr lang="ar-YE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للعام الدراسي</a:t>
          </a:r>
          <a:r>
            <a:rPr lang="ar-SA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YE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5</a:t>
          </a:r>
          <a:r>
            <a:rPr lang="ar-YE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- 202</a:t>
          </a:r>
          <a:r>
            <a:rPr lang="ar-SA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6</a:t>
          </a:r>
          <a:r>
            <a:rPr lang="ar-YE" sz="12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م</a:t>
          </a:r>
        </a:p>
      </xdr:txBody>
    </xdr:sp>
    <xdr:clientData/>
  </xdr:twoCellAnchor>
  <xdr:twoCellAnchor>
    <xdr:from>
      <xdr:col>17</xdr:col>
      <xdr:colOff>268309</xdr:colOff>
      <xdr:row>34</xdr:row>
      <xdr:rowOff>134155</xdr:rowOff>
    </xdr:from>
    <xdr:to>
      <xdr:col>17</xdr:col>
      <xdr:colOff>314028</xdr:colOff>
      <xdr:row>64</xdr:row>
      <xdr:rowOff>53662</xdr:rowOff>
    </xdr:to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 txBox="1"/>
      </xdr:nvSpPr>
      <xdr:spPr>
        <a:xfrm flipH="1">
          <a:off x="10750982097" y="6106330"/>
          <a:ext cx="45719" cy="47772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r" rtl="1"/>
          <a:endParaRPr lang="ar-SA" sz="1600" baseline="0"/>
        </a:p>
      </xdr:txBody>
    </xdr:sp>
    <xdr:clientData/>
  </xdr:twoCellAnchor>
  <xdr:twoCellAnchor>
    <xdr:from>
      <xdr:col>1</xdr:col>
      <xdr:colOff>0</xdr:colOff>
      <xdr:row>1</xdr:row>
      <xdr:rowOff>26769</xdr:rowOff>
    </xdr:from>
    <xdr:to>
      <xdr:col>5</xdr:col>
      <xdr:colOff>65760</xdr:colOff>
      <xdr:row>5</xdr:row>
      <xdr:rowOff>77755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 txBox="1">
          <a:spLocks noChangeArrowheads="1"/>
        </xdr:cNvSpPr>
      </xdr:nvSpPr>
      <xdr:spPr bwMode="auto">
        <a:xfrm>
          <a:off x="10818098781" y="191999"/>
          <a:ext cx="1863846" cy="711904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1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200">
            <a:effectLst/>
          </a:endParaRPr>
        </a:p>
        <a:p>
          <a:pPr algn="ctr" rtl="1"/>
          <a:r>
            <a:rPr lang="ar-YE" sz="11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200">
            <a:effectLst/>
          </a:endParaRPr>
        </a:p>
      </xdr:txBody>
    </xdr:sp>
    <xdr:clientData/>
  </xdr:twoCellAnchor>
  <xdr:twoCellAnchor>
    <xdr:from>
      <xdr:col>1</xdr:col>
      <xdr:colOff>396516</xdr:colOff>
      <xdr:row>0</xdr:row>
      <xdr:rowOff>0</xdr:rowOff>
    </xdr:from>
    <xdr:to>
      <xdr:col>4</xdr:col>
      <xdr:colOff>1138</xdr:colOff>
      <xdr:row>1</xdr:row>
      <xdr:rowOff>31168</xdr:rowOff>
    </xdr:to>
    <xdr:pic>
      <xdr:nvPicPr>
        <xdr:cNvPr id="5" name="صورة 15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8513301" y="0"/>
          <a:ext cx="1052810" cy="196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90994</xdr:colOff>
      <xdr:row>0</xdr:row>
      <xdr:rowOff>0</xdr:rowOff>
    </xdr:from>
    <xdr:to>
      <xdr:col>11</xdr:col>
      <xdr:colOff>26958</xdr:colOff>
      <xdr:row>3</xdr:row>
      <xdr:rowOff>116900</xdr:rowOff>
    </xdr:to>
    <xdr:pic>
      <xdr:nvPicPr>
        <xdr:cNvPr id="6" name="صورة 1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326267358" y="0"/>
          <a:ext cx="996294" cy="602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119063</xdr:colOff>
      <xdr:row>2</xdr:row>
      <xdr:rowOff>119062</xdr:rowOff>
    </xdr:from>
    <xdr:to>
      <xdr:col>12</xdr:col>
      <xdr:colOff>425224</xdr:colOff>
      <xdr:row>2</xdr:row>
      <xdr:rowOff>858949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11277387388" y="1046049"/>
          <a:ext cx="4481853" cy="739887"/>
        </a:xfrm>
        <a:prstGeom prst="roundRect">
          <a:avLst/>
        </a:prstGeom>
        <a:solidFill>
          <a:schemeClr val="accent6">
            <a:lumMod val="20000"/>
            <a:lumOff val="80000"/>
            <a:alpha val="99000"/>
          </a:schemeClr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1" anchor="ctr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YE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إحصائيات القوى الوظيفية لمدارس</a:t>
          </a:r>
          <a:r>
            <a:rPr kumimoji="0" lang="ar-SA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تحفيظ القرآن الكريم أولي و تكميلي في مديرية.................</a:t>
          </a:r>
          <a:r>
            <a:rPr kumimoji="0" lang="ar-YE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 للعام الدراسي </a:t>
          </a:r>
          <a:r>
            <a:rPr kumimoji="0" lang="ar-SA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PT Bold Heading" pitchFamily="2" charset="-78"/>
            </a:rPr>
            <a:t>   </a:t>
          </a:r>
          <a:r>
            <a:rPr kumimoji="0" lang="ar-YE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202</a:t>
          </a:r>
          <a:r>
            <a:rPr kumimoji="0" lang="ar-SA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5</a:t>
          </a:r>
          <a:r>
            <a:rPr kumimoji="0" lang="ar-YE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- 202</a:t>
          </a:r>
          <a:r>
            <a:rPr kumimoji="0" lang="ar-SA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6</a:t>
          </a:r>
          <a:r>
            <a:rPr kumimoji="0" lang="ar-YE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م</a:t>
          </a:r>
        </a:p>
      </xdr:txBody>
    </xdr:sp>
    <xdr:clientData/>
  </xdr:twoCellAnchor>
  <xdr:twoCellAnchor>
    <xdr:from>
      <xdr:col>0</xdr:col>
      <xdr:colOff>0</xdr:colOff>
      <xdr:row>0</xdr:row>
      <xdr:rowOff>358865</xdr:rowOff>
    </xdr:from>
    <xdr:to>
      <xdr:col>5</xdr:col>
      <xdr:colOff>85044</xdr:colOff>
      <xdr:row>2</xdr:row>
      <xdr:rowOff>297656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C1CE797F-7E4B-48BF-8642-D0ED2B439380}"/>
            </a:ext>
          </a:extLst>
        </xdr:cNvPr>
        <xdr:cNvSpPr txBox="1">
          <a:spLocks noChangeArrowheads="1"/>
        </xdr:cNvSpPr>
      </xdr:nvSpPr>
      <xdr:spPr bwMode="auto">
        <a:xfrm>
          <a:off x="11280176854" y="358865"/>
          <a:ext cx="1811450" cy="865778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4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400" b="1">
            <a:effectLst/>
          </a:endParaRPr>
        </a:p>
      </xdr:txBody>
    </xdr:sp>
    <xdr:clientData/>
  </xdr:twoCellAnchor>
  <xdr:twoCellAnchor>
    <xdr:from>
      <xdr:col>0</xdr:col>
      <xdr:colOff>216385</xdr:colOff>
      <xdr:row>0</xdr:row>
      <xdr:rowOff>85045</xdr:rowOff>
    </xdr:from>
    <xdr:to>
      <xdr:col>5</xdr:col>
      <xdr:colOff>77463</xdr:colOff>
      <xdr:row>0</xdr:row>
      <xdr:rowOff>320653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DDA36B16-DCC4-407A-AE1D-08827A5D8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0184435" y="85045"/>
          <a:ext cx="1587484" cy="235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34018</xdr:colOff>
      <xdr:row>0</xdr:row>
      <xdr:rowOff>144576</xdr:rowOff>
    </xdr:from>
    <xdr:to>
      <xdr:col>10</xdr:col>
      <xdr:colOff>307695</xdr:colOff>
      <xdr:row>0</xdr:row>
      <xdr:rowOff>697366</xdr:rowOff>
    </xdr:to>
    <xdr:pic>
      <xdr:nvPicPr>
        <xdr:cNvPr id="9" name="صورة 1">
          <a:extLst>
            <a:ext uri="{FF2B5EF4-FFF2-40B4-BE49-F238E27FC236}">
              <a16:creationId xmlns:a16="http://schemas.microsoft.com/office/drawing/2014/main" id="{D4BBA93A-C713-4942-81D2-51AB43CE0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78346858" y="144576"/>
          <a:ext cx="1073097" cy="552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48491</xdr:colOff>
      <xdr:row>5</xdr:row>
      <xdr:rowOff>107950</xdr:rowOff>
    </xdr:from>
    <xdr:to>
      <xdr:col>34</xdr:col>
      <xdr:colOff>124691</xdr:colOff>
      <xdr:row>6</xdr:row>
      <xdr:rowOff>333775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968906564" y="1008495"/>
          <a:ext cx="7474527" cy="40593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بمكونات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المبنى المدرسي</a:t>
          </a:r>
          <a:r>
            <a:rPr lang="ar-SA" sz="1400" b="1">
              <a:solidFill>
                <a:srgbClr val="FF0000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في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مديرية ................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للعام 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الدراسي  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   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 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202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5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-</a:t>
          </a:r>
          <a:r>
            <a:rPr kumimoji="0" lang="ar-SA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2026</a:t>
          </a:r>
          <a:r>
            <a:rPr kumimoji="0" lang="ar-YE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م</a:t>
          </a:r>
          <a:endParaRPr lang="ar-YE" sz="1400" b="1">
            <a:solidFill>
              <a:schemeClr val="tx1"/>
            </a:solidFill>
            <a:latin typeface="Microsoft Uighur" pitchFamily="2" charset="-78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0</xdr:colOff>
      <xdr:row>1</xdr:row>
      <xdr:rowOff>103551</xdr:rowOff>
    </xdr:from>
    <xdr:to>
      <xdr:col>5</xdr:col>
      <xdr:colOff>142875</xdr:colOff>
      <xdr:row>6</xdr:row>
      <xdr:rowOff>15875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1169840500" y="278176"/>
          <a:ext cx="1984375" cy="785449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6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0</xdr:col>
      <xdr:colOff>218612</xdr:colOff>
      <xdr:row>0</xdr:row>
      <xdr:rowOff>0</xdr:rowOff>
    </xdr:from>
    <xdr:to>
      <xdr:col>4</xdr:col>
      <xdr:colOff>177049</xdr:colOff>
      <xdr:row>1</xdr:row>
      <xdr:rowOff>91156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2168426" y="0"/>
          <a:ext cx="1539587" cy="272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75922</xdr:colOff>
      <xdr:row>0</xdr:row>
      <xdr:rowOff>0</xdr:rowOff>
    </xdr:from>
    <xdr:to>
      <xdr:col>15</xdr:col>
      <xdr:colOff>98322</xdr:colOff>
      <xdr:row>4</xdr:row>
      <xdr:rowOff>100950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19208678" y="0"/>
          <a:ext cx="1403525" cy="82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102369</xdr:rowOff>
    </xdr:from>
    <xdr:to>
      <xdr:col>7</xdr:col>
      <xdr:colOff>311591</xdr:colOff>
      <xdr:row>6</xdr:row>
      <xdr:rowOff>193139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2B8E54C-DE05-43BC-B08C-A61B0AC7B4A2}"/>
            </a:ext>
          </a:extLst>
        </xdr:cNvPr>
        <xdr:cNvSpPr txBox="1">
          <a:spLocks noChangeArrowheads="1"/>
        </xdr:cNvSpPr>
      </xdr:nvSpPr>
      <xdr:spPr bwMode="auto">
        <a:xfrm>
          <a:off x="11225196184" y="283344"/>
          <a:ext cx="2588066" cy="99564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4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400" b="1">
            <a:effectLst/>
          </a:endParaRPr>
        </a:p>
      </xdr:txBody>
    </xdr:sp>
    <xdr:clientData/>
  </xdr:twoCellAnchor>
  <xdr:twoCellAnchor>
    <xdr:from>
      <xdr:col>1</xdr:col>
      <xdr:colOff>199562</xdr:colOff>
      <xdr:row>0</xdr:row>
      <xdr:rowOff>9525</xdr:rowOff>
    </xdr:from>
    <xdr:to>
      <xdr:col>7</xdr:col>
      <xdr:colOff>191167</xdr:colOff>
      <xdr:row>1</xdr:row>
      <xdr:rowOff>99499</xdr:rowOff>
    </xdr:to>
    <xdr:pic>
      <xdr:nvPicPr>
        <xdr:cNvPr id="3" name="صورة 15">
          <a:extLst>
            <a:ext uri="{FF2B5EF4-FFF2-40B4-BE49-F238E27FC236}">
              <a16:creationId xmlns:a16="http://schemas.microsoft.com/office/drawing/2014/main" id="{C7699103-5E4D-4414-879B-AF9B92DB3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5316608" y="9525"/>
          <a:ext cx="2268080" cy="270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457631</xdr:colOff>
      <xdr:row>0</xdr:row>
      <xdr:rowOff>56173</xdr:rowOff>
    </xdr:from>
    <xdr:to>
      <xdr:col>18</xdr:col>
      <xdr:colOff>261918</xdr:colOff>
      <xdr:row>4</xdr:row>
      <xdr:rowOff>152396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05ACFBB3-B2E2-43F7-97CD-018D58E0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21178682" y="56173"/>
          <a:ext cx="1775962" cy="820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102369</xdr:rowOff>
    </xdr:from>
    <xdr:to>
      <xdr:col>7</xdr:col>
      <xdr:colOff>311591</xdr:colOff>
      <xdr:row>6</xdr:row>
      <xdr:rowOff>193139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11230462280" y="286724"/>
          <a:ext cx="1868365" cy="828189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/>
          <a:r>
            <a:rPr lang="ar-SA" sz="1400" b="1" i="0" baseline="0">
              <a:effectLst/>
              <a:latin typeface="+mn-lt"/>
              <a:ea typeface="+mn-ea"/>
              <a:cs typeface="+mn-cs"/>
            </a:rPr>
            <a:t>محافظة تعز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مكتب التربية والتعليم </a:t>
          </a:r>
          <a:endParaRPr lang="ar-SA" sz="1400" b="1">
            <a:effectLst/>
          </a:endParaRPr>
        </a:p>
        <a:p>
          <a:pPr algn="ctr" rtl="1"/>
          <a:r>
            <a:rPr lang="ar-YE" sz="1400" b="1" i="0" baseline="0">
              <a:effectLst/>
              <a:latin typeface="+mn-lt"/>
              <a:ea typeface="+mn-ea"/>
              <a:cs typeface="+mn-cs"/>
            </a:rPr>
            <a:t>إدارة التخطيط والاحصاء</a:t>
          </a:r>
          <a:endParaRPr lang="ar-SA" sz="1400" b="1">
            <a:effectLst/>
          </a:endParaRPr>
        </a:p>
      </xdr:txBody>
    </xdr:sp>
    <xdr:clientData/>
  </xdr:twoCellAnchor>
  <xdr:twoCellAnchor>
    <xdr:from>
      <xdr:col>1</xdr:col>
      <xdr:colOff>199562</xdr:colOff>
      <xdr:row>0</xdr:row>
      <xdr:rowOff>9525</xdr:rowOff>
    </xdr:from>
    <xdr:to>
      <xdr:col>7</xdr:col>
      <xdr:colOff>191167</xdr:colOff>
      <xdr:row>1</xdr:row>
      <xdr:rowOff>99499</xdr:rowOff>
    </xdr:to>
    <xdr:pic>
      <xdr:nvPicPr>
        <xdr:cNvPr id="3" name="صورة 15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3811658" y="9525"/>
          <a:ext cx="1534655" cy="270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457631</xdr:colOff>
      <xdr:row>0</xdr:row>
      <xdr:rowOff>56173</xdr:rowOff>
    </xdr:from>
    <xdr:to>
      <xdr:col>18</xdr:col>
      <xdr:colOff>261918</xdr:colOff>
      <xdr:row>4</xdr:row>
      <xdr:rowOff>152396</xdr:rowOff>
    </xdr:to>
    <xdr:pic>
      <xdr:nvPicPr>
        <xdr:cNvPr id="4" name="صورة 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27173082" y="56173"/>
          <a:ext cx="1381545" cy="833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568569</xdr:colOff>
      <xdr:row>5</xdr:row>
      <xdr:rowOff>51289</xdr:rowOff>
    </xdr:from>
    <xdr:to>
      <xdr:col>37</xdr:col>
      <xdr:colOff>4103</xdr:colOff>
      <xdr:row>6</xdr:row>
      <xdr:rowOff>235738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68722993" y="967154"/>
          <a:ext cx="6938304" cy="36762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إحصائيات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بالتجهيزات المدرسية </a:t>
          </a:r>
          <a:r>
            <a:rPr lang="ar-SA" sz="1400" b="1">
              <a:solidFill>
                <a:srgbClr val="FF0000"/>
              </a:solidFill>
              <a:latin typeface="Microsoft Uighur" pitchFamily="2" charset="-78"/>
              <a:cs typeface="PT Bold Heading" pitchFamily="2" charset="-78"/>
            </a:rPr>
            <a:t>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في </a:t>
          </a:r>
          <a:r>
            <a:rPr lang="ar-SA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مديرية ................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ea typeface="+mn-ea"/>
              <a:cs typeface="PT Bold Heading" pitchFamily="2" charset="-78"/>
            </a:rPr>
            <a:t>للعام </a:t>
          </a:r>
          <a:r>
            <a:rPr lang="ar-YE" sz="1400" b="1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الدراسي  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  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5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- 202</a:t>
          </a:r>
          <a:r>
            <a:rPr lang="ar-SA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6</a:t>
          </a:r>
          <a:r>
            <a:rPr lang="ar-YE" sz="1400" b="1" baseline="0">
              <a:solidFill>
                <a:schemeClr val="tx1"/>
              </a:solidFill>
              <a:latin typeface="Microsoft Uighur" pitchFamily="2" charset="-78"/>
              <a:cs typeface="PT Bold Heading" pitchFamily="2" charset="-78"/>
            </a:rPr>
            <a:t> م</a:t>
          </a:r>
          <a:endParaRPr lang="ar-YE" sz="1400" b="1">
            <a:solidFill>
              <a:schemeClr val="tx1"/>
            </a:solidFill>
            <a:latin typeface="Microsoft Uighur" pitchFamily="2" charset="-78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0</xdr:colOff>
      <xdr:row>1</xdr:row>
      <xdr:rowOff>103551</xdr:rowOff>
    </xdr:from>
    <xdr:to>
      <xdr:col>5</xdr:col>
      <xdr:colOff>0</xdr:colOff>
      <xdr:row>6</xdr:row>
      <xdr:rowOff>15875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1221926375" y="284526"/>
          <a:ext cx="2000250" cy="817199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YE" sz="1600" b="1" i="0" u="none" strike="noStrike" baseline="0">
              <a:solidFill>
                <a:srgbClr val="000000"/>
              </a:solidFill>
              <a:latin typeface="AGA Nada Regular"/>
            </a:rPr>
            <a:t>وزارة التربية والتعليم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- تعز</a:t>
          </a:r>
          <a:endParaRPr lang="ar-YE" sz="12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0</xdr:col>
      <xdr:colOff>218612</xdr:colOff>
      <xdr:row>0</xdr:row>
      <xdr:rowOff>0</xdr:rowOff>
    </xdr:from>
    <xdr:to>
      <xdr:col>4</xdr:col>
      <xdr:colOff>177049</xdr:colOff>
      <xdr:row>1</xdr:row>
      <xdr:rowOff>91156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2168426" y="0"/>
          <a:ext cx="1539587" cy="272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149191</xdr:colOff>
      <xdr:row>0</xdr:row>
      <xdr:rowOff>56173</xdr:rowOff>
    </xdr:from>
    <xdr:to>
      <xdr:col>14</xdr:col>
      <xdr:colOff>123967</xdr:colOff>
      <xdr:row>4</xdr:row>
      <xdr:rowOff>157123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71416668" y="56173"/>
          <a:ext cx="1381545" cy="833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</xdr:colOff>
      <xdr:row>1</xdr:row>
      <xdr:rowOff>42537</xdr:rowOff>
    </xdr:from>
    <xdr:to>
      <xdr:col>10</xdr:col>
      <xdr:colOff>571499</xdr:colOff>
      <xdr:row>2</xdr:row>
      <xdr:rowOff>8283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5F786975-CF46-4D25-AE72-50B26F931208}"/>
            </a:ext>
          </a:extLst>
        </xdr:cNvPr>
        <xdr:cNvSpPr/>
      </xdr:nvSpPr>
      <xdr:spPr>
        <a:xfrm>
          <a:off x="11228860576" y="1156962"/>
          <a:ext cx="6418193" cy="575346"/>
        </a:xfrm>
        <a:prstGeom prst="roundRect">
          <a:avLst/>
        </a:prstGeom>
        <a:solidFill>
          <a:schemeClr val="accent6">
            <a:lumMod val="40000"/>
            <a:lumOff val="6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1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إستمارة ببيانات المعلمين النازحين 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(الوافدين )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بمديرية ................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                       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202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5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- 202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6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م</a:t>
          </a:r>
          <a:endParaRPr lang="ar-YE" sz="11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0</xdr:colOff>
      <xdr:row>0</xdr:row>
      <xdr:rowOff>348400</xdr:rowOff>
    </xdr:from>
    <xdr:to>
      <xdr:col>2</xdr:col>
      <xdr:colOff>99391</xdr:colOff>
      <xdr:row>0</xdr:row>
      <xdr:rowOff>1097513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F0C26512-34C4-4D10-8FBF-439A9A6D410B}"/>
            </a:ext>
          </a:extLst>
        </xdr:cNvPr>
        <xdr:cNvSpPr txBox="1">
          <a:spLocks noChangeArrowheads="1"/>
        </xdr:cNvSpPr>
      </xdr:nvSpPr>
      <xdr:spPr bwMode="auto">
        <a:xfrm>
          <a:off x="11233752284" y="348400"/>
          <a:ext cx="1766266" cy="74911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4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27548</xdr:colOff>
      <xdr:row>0</xdr:row>
      <xdr:rowOff>118395</xdr:rowOff>
    </xdr:from>
    <xdr:to>
      <xdr:col>1</xdr:col>
      <xdr:colOff>1292085</xdr:colOff>
      <xdr:row>0</xdr:row>
      <xdr:rowOff>400783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A4E45EAA-9716-4770-BA3B-DF1E855DE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988340" y="118395"/>
          <a:ext cx="1264537" cy="282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190500</xdr:colOff>
      <xdr:row>0</xdr:row>
      <xdr:rowOff>367847</xdr:rowOff>
    </xdr:from>
    <xdr:to>
      <xdr:col>6</xdr:col>
      <xdr:colOff>182217</xdr:colOff>
      <xdr:row>0</xdr:row>
      <xdr:rowOff>1110699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5A15025E-939B-4CC2-BA67-68CE1AD0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31459658" y="367847"/>
          <a:ext cx="1268067" cy="742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612913</xdr:colOff>
      <xdr:row>23</xdr:row>
      <xdr:rowOff>223631</xdr:rowOff>
    </xdr:from>
    <xdr:to>
      <xdr:col>10</xdr:col>
      <xdr:colOff>753719</xdr:colOff>
      <xdr:row>24</xdr:row>
      <xdr:rowOff>107675</xdr:rowOff>
    </xdr:to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C38979B2-872E-485E-9B19-2EEA0AF4F131}"/>
            </a:ext>
          </a:extLst>
        </xdr:cNvPr>
        <xdr:cNvSpPr txBox="1"/>
      </xdr:nvSpPr>
      <xdr:spPr>
        <a:xfrm>
          <a:off x="11228678356" y="7319756"/>
          <a:ext cx="1845781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إدارة التربية والتعليم بالمديرية</a:t>
          </a:r>
          <a:r>
            <a:rPr lang="ar-SA"/>
            <a:t> </a:t>
          </a:r>
          <a:endParaRPr lang="ar-SA" sz="1100"/>
        </a:p>
      </xdr:txBody>
    </xdr:sp>
    <xdr:clientData/>
  </xdr:twoCellAnchor>
  <xdr:twoCellAnchor>
    <xdr:from>
      <xdr:col>3</xdr:col>
      <xdr:colOff>248477</xdr:colOff>
      <xdr:row>23</xdr:row>
      <xdr:rowOff>182216</xdr:rowOff>
    </xdr:from>
    <xdr:to>
      <xdr:col>6</xdr:col>
      <xdr:colOff>140804</xdr:colOff>
      <xdr:row>24</xdr:row>
      <xdr:rowOff>66260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D18231FA-C7FD-48E8-B624-A48661F7F8CD}"/>
            </a:ext>
          </a:extLst>
        </xdr:cNvPr>
        <xdr:cNvSpPr txBox="1"/>
      </xdr:nvSpPr>
      <xdr:spPr>
        <a:xfrm>
          <a:off x="11231501071" y="7278341"/>
          <a:ext cx="1692552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رئيس </a:t>
          </a:r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قسم الإحصاءوالتخطيط</a:t>
          </a:r>
          <a:r>
            <a:rPr lang="ar-SA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ar-SA" sz="1100"/>
        </a:p>
      </xdr:txBody>
    </xdr:sp>
    <xdr:clientData/>
  </xdr:twoCellAnchor>
  <xdr:twoCellAnchor>
    <xdr:from>
      <xdr:col>4</xdr:col>
      <xdr:colOff>193038</xdr:colOff>
      <xdr:row>0</xdr:row>
      <xdr:rowOff>0</xdr:rowOff>
    </xdr:from>
    <xdr:to>
      <xdr:col>6</xdr:col>
      <xdr:colOff>135128</xdr:colOff>
      <xdr:row>0</xdr:row>
      <xdr:rowOff>317938</xdr:rowOff>
    </xdr:to>
    <xdr:pic>
      <xdr:nvPicPr>
        <xdr:cNvPr id="8" name="صورة 7" descr="بسم الله">
          <a:extLst>
            <a:ext uri="{FF2B5EF4-FFF2-40B4-BE49-F238E27FC236}">
              <a16:creationId xmlns:a16="http://schemas.microsoft.com/office/drawing/2014/main" id="{B78B4502-9DF5-4FB8-ACFC-931D06A76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506747" y="0"/>
          <a:ext cx="1218440" cy="317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157369</xdr:colOff>
      <xdr:row>0</xdr:row>
      <xdr:rowOff>86967</xdr:rowOff>
    </xdr:from>
    <xdr:to>
      <xdr:col>10</xdr:col>
      <xdr:colOff>786848</xdr:colOff>
      <xdr:row>0</xdr:row>
      <xdr:rowOff>1115667</xdr:rowOff>
    </xdr:to>
    <xdr:sp macro="" textlink="">
      <xdr:nvSpPr>
        <xdr:cNvPr id="9" name="Text Box 26">
          <a:extLst>
            <a:ext uri="{FF2B5EF4-FFF2-40B4-BE49-F238E27FC236}">
              <a16:creationId xmlns:a16="http://schemas.microsoft.com/office/drawing/2014/main" id="{3378A72E-33B5-4F46-99C2-65B27D2814FE}"/>
            </a:ext>
          </a:extLst>
        </xdr:cNvPr>
        <xdr:cNvSpPr txBox="1">
          <a:spLocks noChangeArrowheads="1"/>
        </xdr:cNvSpPr>
      </xdr:nvSpPr>
      <xdr:spPr bwMode="auto">
        <a:xfrm>
          <a:off x="11228645227" y="86967"/>
          <a:ext cx="1658179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الرقم :...........................</a:t>
          </a:r>
        </a:p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التاريخ:..........................</a:t>
          </a:r>
          <a:endParaRPr lang="ar-YE" sz="900" b="0" i="0" u="none" strike="noStrike" baseline="0">
            <a:solidFill>
              <a:srgbClr val="000000"/>
            </a:solidFill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المدرسة:........................</a:t>
          </a:r>
          <a:endParaRPr lang="ar-YE" sz="900" b="0" i="0" u="none" strike="noStrike" baseline="0">
            <a:solidFill>
              <a:srgbClr val="003366"/>
            </a:solidFill>
            <a:latin typeface="Times New Roman"/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المديرية:.......................</a:t>
          </a:r>
          <a:endParaRPr kumimoji="0" lang="ar-YE" sz="900" b="0" i="0" u="none" strike="noStrike" kern="0" cap="none" spc="0" normalizeH="0" baseline="0" noProof="0">
            <a:ln>
              <a:noFill/>
            </a:ln>
            <a:solidFill>
              <a:srgbClr val="003366"/>
            </a:solidFill>
            <a:effectLst/>
            <a:uLnTx/>
            <a:uFillTx/>
            <a:latin typeface="Times New Roman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24846</xdr:colOff>
      <xdr:row>23</xdr:row>
      <xdr:rowOff>182217</xdr:rowOff>
    </xdr:from>
    <xdr:to>
      <xdr:col>1</xdr:col>
      <xdr:colOff>861391</xdr:colOff>
      <xdr:row>24</xdr:row>
      <xdr:rowOff>66261</xdr:rowOff>
    </xdr:to>
    <xdr:sp macro="" textlink="">
      <xdr:nvSpPr>
        <xdr:cNvPr id="10" name="مربع نص 9">
          <a:extLst>
            <a:ext uri="{FF2B5EF4-FFF2-40B4-BE49-F238E27FC236}">
              <a16:creationId xmlns:a16="http://schemas.microsoft.com/office/drawing/2014/main" id="{350D9DFD-F2EF-42EE-9493-132961A7B640}"/>
            </a:ext>
          </a:extLst>
        </xdr:cNvPr>
        <xdr:cNvSpPr txBox="1"/>
      </xdr:nvSpPr>
      <xdr:spPr>
        <a:xfrm>
          <a:off x="11234419034" y="7278342"/>
          <a:ext cx="1074670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المدرسة</a:t>
          </a:r>
          <a:endParaRPr lang="ar-SA" sz="1100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</xdr:colOff>
      <xdr:row>1</xdr:row>
      <xdr:rowOff>42537</xdr:rowOff>
    </xdr:from>
    <xdr:to>
      <xdr:col>10</xdr:col>
      <xdr:colOff>571499</xdr:colOff>
      <xdr:row>2</xdr:row>
      <xdr:rowOff>8283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11255982392" y="1160689"/>
          <a:ext cx="6433930" cy="578659"/>
        </a:xfrm>
        <a:prstGeom prst="roundRect">
          <a:avLst/>
        </a:prstGeom>
        <a:solidFill>
          <a:schemeClr val="accent6">
            <a:lumMod val="40000"/>
            <a:lumOff val="6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1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إستمارة ببيانات المعلمين النازحين 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(الوافدين )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المدرسة ...............................بمديرية ................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                       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202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5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- 202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6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م</a:t>
          </a:r>
          <a:endParaRPr lang="ar-YE" sz="11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0</xdr:colOff>
      <xdr:row>0</xdr:row>
      <xdr:rowOff>348400</xdr:rowOff>
    </xdr:from>
    <xdr:to>
      <xdr:col>2</xdr:col>
      <xdr:colOff>99391</xdr:colOff>
      <xdr:row>0</xdr:row>
      <xdr:rowOff>1097513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 txBox="1">
          <a:spLocks noChangeArrowheads="1"/>
        </xdr:cNvSpPr>
      </xdr:nvSpPr>
      <xdr:spPr bwMode="auto">
        <a:xfrm>
          <a:off x="11233761809" y="348400"/>
          <a:ext cx="1766266" cy="74911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4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27548</xdr:colOff>
      <xdr:row>0</xdr:row>
      <xdr:rowOff>118395</xdr:rowOff>
    </xdr:from>
    <xdr:to>
      <xdr:col>1</xdr:col>
      <xdr:colOff>1292085</xdr:colOff>
      <xdr:row>0</xdr:row>
      <xdr:rowOff>400783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997865" y="118395"/>
          <a:ext cx="1264537" cy="282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190500</xdr:colOff>
      <xdr:row>0</xdr:row>
      <xdr:rowOff>367847</xdr:rowOff>
    </xdr:from>
    <xdr:to>
      <xdr:col>6</xdr:col>
      <xdr:colOff>182217</xdr:colOff>
      <xdr:row>0</xdr:row>
      <xdr:rowOff>1110699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31459658" y="367847"/>
          <a:ext cx="1268067" cy="742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612913</xdr:colOff>
      <xdr:row>23</xdr:row>
      <xdr:rowOff>223631</xdr:rowOff>
    </xdr:from>
    <xdr:to>
      <xdr:col>10</xdr:col>
      <xdr:colOff>753719</xdr:colOff>
      <xdr:row>24</xdr:row>
      <xdr:rowOff>107675</xdr:rowOff>
    </xdr:to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SpPr txBox="1"/>
      </xdr:nvSpPr>
      <xdr:spPr>
        <a:xfrm>
          <a:off x="11228678356" y="8558006"/>
          <a:ext cx="1845781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إدارة التربية والتعليم بالمديرية</a:t>
          </a:r>
          <a:r>
            <a:rPr lang="ar-SA"/>
            <a:t> </a:t>
          </a:r>
          <a:endParaRPr lang="ar-SA" sz="1100"/>
        </a:p>
      </xdr:txBody>
    </xdr:sp>
    <xdr:clientData/>
  </xdr:twoCellAnchor>
  <xdr:twoCellAnchor>
    <xdr:from>
      <xdr:col>3</xdr:col>
      <xdr:colOff>248477</xdr:colOff>
      <xdr:row>23</xdr:row>
      <xdr:rowOff>182216</xdr:rowOff>
    </xdr:from>
    <xdr:to>
      <xdr:col>6</xdr:col>
      <xdr:colOff>140804</xdr:colOff>
      <xdr:row>24</xdr:row>
      <xdr:rowOff>66260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SpPr txBox="1"/>
      </xdr:nvSpPr>
      <xdr:spPr>
        <a:xfrm>
          <a:off x="11231501071" y="8516591"/>
          <a:ext cx="1692552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رئيس </a:t>
          </a:r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قسم الإحصاءوالتخطيط</a:t>
          </a:r>
          <a:r>
            <a:rPr lang="ar-SA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ar-SA" sz="1100"/>
        </a:p>
      </xdr:txBody>
    </xdr:sp>
    <xdr:clientData/>
  </xdr:twoCellAnchor>
  <xdr:twoCellAnchor>
    <xdr:from>
      <xdr:col>4</xdr:col>
      <xdr:colOff>193038</xdr:colOff>
      <xdr:row>0</xdr:row>
      <xdr:rowOff>0</xdr:rowOff>
    </xdr:from>
    <xdr:to>
      <xdr:col>6</xdr:col>
      <xdr:colOff>135128</xdr:colOff>
      <xdr:row>0</xdr:row>
      <xdr:rowOff>317938</xdr:rowOff>
    </xdr:to>
    <xdr:pic>
      <xdr:nvPicPr>
        <xdr:cNvPr id="8" name="صورة 7" descr="بسم الله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506747" y="0"/>
          <a:ext cx="1218440" cy="317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157369</xdr:colOff>
      <xdr:row>0</xdr:row>
      <xdr:rowOff>86967</xdr:rowOff>
    </xdr:from>
    <xdr:to>
      <xdr:col>10</xdr:col>
      <xdr:colOff>786848</xdr:colOff>
      <xdr:row>0</xdr:row>
      <xdr:rowOff>1115667</xdr:rowOff>
    </xdr:to>
    <xdr:sp macro="" textlink="">
      <xdr:nvSpPr>
        <xdr:cNvPr id="9" name="Text Box 26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SpPr txBox="1">
          <a:spLocks noChangeArrowheads="1"/>
        </xdr:cNvSpPr>
      </xdr:nvSpPr>
      <xdr:spPr bwMode="auto">
        <a:xfrm>
          <a:off x="11228645227" y="86967"/>
          <a:ext cx="1658179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الرقم :...........................</a:t>
          </a:r>
        </a:p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التاريخ:..........................</a:t>
          </a:r>
          <a:endParaRPr lang="ar-YE" sz="900" b="0" i="0" u="none" strike="noStrike" baseline="0">
            <a:solidFill>
              <a:srgbClr val="000000"/>
            </a:solidFill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المدرسة:........................</a:t>
          </a:r>
          <a:endParaRPr lang="ar-YE" sz="900" b="0" i="0" u="none" strike="noStrike" baseline="0">
            <a:solidFill>
              <a:srgbClr val="003366"/>
            </a:solidFill>
            <a:latin typeface="Times New Roman"/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المديرية:.......................</a:t>
          </a:r>
          <a:endParaRPr kumimoji="0" lang="ar-YE" sz="900" b="0" i="0" u="none" strike="noStrike" kern="0" cap="none" spc="0" normalizeH="0" baseline="0" noProof="0">
            <a:ln>
              <a:noFill/>
            </a:ln>
            <a:solidFill>
              <a:srgbClr val="003366"/>
            </a:solidFill>
            <a:effectLst/>
            <a:uLnTx/>
            <a:uFillTx/>
            <a:latin typeface="Times New Roman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24846</xdr:colOff>
      <xdr:row>23</xdr:row>
      <xdr:rowOff>182217</xdr:rowOff>
    </xdr:from>
    <xdr:to>
      <xdr:col>1</xdr:col>
      <xdr:colOff>861391</xdr:colOff>
      <xdr:row>24</xdr:row>
      <xdr:rowOff>66261</xdr:rowOff>
    </xdr:to>
    <xdr:sp macro="" textlink="">
      <xdr:nvSpPr>
        <xdr:cNvPr id="10" name="مربع نص 9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SpPr txBox="1"/>
      </xdr:nvSpPr>
      <xdr:spPr>
        <a:xfrm>
          <a:off x="11234428559" y="8516592"/>
          <a:ext cx="1074670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المدرسة</a:t>
          </a:r>
          <a:endParaRPr lang="ar-SA" sz="1100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</xdr:colOff>
      <xdr:row>1</xdr:row>
      <xdr:rowOff>42537</xdr:rowOff>
    </xdr:from>
    <xdr:to>
      <xdr:col>11</xdr:col>
      <xdr:colOff>571499</xdr:colOff>
      <xdr:row>2</xdr:row>
      <xdr:rowOff>8283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7BA190F4-D3CD-43E1-9F06-6FA5D65A5B46}"/>
            </a:ext>
          </a:extLst>
        </xdr:cNvPr>
        <xdr:cNvSpPr/>
      </xdr:nvSpPr>
      <xdr:spPr>
        <a:xfrm>
          <a:off x="11228860576" y="1156962"/>
          <a:ext cx="6418193" cy="575346"/>
        </a:xfrm>
        <a:prstGeom prst="roundRect">
          <a:avLst/>
        </a:prstGeom>
        <a:solidFill>
          <a:schemeClr val="accent6">
            <a:lumMod val="40000"/>
            <a:lumOff val="6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1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إستمارة ببيانات المعلمين النازحين </a:t>
          </a:r>
          <a:r>
            <a:rPr lang="ar-SA" sz="11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خارج المدرسة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بمديرية ................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للعام الدراسي 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202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5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- 202</a:t>
          </a:r>
          <a:r>
            <a:rPr lang="ar-SA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6</a:t>
          </a:r>
          <a:r>
            <a:rPr lang="ar-YE" sz="11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م</a:t>
          </a:r>
          <a:endParaRPr lang="ar-YE" sz="11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0</xdr:colOff>
      <xdr:row>0</xdr:row>
      <xdr:rowOff>348400</xdr:rowOff>
    </xdr:from>
    <xdr:to>
      <xdr:col>2</xdr:col>
      <xdr:colOff>99391</xdr:colOff>
      <xdr:row>0</xdr:row>
      <xdr:rowOff>1097513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BB96C2FA-67AF-4944-8FEE-CA56FB707D89}"/>
            </a:ext>
          </a:extLst>
        </xdr:cNvPr>
        <xdr:cNvSpPr txBox="1">
          <a:spLocks noChangeArrowheads="1"/>
        </xdr:cNvSpPr>
      </xdr:nvSpPr>
      <xdr:spPr bwMode="auto">
        <a:xfrm>
          <a:off x="11233752284" y="348400"/>
          <a:ext cx="1766266" cy="74911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4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27548</xdr:colOff>
      <xdr:row>0</xdr:row>
      <xdr:rowOff>118395</xdr:rowOff>
    </xdr:from>
    <xdr:to>
      <xdr:col>1</xdr:col>
      <xdr:colOff>1292085</xdr:colOff>
      <xdr:row>0</xdr:row>
      <xdr:rowOff>400783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12F55088-0D24-4946-9F16-10BA0C2F6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988340" y="118395"/>
          <a:ext cx="1264537" cy="282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190500</xdr:colOff>
      <xdr:row>0</xdr:row>
      <xdr:rowOff>367847</xdr:rowOff>
    </xdr:from>
    <xdr:to>
      <xdr:col>6</xdr:col>
      <xdr:colOff>182217</xdr:colOff>
      <xdr:row>0</xdr:row>
      <xdr:rowOff>1110699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729895B3-DDFB-4941-A8E6-E0C680F25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31459658" y="367847"/>
          <a:ext cx="1268067" cy="742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612913</xdr:colOff>
      <xdr:row>23</xdr:row>
      <xdr:rowOff>223631</xdr:rowOff>
    </xdr:from>
    <xdr:to>
      <xdr:col>11</xdr:col>
      <xdr:colOff>753719</xdr:colOff>
      <xdr:row>24</xdr:row>
      <xdr:rowOff>107675</xdr:rowOff>
    </xdr:to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82A57941-2668-40E2-A711-CDEEA6EDD1FB}"/>
            </a:ext>
          </a:extLst>
        </xdr:cNvPr>
        <xdr:cNvSpPr txBox="1"/>
      </xdr:nvSpPr>
      <xdr:spPr>
        <a:xfrm>
          <a:off x="11228678356" y="7319756"/>
          <a:ext cx="1845781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إدارة التربية والتعليم بالمديرية</a:t>
          </a:r>
          <a:r>
            <a:rPr lang="ar-SA"/>
            <a:t> </a:t>
          </a:r>
          <a:endParaRPr lang="ar-SA" sz="1100"/>
        </a:p>
      </xdr:txBody>
    </xdr:sp>
    <xdr:clientData/>
  </xdr:twoCellAnchor>
  <xdr:twoCellAnchor>
    <xdr:from>
      <xdr:col>3</xdr:col>
      <xdr:colOff>248477</xdr:colOff>
      <xdr:row>23</xdr:row>
      <xdr:rowOff>182216</xdr:rowOff>
    </xdr:from>
    <xdr:to>
      <xdr:col>6</xdr:col>
      <xdr:colOff>140804</xdr:colOff>
      <xdr:row>24</xdr:row>
      <xdr:rowOff>66260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372B3EBC-1DAF-4C03-B620-59732495303F}"/>
            </a:ext>
          </a:extLst>
        </xdr:cNvPr>
        <xdr:cNvSpPr txBox="1"/>
      </xdr:nvSpPr>
      <xdr:spPr>
        <a:xfrm>
          <a:off x="11231501071" y="7278341"/>
          <a:ext cx="1692552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رئيس </a:t>
          </a:r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قسم الإحصاءوالتخطيط</a:t>
          </a:r>
          <a:r>
            <a:rPr lang="ar-SA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ar-SA" sz="1100"/>
        </a:p>
      </xdr:txBody>
    </xdr:sp>
    <xdr:clientData/>
  </xdr:twoCellAnchor>
  <xdr:twoCellAnchor>
    <xdr:from>
      <xdr:col>4</xdr:col>
      <xdr:colOff>193038</xdr:colOff>
      <xdr:row>0</xdr:row>
      <xdr:rowOff>0</xdr:rowOff>
    </xdr:from>
    <xdr:to>
      <xdr:col>6</xdr:col>
      <xdr:colOff>135128</xdr:colOff>
      <xdr:row>0</xdr:row>
      <xdr:rowOff>317938</xdr:rowOff>
    </xdr:to>
    <xdr:pic>
      <xdr:nvPicPr>
        <xdr:cNvPr id="8" name="صورة 7" descr="بسم الله">
          <a:extLst>
            <a:ext uri="{FF2B5EF4-FFF2-40B4-BE49-F238E27FC236}">
              <a16:creationId xmlns:a16="http://schemas.microsoft.com/office/drawing/2014/main" id="{D5AC19F5-DFD2-475C-9BFF-7DF2ACFB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506747" y="0"/>
          <a:ext cx="1218440" cy="317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157369</xdr:colOff>
      <xdr:row>0</xdr:row>
      <xdr:rowOff>86967</xdr:rowOff>
    </xdr:from>
    <xdr:to>
      <xdr:col>11</xdr:col>
      <xdr:colOff>786848</xdr:colOff>
      <xdr:row>0</xdr:row>
      <xdr:rowOff>1115667</xdr:rowOff>
    </xdr:to>
    <xdr:sp macro="" textlink="">
      <xdr:nvSpPr>
        <xdr:cNvPr id="9" name="Text Box 26">
          <a:extLst>
            <a:ext uri="{FF2B5EF4-FFF2-40B4-BE49-F238E27FC236}">
              <a16:creationId xmlns:a16="http://schemas.microsoft.com/office/drawing/2014/main" id="{2F4D202F-B9FB-4297-9284-268D8B65CA0B}"/>
            </a:ext>
          </a:extLst>
        </xdr:cNvPr>
        <xdr:cNvSpPr txBox="1">
          <a:spLocks noChangeArrowheads="1"/>
        </xdr:cNvSpPr>
      </xdr:nvSpPr>
      <xdr:spPr bwMode="auto">
        <a:xfrm>
          <a:off x="11228645227" y="86967"/>
          <a:ext cx="1658179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الرقم :...........................</a:t>
          </a:r>
        </a:p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التاريخ:..........................</a:t>
          </a:r>
          <a:endParaRPr lang="ar-YE" sz="900" b="0" i="0" u="none" strike="noStrike" baseline="0">
            <a:solidFill>
              <a:srgbClr val="000000"/>
            </a:solidFill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المدرسة:........................</a:t>
          </a:r>
          <a:endParaRPr lang="ar-YE" sz="900" b="0" i="0" u="none" strike="noStrike" baseline="0">
            <a:solidFill>
              <a:srgbClr val="003366"/>
            </a:solidFill>
            <a:latin typeface="Times New Roman"/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المديرية:.......................</a:t>
          </a:r>
          <a:endParaRPr kumimoji="0" lang="ar-YE" sz="900" b="0" i="0" u="none" strike="noStrike" kern="0" cap="none" spc="0" normalizeH="0" baseline="0" noProof="0">
            <a:ln>
              <a:noFill/>
            </a:ln>
            <a:solidFill>
              <a:srgbClr val="003366"/>
            </a:solidFill>
            <a:effectLst/>
            <a:uLnTx/>
            <a:uFillTx/>
            <a:latin typeface="Times New Roman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24846</xdr:colOff>
      <xdr:row>23</xdr:row>
      <xdr:rowOff>182217</xdr:rowOff>
    </xdr:from>
    <xdr:to>
      <xdr:col>1</xdr:col>
      <xdr:colOff>861391</xdr:colOff>
      <xdr:row>24</xdr:row>
      <xdr:rowOff>66261</xdr:rowOff>
    </xdr:to>
    <xdr:sp macro="" textlink="">
      <xdr:nvSpPr>
        <xdr:cNvPr id="10" name="مربع نص 9">
          <a:extLst>
            <a:ext uri="{FF2B5EF4-FFF2-40B4-BE49-F238E27FC236}">
              <a16:creationId xmlns:a16="http://schemas.microsoft.com/office/drawing/2014/main" id="{981D8772-BE26-45F8-AFAB-B25B71EE211E}"/>
            </a:ext>
          </a:extLst>
        </xdr:cNvPr>
        <xdr:cNvSpPr txBox="1"/>
      </xdr:nvSpPr>
      <xdr:spPr>
        <a:xfrm>
          <a:off x="11234419034" y="7278342"/>
          <a:ext cx="1074670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المدرسة</a:t>
          </a:r>
          <a:endParaRPr lang="ar-SA" sz="1100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33130</xdr:rowOff>
    </xdr:from>
    <xdr:to>
      <xdr:col>10</xdr:col>
      <xdr:colOff>646043</xdr:colOff>
      <xdr:row>1</xdr:row>
      <xdr:rowOff>770283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11E67F7D-A270-4C20-B1B1-48E86B696313}"/>
            </a:ext>
          </a:extLst>
        </xdr:cNvPr>
        <xdr:cNvSpPr/>
      </xdr:nvSpPr>
      <xdr:spPr>
        <a:xfrm>
          <a:off x="11255750478" y="1151282"/>
          <a:ext cx="6940826" cy="737153"/>
        </a:xfrm>
        <a:prstGeom prst="roundRect">
          <a:avLst/>
        </a:prstGeom>
        <a:solidFill>
          <a:schemeClr val="accent6">
            <a:lumMod val="40000"/>
            <a:lumOff val="6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إستمارة ببيانات المعلمين المتطوعين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/ المتعاقدين 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للعام الدراسي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2025/2026 م -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مدرسة .................                  مديرية ................  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 </a:t>
          </a:r>
          <a:endParaRPr lang="ar-YE" sz="12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0</xdr:colOff>
      <xdr:row>0</xdr:row>
      <xdr:rowOff>348400</xdr:rowOff>
    </xdr:from>
    <xdr:to>
      <xdr:col>2</xdr:col>
      <xdr:colOff>99391</xdr:colOff>
      <xdr:row>0</xdr:row>
      <xdr:rowOff>1097513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E039B84F-701A-4A16-A90E-C858F51D0B69}"/>
            </a:ext>
          </a:extLst>
        </xdr:cNvPr>
        <xdr:cNvSpPr txBox="1">
          <a:spLocks noChangeArrowheads="1"/>
        </xdr:cNvSpPr>
      </xdr:nvSpPr>
      <xdr:spPr bwMode="auto">
        <a:xfrm>
          <a:off x="11233799909" y="348400"/>
          <a:ext cx="1766266" cy="74911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4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27548</xdr:colOff>
      <xdr:row>0</xdr:row>
      <xdr:rowOff>118395</xdr:rowOff>
    </xdr:from>
    <xdr:to>
      <xdr:col>1</xdr:col>
      <xdr:colOff>1292085</xdr:colOff>
      <xdr:row>0</xdr:row>
      <xdr:rowOff>400783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F94C6974-73E5-47F7-846D-3B8F415AF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35965" y="118395"/>
          <a:ext cx="1264537" cy="282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190500</xdr:colOff>
      <xdr:row>0</xdr:row>
      <xdr:rowOff>367847</xdr:rowOff>
    </xdr:from>
    <xdr:to>
      <xdr:col>6</xdr:col>
      <xdr:colOff>182217</xdr:colOff>
      <xdr:row>0</xdr:row>
      <xdr:rowOff>1110699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CB699F72-3928-4D2C-9639-C60F2A247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31716833" y="367847"/>
          <a:ext cx="1058517" cy="742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612913</xdr:colOff>
      <xdr:row>23</xdr:row>
      <xdr:rowOff>223631</xdr:rowOff>
    </xdr:from>
    <xdr:to>
      <xdr:col>10</xdr:col>
      <xdr:colOff>753719</xdr:colOff>
      <xdr:row>24</xdr:row>
      <xdr:rowOff>107675</xdr:rowOff>
    </xdr:to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62CF71BF-B34B-4172-9862-C75C442396B5}"/>
            </a:ext>
          </a:extLst>
        </xdr:cNvPr>
        <xdr:cNvSpPr txBox="1"/>
      </xdr:nvSpPr>
      <xdr:spPr>
        <a:xfrm>
          <a:off x="11228602156" y="7453106"/>
          <a:ext cx="2179156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إدارة التربية والتعليم بالمديرية</a:t>
          </a:r>
          <a:r>
            <a:rPr lang="ar-SA"/>
            <a:t> </a:t>
          </a:r>
          <a:endParaRPr lang="ar-SA" sz="1100"/>
        </a:p>
      </xdr:txBody>
    </xdr:sp>
    <xdr:clientData/>
  </xdr:twoCellAnchor>
  <xdr:twoCellAnchor>
    <xdr:from>
      <xdr:col>3</xdr:col>
      <xdr:colOff>248477</xdr:colOff>
      <xdr:row>23</xdr:row>
      <xdr:rowOff>182216</xdr:rowOff>
    </xdr:from>
    <xdr:to>
      <xdr:col>6</xdr:col>
      <xdr:colOff>323022</xdr:colOff>
      <xdr:row>24</xdr:row>
      <xdr:rowOff>66260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533DF0BA-F70B-4A72-9302-41984ECD754C}"/>
            </a:ext>
          </a:extLst>
        </xdr:cNvPr>
        <xdr:cNvSpPr txBox="1"/>
      </xdr:nvSpPr>
      <xdr:spPr>
        <a:xfrm>
          <a:off x="11231576028" y="7411691"/>
          <a:ext cx="1665220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رئيس </a:t>
          </a:r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قسم الإحصاء والتخطيط </a:t>
          </a:r>
          <a:endParaRPr lang="ar-SA" sz="1100"/>
        </a:p>
      </xdr:txBody>
    </xdr:sp>
    <xdr:clientData/>
  </xdr:twoCellAnchor>
  <xdr:twoCellAnchor>
    <xdr:from>
      <xdr:col>4</xdr:col>
      <xdr:colOff>193038</xdr:colOff>
      <xdr:row>0</xdr:row>
      <xdr:rowOff>0</xdr:rowOff>
    </xdr:from>
    <xdr:to>
      <xdr:col>6</xdr:col>
      <xdr:colOff>135128</xdr:colOff>
      <xdr:row>0</xdr:row>
      <xdr:rowOff>317938</xdr:rowOff>
    </xdr:to>
    <xdr:pic>
      <xdr:nvPicPr>
        <xdr:cNvPr id="8" name="صورة 7" descr="بسم الله">
          <a:extLst>
            <a:ext uri="{FF2B5EF4-FFF2-40B4-BE49-F238E27FC236}">
              <a16:creationId xmlns:a16="http://schemas.microsoft.com/office/drawing/2014/main" id="{AC721212-DB6E-4740-9DCE-6F65560FC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763922" y="0"/>
          <a:ext cx="1008890" cy="317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157369</xdr:colOff>
      <xdr:row>0</xdr:row>
      <xdr:rowOff>86967</xdr:rowOff>
    </xdr:from>
    <xdr:to>
      <xdr:col>10</xdr:col>
      <xdr:colOff>786848</xdr:colOff>
      <xdr:row>0</xdr:row>
      <xdr:rowOff>1115667</xdr:rowOff>
    </xdr:to>
    <xdr:sp macro="" textlink="">
      <xdr:nvSpPr>
        <xdr:cNvPr id="9" name="Text Box 26">
          <a:extLst>
            <a:ext uri="{FF2B5EF4-FFF2-40B4-BE49-F238E27FC236}">
              <a16:creationId xmlns:a16="http://schemas.microsoft.com/office/drawing/2014/main" id="{5C0B56B3-6F89-48A5-B6D1-61EF97DCEF53}"/>
            </a:ext>
          </a:extLst>
        </xdr:cNvPr>
        <xdr:cNvSpPr txBox="1">
          <a:spLocks noChangeArrowheads="1"/>
        </xdr:cNvSpPr>
      </xdr:nvSpPr>
      <xdr:spPr bwMode="auto">
        <a:xfrm>
          <a:off x="11228607127" y="86967"/>
          <a:ext cx="1810579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الرقم :...........................</a:t>
          </a:r>
        </a:p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التاريخ:..........................</a:t>
          </a:r>
          <a:endParaRPr lang="ar-YE" sz="900" b="0" i="0" u="none" strike="noStrike" baseline="0">
            <a:solidFill>
              <a:srgbClr val="000000"/>
            </a:solidFill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المدرسة:........................</a:t>
          </a:r>
          <a:endParaRPr lang="ar-YE" sz="900" b="0" i="0" u="none" strike="noStrike" baseline="0">
            <a:solidFill>
              <a:srgbClr val="003366"/>
            </a:solidFill>
            <a:latin typeface="Times New Roman"/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المديرية:.......................</a:t>
          </a:r>
          <a:endParaRPr kumimoji="0" lang="ar-YE" sz="900" b="0" i="0" u="none" strike="noStrike" kern="0" cap="none" spc="0" normalizeH="0" baseline="0" noProof="0">
            <a:ln>
              <a:noFill/>
            </a:ln>
            <a:solidFill>
              <a:srgbClr val="003366"/>
            </a:solidFill>
            <a:effectLst/>
            <a:uLnTx/>
            <a:uFillTx/>
            <a:latin typeface="Times New Roman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24846</xdr:colOff>
      <xdr:row>23</xdr:row>
      <xdr:rowOff>182217</xdr:rowOff>
    </xdr:from>
    <xdr:to>
      <xdr:col>1</xdr:col>
      <xdr:colOff>861391</xdr:colOff>
      <xdr:row>24</xdr:row>
      <xdr:rowOff>66261</xdr:rowOff>
    </xdr:to>
    <xdr:sp macro="" textlink="">
      <xdr:nvSpPr>
        <xdr:cNvPr id="10" name="مربع نص 9">
          <a:extLst>
            <a:ext uri="{FF2B5EF4-FFF2-40B4-BE49-F238E27FC236}">
              <a16:creationId xmlns:a16="http://schemas.microsoft.com/office/drawing/2014/main" id="{60DF46CF-106F-47E2-8D11-6839F6B36BAE}"/>
            </a:ext>
          </a:extLst>
        </xdr:cNvPr>
        <xdr:cNvSpPr txBox="1"/>
      </xdr:nvSpPr>
      <xdr:spPr>
        <a:xfrm>
          <a:off x="11234466659" y="7411692"/>
          <a:ext cx="1074670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المدرسة</a:t>
          </a:r>
          <a:endParaRPr lang="ar-SA" sz="110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42537</xdr:rowOff>
    </xdr:from>
    <xdr:to>
      <xdr:col>10</xdr:col>
      <xdr:colOff>583095</xdr:colOff>
      <xdr:row>1</xdr:row>
      <xdr:rowOff>538370</xdr:rowOff>
    </xdr:to>
    <xdr:sp macro="" textlink="">
      <xdr:nvSpPr>
        <xdr:cNvPr id="2" name="مستطيل مستدير الزوايا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/>
      </xdr:nvSpPr>
      <xdr:spPr>
        <a:xfrm>
          <a:off x="10089482974" y="1155720"/>
          <a:ext cx="6215269" cy="495833"/>
        </a:xfrm>
        <a:prstGeom prst="roundRect">
          <a:avLst/>
        </a:prstGeom>
        <a:solidFill>
          <a:schemeClr val="accent6">
            <a:lumMod val="40000"/>
            <a:lumOff val="60000"/>
            <a:alpha val="91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إستمارة ببيانات المعلمين المتطوعين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/ المتعاقدين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 للعام الدراسي 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20</a:t>
          </a:r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2</a:t>
          </a:r>
          <a:r>
            <a:rPr lang="ar-SA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5</a:t>
          </a:r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 - 202</a:t>
          </a:r>
          <a:r>
            <a:rPr lang="ar-SA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6</a:t>
          </a:r>
          <a:r>
            <a:rPr lang="ar-YE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 م</a:t>
          </a:r>
          <a:r>
            <a:rPr lang="ar-SA" sz="1200" b="1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 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cs typeface="PT Bold Heading" pitchFamily="2" charset="-78"/>
            </a:rPr>
            <a:t>-</a:t>
          </a:r>
          <a:r>
            <a:rPr lang="ar-SA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مديرية ................  </a:t>
          </a:r>
          <a:r>
            <a:rPr lang="ar-YE" sz="1200" b="1" baseline="0">
              <a:solidFill>
                <a:schemeClr val="tx2">
                  <a:lumMod val="75000"/>
                </a:schemeClr>
              </a:solidFill>
              <a:latin typeface="Arial Rounded MT Bold" pitchFamily="34" charset="0"/>
              <a:ea typeface="+mn-ea"/>
              <a:cs typeface="PT Bold Heading" pitchFamily="2" charset="-78"/>
            </a:rPr>
            <a:t> </a:t>
          </a:r>
          <a:endParaRPr lang="ar-YE" sz="1200" b="1">
            <a:solidFill>
              <a:schemeClr val="tx2">
                <a:lumMod val="75000"/>
              </a:schemeClr>
            </a:solidFill>
            <a:latin typeface="Arial Rounded MT Bold" pitchFamily="34" charset="0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0</xdr:colOff>
      <xdr:row>0</xdr:row>
      <xdr:rowOff>348400</xdr:rowOff>
    </xdr:from>
    <xdr:to>
      <xdr:col>2</xdr:col>
      <xdr:colOff>99391</xdr:colOff>
      <xdr:row>0</xdr:row>
      <xdr:rowOff>1097513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 txBox="1">
          <a:spLocks noChangeArrowheads="1"/>
        </xdr:cNvSpPr>
      </xdr:nvSpPr>
      <xdr:spPr bwMode="auto">
        <a:xfrm>
          <a:off x="11233809434" y="348400"/>
          <a:ext cx="1766266" cy="74911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SA" sz="1400" b="1" i="0" u="none" strike="noStrike" baseline="0">
              <a:solidFill>
                <a:srgbClr val="000000"/>
              </a:solidFill>
              <a:latin typeface="AGA Nada Regular"/>
            </a:rPr>
            <a:t>محافظة تعز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مكتب التربية والتعليم </a:t>
          </a:r>
          <a:endParaRPr lang="ar-YE" sz="1400" b="0" i="0" u="none" strike="noStrike" baseline="0">
            <a:solidFill>
              <a:srgbClr val="000000"/>
            </a:solidFill>
            <a:latin typeface="Calibri"/>
          </a:endParaRPr>
        </a:p>
        <a:p>
          <a:pPr algn="ctr" rtl="1">
            <a:defRPr sz="1000"/>
          </a:pPr>
          <a:r>
            <a:rPr lang="ar-YE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إدارة التخطيط والاحصاء</a:t>
          </a:r>
        </a:p>
      </xdr:txBody>
    </xdr:sp>
    <xdr:clientData/>
  </xdr:twoCellAnchor>
  <xdr:twoCellAnchor>
    <xdr:from>
      <xdr:col>1</xdr:col>
      <xdr:colOff>27548</xdr:colOff>
      <xdr:row>0</xdr:row>
      <xdr:rowOff>118395</xdr:rowOff>
    </xdr:from>
    <xdr:to>
      <xdr:col>1</xdr:col>
      <xdr:colOff>1292085</xdr:colOff>
      <xdr:row>0</xdr:row>
      <xdr:rowOff>400783</xdr:rowOff>
    </xdr:to>
    <xdr:pic>
      <xdr:nvPicPr>
        <xdr:cNvPr id="4" name="صورة 15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45490" y="118395"/>
          <a:ext cx="1264537" cy="282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190500</xdr:colOff>
      <xdr:row>0</xdr:row>
      <xdr:rowOff>367847</xdr:rowOff>
    </xdr:from>
    <xdr:to>
      <xdr:col>6</xdr:col>
      <xdr:colOff>182217</xdr:colOff>
      <xdr:row>0</xdr:row>
      <xdr:rowOff>1110699</xdr:rowOff>
    </xdr:to>
    <xdr:pic>
      <xdr:nvPicPr>
        <xdr:cNvPr id="5" name="صورة 1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0" t="21603" r="11191" b="14699"/>
        <a:stretch>
          <a:fillRect/>
        </a:stretch>
      </xdr:blipFill>
      <xdr:spPr bwMode="auto">
        <a:xfrm>
          <a:off x="11231716833" y="367847"/>
          <a:ext cx="1058517" cy="742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612913</xdr:colOff>
      <xdr:row>23</xdr:row>
      <xdr:rowOff>223631</xdr:rowOff>
    </xdr:from>
    <xdr:to>
      <xdr:col>10</xdr:col>
      <xdr:colOff>753719</xdr:colOff>
      <xdr:row>24</xdr:row>
      <xdr:rowOff>107675</xdr:rowOff>
    </xdr:to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SpPr txBox="1"/>
      </xdr:nvSpPr>
      <xdr:spPr>
        <a:xfrm>
          <a:off x="11228602156" y="8691356"/>
          <a:ext cx="2179156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إدارة التربية والتعليم بالمديرية</a:t>
          </a:r>
          <a:r>
            <a:rPr lang="ar-SA"/>
            <a:t> </a:t>
          </a:r>
          <a:endParaRPr lang="ar-SA" sz="1100"/>
        </a:p>
      </xdr:txBody>
    </xdr:sp>
    <xdr:clientData/>
  </xdr:twoCellAnchor>
  <xdr:twoCellAnchor>
    <xdr:from>
      <xdr:col>3</xdr:col>
      <xdr:colOff>248477</xdr:colOff>
      <xdr:row>23</xdr:row>
      <xdr:rowOff>182216</xdr:rowOff>
    </xdr:from>
    <xdr:to>
      <xdr:col>6</xdr:col>
      <xdr:colOff>323022</xdr:colOff>
      <xdr:row>24</xdr:row>
      <xdr:rowOff>66260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 txBox="1"/>
      </xdr:nvSpPr>
      <xdr:spPr>
        <a:xfrm>
          <a:off x="11258699087" y="8680173"/>
          <a:ext cx="1664806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رئيس </a:t>
          </a:r>
          <a:r>
            <a:rPr lang="ar-SA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قسم الإحصاء والتخطيط </a:t>
          </a:r>
          <a:endParaRPr lang="ar-SA" sz="1100"/>
        </a:p>
      </xdr:txBody>
    </xdr:sp>
    <xdr:clientData/>
  </xdr:twoCellAnchor>
  <xdr:twoCellAnchor>
    <xdr:from>
      <xdr:col>4</xdr:col>
      <xdr:colOff>193038</xdr:colOff>
      <xdr:row>0</xdr:row>
      <xdr:rowOff>0</xdr:rowOff>
    </xdr:from>
    <xdr:to>
      <xdr:col>6</xdr:col>
      <xdr:colOff>135128</xdr:colOff>
      <xdr:row>0</xdr:row>
      <xdr:rowOff>317938</xdr:rowOff>
    </xdr:to>
    <xdr:pic>
      <xdr:nvPicPr>
        <xdr:cNvPr id="8" name="صورة 7" descr="بسم الله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763922" y="0"/>
          <a:ext cx="1008890" cy="317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157369</xdr:colOff>
      <xdr:row>0</xdr:row>
      <xdr:rowOff>86967</xdr:rowOff>
    </xdr:from>
    <xdr:to>
      <xdr:col>10</xdr:col>
      <xdr:colOff>786848</xdr:colOff>
      <xdr:row>0</xdr:row>
      <xdr:rowOff>1115667</xdr:rowOff>
    </xdr:to>
    <xdr:sp macro="" textlink="">
      <xdr:nvSpPr>
        <xdr:cNvPr id="9" name="Text Box 26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SpPr txBox="1">
          <a:spLocks noChangeArrowheads="1"/>
        </xdr:cNvSpPr>
      </xdr:nvSpPr>
      <xdr:spPr bwMode="auto">
        <a:xfrm>
          <a:off x="11228607127" y="86967"/>
          <a:ext cx="1810579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الرقم :...........................</a:t>
          </a:r>
        </a:p>
        <a:p>
          <a:pPr algn="r" rtl="1">
            <a:defRPr sz="1000"/>
          </a:pPr>
          <a:r>
            <a:rPr lang="ar-YE" sz="1050" b="0" i="0" u="none" strike="noStrike" baseline="0">
              <a:solidFill>
                <a:srgbClr val="000000"/>
              </a:solidFill>
              <a:cs typeface="PT Bold Heading" pitchFamily="2" charset="-78"/>
            </a:rPr>
            <a:t>التاريخ:..........................</a:t>
          </a:r>
          <a:endParaRPr lang="ar-YE" sz="900" b="0" i="0" u="none" strike="noStrike" baseline="0">
            <a:solidFill>
              <a:srgbClr val="000000"/>
            </a:solidFill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المدرسة:........................</a:t>
          </a:r>
          <a:endParaRPr lang="ar-YE" sz="900" b="0" i="0" u="none" strike="noStrike" baseline="0">
            <a:solidFill>
              <a:srgbClr val="003366"/>
            </a:solidFill>
            <a:latin typeface="Times New Roman"/>
            <a:cs typeface="PT Bold Heading" pitchFamily="2" charset="-78"/>
          </a:endParaRP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ar-YE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PT Bold Heading" pitchFamily="2" charset="-78"/>
            </a:rPr>
            <a:t>المديرية:.......................</a:t>
          </a:r>
          <a:endParaRPr kumimoji="0" lang="ar-YE" sz="900" b="0" i="0" u="none" strike="noStrike" kern="0" cap="none" spc="0" normalizeH="0" baseline="0" noProof="0">
            <a:ln>
              <a:noFill/>
            </a:ln>
            <a:solidFill>
              <a:srgbClr val="003366"/>
            </a:solidFill>
            <a:effectLst/>
            <a:uLnTx/>
            <a:uFillTx/>
            <a:latin typeface="Times New Roman"/>
            <a:ea typeface="+mn-ea"/>
            <a:cs typeface="PT Bold Heading" pitchFamily="2" charset="-78"/>
          </a:endParaRPr>
        </a:p>
      </xdr:txBody>
    </xdr:sp>
    <xdr:clientData/>
  </xdr:twoCellAnchor>
  <xdr:twoCellAnchor>
    <xdr:from>
      <xdr:col>0</xdr:col>
      <xdr:colOff>24846</xdr:colOff>
      <xdr:row>23</xdr:row>
      <xdr:rowOff>182217</xdr:rowOff>
    </xdr:from>
    <xdr:to>
      <xdr:col>1</xdr:col>
      <xdr:colOff>861391</xdr:colOff>
      <xdr:row>24</xdr:row>
      <xdr:rowOff>66261</xdr:rowOff>
    </xdr:to>
    <xdr:sp macro="" textlink="">
      <xdr:nvSpPr>
        <xdr:cNvPr id="10" name="مربع نص 9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SpPr txBox="1"/>
      </xdr:nvSpPr>
      <xdr:spPr>
        <a:xfrm>
          <a:off x="11234476184" y="8649942"/>
          <a:ext cx="1074670" cy="265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YE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مدير المدرسة</a:t>
          </a:r>
          <a:endParaRPr lang="ar-SA" sz="1100"/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670C-1CC9-48DE-BD72-D3ADBB917353}">
  <sheetPr>
    <pageSetUpPr fitToPage="1"/>
  </sheetPr>
  <dimension ref="A1:P28"/>
  <sheetViews>
    <sheetView rightToLeft="1" view="pageBreakPreview" zoomScale="112" zoomScaleNormal="100" zoomScaleSheetLayoutView="112" workbookViewId="0">
      <selection activeCell="L2" sqref="L2"/>
    </sheetView>
  </sheetViews>
  <sheetFormatPr defaultColWidth="9" defaultRowHeight="15"/>
  <cols>
    <col min="1" max="1" width="3" style="259" bestFit="1" customWidth="1"/>
    <col min="2" max="2" width="8.625" style="258" bestFit="1" customWidth="1"/>
    <col min="3" max="3" width="4" style="259" bestFit="1" customWidth="1"/>
    <col min="4" max="4" width="3" style="259" bestFit="1" customWidth="1"/>
    <col min="5" max="6" width="4" style="259" bestFit="1" customWidth="1"/>
    <col min="7" max="7" width="6" style="259" bestFit="1" customWidth="1"/>
    <col min="8" max="8" width="5" style="259" bestFit="1" customWidth="1"/>
    <col min="9" max="9" width="2.5" style="259" customWidth="1"/>
    <col min="10" max="10" width="3" style="259" bestFit="1" customWidth="1"/>
    <col min="11" max="11" width="6" style="259" bestFit="1" customWidth="1"/>
    <col min="12" max="12" width="5" style="259" bestFit="1" customWidth="1"/>
    <col min="13" max="13" width="6" style="258" bestFit="1" customWidth="1"/>
    <col min="14" max="16384" width="9" style="259"/>
  </cols>
  <sheetData>
    <row r="1" spans="1:13" ht="60" customHeight="1"/>
    <row r="2" spans="1:13" ht="12.75" customHeight="1">
      <c r="G2" s="138"/>
      <c r="H2" s="138"/>
      <c r="I2" s="138"/>
      <c r="J2" s="138"/>
      <c r="K2" s="138"/>
      <c r="L2" s="138"/>
    </row>
    <row r="3" spans="1:13" ht="69" customHeight="1" thickBot="1"/>
    <row r="4" spans="1:13" s="117" customFormat="1" ht="17.25" customHeight="1">
      <c r="A4" s="363" t="s">
        <v>1</v>
      </c>
      <c r="B4" s="365" t="s">
        <v>75</v>
      </c>
      <c r="C4" s="360" t="s">
        <v>15</v>
      </c>
      <c r="D4" s="358"/>
      <c r="E4" s="360" t="s">
        <v>16</v>
      </c>
      <c r="F4" s="361"/>
      <c r="G4" s="358" t="s">
        <v>25</v>
      </c>
      <c r="H4" s="358"/>
      <c r="I4" s="358" t="s">
        <v>128</v>
      </c>
      <c r="J4" s="358"/>
      <c r="K4" s="361" t="s">
        <v>7</v>
      </c>
      <c r="L4" s="362"/>
      <c r="M4" s="360"/>
    </row>
    <row r="5" spans="1:13" ht="15.75" thickBot="1">
      <c r="A5" s="364"/>
      <c r="B5" s="366"/>
      <c r="C5" s="122" t="s">
        <v>29</v>
      </c>
      <c r="D5" s="123" t="s">
        <v>30</v>
      </c>
      <c r="E5" s="124" t="s">
        <v>29</v>
      </c>
      <c r="F5" s="125" t="s">
        <v>30</v>
      </c>
      <c r="G5" s="126" t="s">
        <v>29</v>
      </c>
      <c r="H5" s="123" t="s">
        <v>30</v>
      </c>
      <c r="I5" s="126" t="s">
        <v>29</v>
      </c>
      <c r="J5" s="123" t="s">
        <v>30</v>
      </c>
      <c r="K5" s="119" t="s">
        <v>29</v>
      </c>
      <c r="L5" s="120" t="s">
        <v>30</v>
      </c>
      <c r="M5" s="110" t="s">
        <v>31</v>
      </c>
    </row>
    <row r="6" spans="1:13" ht="15.75" thickBot="1">
      <c r="A6" s="130">
        <v>1</v>
      </c>
      <c r="B6" s="131"/>
      <c r="C6" s="129"/>
      <c r="D6" s="129"/>
      <c r="E6" s="129"/>
      <c r="F6" s="129"/>
      <c r="G6" s="129"/>
      <c r="H6" s="129"/>
      <c r="I6" s="129"/>
      <c r="J6" s="129"/>
      <c r="K6" s="132"/>
      <c r="L6" s="132"/>
      <c r="M6" s="133"/>
    </row>
    <row r="7" spans="1:13" ht="15.75" thickBot="1">
      <c r="A7" s="134">
        <v>2</v>
      </c>
      <c r="B7" s="257"/>
      <c r="C7" s="129"/>
      <c r="D7" s="129"/>
      <c r="E7" s="129"/>
      <c r="F7" s="129"/>
      <c r="G7" s="129"/>
      <c r="H7" s="129"/>
      <c r="I7" s="129"/>
      <c r="J7" s="129"/>
      <c r="K7" s="132"/>
      <c r="L7" s="132"/>
      <c r="M7" s="133"/>
    </row>
    <row r="8" spans="1:13" ht="15.75" thickBot="1">
      <c r="A8" s="130">
        <v>3</v>
      </c>
      <c r="B8" s="257"/>
      <c r="C8" s="129"/>
      <c r="D8" s="129"/>
      <c r="E8" s="129"/>
      <c r="F8" s="129"/>
      <c r="G8" s="129"/>
      <c r="H8" s="129"/>
      <c r="I8" s="129"/>
      <c r="J8" s="129"/>
      <c r="K8" s="132"/>
      <c r="L8" s="132"/>
      <c r="M8" s="133"/>
    </row>
    <row r="9" spans="1:13" ht="15.75" thickBot="1">
      <c r="A9" s="134">
        <v>4</v>
      </c>
      <c r="B9" s="257"/>
      <c r="C9" s="129"/>
      <c r="D9" s="129"/>
      <c r="E9" s="129"/>
      <c r="F9" s="129"/>
      <c r="G9" s="129"/>
      <c r="H9" s="129"/>
      <c r="I9" s="129"/>
      <c r="J9" s="129"/>
      <c r="K9" s="132"/>
      <c r="L9" s="132"/>
      <c r="M9" s="133"/>
    </row>
    <row r="10" spans="1:13" ht="15.75" thickBot="1">
      <c r="A10" s="130">
        <v>5</v>
      </c>
      <c r="B10" s="257"/>
      <c r="C10" s="129"/>
      <c r="D10" s="129"/>
      <c r="E10" s="129"/>
      <c r="F10" s="129"/>
      <c r="G10" s="129"/>
      <c r="H10" s="129"/>
      <c r="I10" s="129"/>
      <c r="J10" s="129"/>
      <c r="K10" s="132"/>
      <c r="L10" s="132"/>
      <c r="M10" s="133"/>
    </row>
    <row r="11" spans="1:13" ht="15.75" thickBot="1">
      <c r="A11" s="134">
        <v>6</v>
      </c>
      <c r="B11" s="257"/>
      <c r="C11" s="129"/>
      <c r="D11" s="129"/>
      <c r="E11" s="129"/>
      <c r="F11" s="129"/>
      <c r="G11" s="129"/>
      <c r="H11" s="129"/>
      <c r="I11" s="129"/>
      <c r="J11" s="129"/>
      <c r="K11" s="132"/>
      <c r="L11" s="132"/>
      <c r="M11" s="133"/>
    </row>
    <row r="12" spans="1:13" ht="15.75" thickBot="1">
      <c r="A12" s="130">
        <v>7</v>
      </c>
      <c r="B12" s="257"/>
      <c r="C12" s="129"/>
      <c r="D12" s="129"/>
      <c r="E12" s="129"/>
      <c r="F12" s="129"/>
      <c r="G12" s="129"/>
      <c r="H12" s="129"/>
      <c r="I12" s="129"/>
      <c r="J12" s="129"/>
      <c r="K12" s="132"/>
      <c r="L12" s="132"/>
      <c r="M12" s="133"/>
    </row>
    <row r="13" spans="1:13" ht="15.75" thickBot="1">
      <c r="A13" s="136">
        <v>8</v>
      </c>
      <c r="B13" s="257"/>
      <c r="C13" s="129"/>
      <c r="D13" s="129"/>
      <c r="E13" s="129"/>
      <c r="F13" s="129"/>
      <c r="G13" s="129"/>
      <c r="H13" s="129"/>
      <c r="I13" s="129"/>
      <c r="J13" s="129"/>
      <c r="K13" s="132"/>
      <c r="L13" s="132"/>
      <c r="M13" s="133"/>
    </row>
    <row r="14" spans="1:13" ht="15.75" thickBot="1">
      <c r="A14" s="134">
        <v>9</v>
      </c>
      <c r="B14" s="257"/>
      <c r="C14" s="129"/>
      <c r="D14" s="129"/>
      <c r="E14" s="129"/>
      <c r="F14" s="129"/>
      <c r="G14" s="129"/>
      <c r="H14" s="129"/>
      <c r="I14" s="129"/>
      <c r="J14" s="129"/>
      <c r="K14" s="132"/>
      <c r="L14" s="132"/>
      <c r="M14" s="133"/>
    </row>
    <row r="15" spans="1:13" ht="15.75" thickBot="1">
      <c r="A15" s="130">
        <v>10</v>
      </c>
      <c r="B15" s="131"/>
      <c r="C15" s="129"/>
      <c r="D15" s="129"/>
      <c r="E15" s="129"/>
      <c r="F15" s="129"/>
      <c r="G15" s="129"/>
      <c r="H15" s="129"/>
      <c r="I15" s="129"/>
      <c r="J15" s="129"/>
      <c r="K15" s="132"/>
      <c r="L15" s="132"/>
      <c r="M15" s="133"/>
    </row>
    <row r="16" spans="1:13" ht="15.75" thickBot="1">
      <c r="A16" s="134">
        <v>11</v>
      </c>
      <c r="B16" s="257"/>
      <c r="C16" s="129"/>
      <c r="D16" s="129"/>
      <c r="E16" s="129"/>
      <c r="F16" s="129"/>
      <c r="G16" s="129"/>
      <c r="H16" s="129"/>
      <c r="I16" s="129"/>
      <c r="J16" s="129"/>
      <c r="K16" s="132"/>
      <c r="L16" s="132"/>
      <c r="M16" s="133"/>
    </row>
    <row r="17" spans="1:16" ht="15.75" thickBot="1">
      <c r="A17" s="130">
        <v>12</v>
      </c>
      <c r="B17" s="257"/>
      <c r="C17" s="129"/>
      <c r="D17" s="129"/>
      <c r="E17" s="129"/>
      <c r="F17" s="129"/>
      <c r="G17" s="129"/>
      <c r="H17" s="129"/>
      <c r="I17" s="129"/>
      <c r="J17" s="129"/>
      <c r="K17" s="132"/>
      <c r="L17" s="132"/>
      <c r="M17" s="133"/>
    </row>
    <row r="18" spans="1:16" ht="15.75" thickBot="1">
      <c r="A18" s="134">
        <v>13</v>
      </c>
      <c r="B18" s="257"/>
      <c r="C18" s="129"/>
      <c r="D18" s="129"/>
      <c r="E18" s="129"/>
      <c r="F18" s="129"/>
      <c r="G18" s="129"/>
      <c r="H18" s="129"/>
      <c r="I18" s="129"/>
      <c r="J18" s="129"/>
      <c r="K18" s="132"/>
      <c r="L18" s="132"/>
      <c r="M18" s="133"/>
    </row>
    <row r="19" spans="1:16" ht="15.75" thickBot="1">
      <c r="A19" s="130">
        <v>14</v>
      </c>
      <c r="B19" s="257"/>
      <c r="C19" s="129"/>
      <c r="D19" s="129"/>
      <c r="E19" s="129"/>
      <c r="F19" s="129"/>
      <c r="G19" s="129"/>
      <c r="H19" s="129"/>
      <c r="I19" s="129"/>
      <c r="J19" s="129"/>
      <c r="K19" s="132"/>
      <c r="L19" s="132"/>
      <c r="M19" s="133"/>
    </row>
    <row r="20" spans="1:16" s="259" customFormat="1" ht="15.75" thickBot="1">
      <c r="A20" s="134">
        <v>15</v>
      </c>
      <c r="B20" s="240"/>
      <c r="C20" s="129"/>
      <c r="D20" s="129"/>
      <c r="E20" s="129"/>
      <c r="F20" s="129"/>
      <c r="G20" s="129"/>
      <c r="H20" s="129"/>
      <c r="I20" s="129"/>
      <c r="J20" s="129"/>
      <c r="K20" s="132"/>
      <c r="L20" s="132"/>
      <c r="M20" s="133"/>
    </row>
    <row r="21" spans="1:16" s="259" customFormat="1" ht="15.75" thickBot="1">
      <c r="A21" s="130">
        <v>16</v>
      </c>
      <c r="B21" s="240"/>
      <c r="C21" s="129"/>
      <c r="D21" s="129"/>
      <c r="E21" s="129"/>
      <c r="F21" s="129"/>
      <c r="G21" s="129"/>
      <c r="H21" s="129"/>
      <c r="I21" s="129"/>
      <c r="J21" s="129"/>
      <c r="K21" s="132"/>
      <c r="L21" s="132"/>
      <c r="M21" s="133"/>
    </row>
    <row r="22" spans="1:16" s="259" customFormat="1" ht="15.75" thickBot="1">
      <c r="A22" s="134">
        <v>17</v>
      </c>
      <c r="B22" s="240"/>
      <c r="C22" s="129"/>
      <c r="D22" s="129"/>
      <c r="E22" s="129"/>
      <c r="F22" s="129"/>
      <c r="G22" s="129"/>
      <c r="H22" s="129"/>
      <c r="I22" s="129"/>
      <c r="J22" s="129"/>
      <c r="K22" s="132"/>
      <c r="L22" s="132"/>
      <c r="M22" s="133"/>
    </row>
    <row r="23" spans="1:16" s="259" customFormat="1" ht="15.75" thickBot="1">
      <c r="A23" s="130">
        <v>18</v>
      </c>
      <c r="B23" s="240"/>
      <c r="C23" s="129"/>
      <c r="D23" s="129"/>
      <c r="E23" s="129"/>
      <c r="F23" s="129"/>
      <c r="G23" s="129"/>
      <c r="H23" s="129"/>
      <c r="I23" s="129"/>
      <c r="J23" s="129"/>
      <c r="K23" s="132"/>
      <c r="L23" s="132"/>
      <c r="M23" s="133"/>
    </row>
    <row r="24" spans="1:16" s="259" customFormat="1" ht="15.75" thickBot="1">
      <c r="A24" s="134">
        <v>19</v>
      </c>
      <c r="B24" s="240"/>
      <c r="C24" s="129"/>
      <c r="D24" s="129"/>
      <c r="E24" s="129"/>
      <c r="F24" s="129"/>
      <c r="G24" s="129"/>
      <c r="H24" s="129"/>
      <c r="I24" s="129"/>
      <c r="J24" s="129"/>
      <c r="K24" s="132"/>
      <c r="L24" s="132"/>
      <c r="M24" s="133"/>
    </row>
    <row r="25" spans="1:16">
      <c r="A25" s="130">
        <v>20</v>
      </c>
      <c r="B25" s="257"/>
      <c r="C25" s="129"/>
      <c r="D25" s="129"/>
      <c r="E25" s="129"/>
      <c r="F25" s="129"/>
      <c r="G25" s="129"/>
      <c r="H25" s="129"/>
      <c r="I25" s="129"/>
      <c r="J25" s="129"/>
      <c r="K25" s="132"/>
      <c r="L25" s="132"/>
      <c r="M25" s="133"/>
    </row>
    <row r="26" spans="1:16" s="258" customFormat="1" ht="18" customHeight="1">
      <c r="A26" s="341" t="s">
        <v>13</v>
      </c>
      <c r="B26" s="342"/>
      <c r="C26" s="137">
        <f t="shared" ref="C26:M26" si="0">SUM(C6:C25)</f>
        <v>0</v>
      </c>
      <c r="D26" s="137">
        <f t="shared" si="0"/>
        <v>0</v>
      </c>
      <c r="E26" s="137">
        <f t="shared" si="0"/>
        <v>0</v>
      </c>
      <c r="F26" s="137">
        <f t="shared" si="0"/>
        <v>0</v>
      </c>
      <c r="G26" s="137">
        <f t="shared" si="0"/>
        <v>0</v>
      </c>
      <c r="H26" s="137">
        <f t="shared" si="0"/>
        <v>0</v>
      </c>
      <c r="I26" s="137">
        <f t="shared" si="0"/>
        <v>0</v>
      </c>
      <c r="J26" s="137">
        <f t="shared" si="0"/>
        <v>0</v>
      </c>
      <c r="K26" s="137">
        <f t="shared" si="0"/>
        <v>0</v>
      </c>
      <c r="L26" s="137">
        <f t="shared" si="0"/>
        <v>0</v>
      </c>
      <c r="M26" s="137">
        <f t="shared" si="0"/>
        <v>0</v>
      </c>
    </row>
    <row r="27" spans="1:16" ht="20.25">
      <c r="B27" s="139"/>
      <c r="C27" s="140"/>
      <c r="D27" s="140"/>
      <c r="J27" s="140"/>
      <c r="K27" s="140"/>
      <c r="O27" s="140"/>
      <c r="P27" s="140"/>
    </row>
    <row r="28" spans="1:16">
      <c r="A28" s="443" t="s">
        <v>349</v>
      </c>
      <c r="B28" s="443"/>
      <c r="C28" s="443"/>
      <c r="D28" s="443"/>
      <c r="E28" s="443"/>
      <c r="F28" s="443"/>
      <c r="G28" s="444"/>
      <c r="H28" s="444"/>
      <c r="I28" s="444"/>
      <c r="J28" s="444"/>
      <c r="K28" s="443" t="s">
        <v>350</v>
      </c>
      <c r="L28" s="443"/>
      <c r="M28" s="443"/>
    </row>
  </sheetData>
  <mergeCells count="11">
    <mergeCell ref="K4:M4"/>
    <mergeCell ref="A26:B26"/>
    <mergeCell ref="A28:F28"/>
    <mergeCell ref="G28:J28"/>
    <mergeCell ref="K28:M28"/>
    <mergeCell ref="A4:A5"/>
    <mergeCell ref="B4:B5"/>
    <mergeCell ref="C4:D4"/>
    <mergeCell ref="E4:F4"/>
    <mergeCell ref="G4:H4"/>
    <mergeCell ref="I4:J4"/>
  </mergeCells>
  <printOptions horizontalCentered="1"/>
  <pageMargins left="0" right="0" top="1.2598425196850394" bottom="0.9055118110236221" header="0.31496062992125984" footer="0.51181102362204722"/>
  <pageSetup paperSize="9" fitToHeight="0" orientation="landscape" r:id="rId1"/>
  <headerFooter>
    <oddHeader>&amp;Lالرقم :  (       )  
التاريخ: &amp;D    &amp;Cبسم الله الرحمن الرحيم
&amp;G&amp;R    الجهورية اليمنية
  وزارة التربية والتعليم
 مكتب التربية والتعليم تعز
ادارة التخطيط والاحصاء</oddHeader>
    <oddFooter>&amp;L&amp;"-,غامق"&amp;12 مدير مكتب التربية والتعليم           &amp;K00+000.&amp;K01+000
عبدالواسع شداد            &amp;K00+000.&amp;R&amp;"-,غامق"&amp;12       مدير ادارة الاحصاء والتخطيط
           قائد السامعي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AD15"/>
  <sheetViews>
    <sheetView rightToLeft="1" topLeftCell="I1" zoomScale="76" zoomScaleNormal="76" workbookViewId="0">
      <selection activeCell="AA10" sqref="AA10:AA11"/>
    </sheetView>
  </sheetViews>
  <sheetFormatPr defaultRowHeight="14.25"/>
  <cols>
    <col min="4" max="4" width="4.625" customWidth="1"/>
    <col min="5" max="5" width="12.875" bestFit="1" customWidth="1"/>
  </cols>
  <sheetData>
    <row r="5" spans="2:30" ht="22.5">
      <c r="H5" s="235"/>
      <c r="I5" s="234"/>
      <c r="J5" s="234"/>
      <c r="K5" s="234"/>
      <c r="L5" s="234"/>
      <c r="M5" s="234"/>
      <c r="N5" s="233"/>
      <c r="O5" s="233"/>
      <c r="P5" s="233"/>
      <c r="Q5" s="233"/>
      <c r="R5" s="233"/>
      <c r="S5" s="233"/>
      <c r="T5" s="232"/>
      <c r="U5" s="232"/>
      <c r="V5" s="232"/>
      <c r="W5" s="232"/>
    </row>
    <row r="6" spans="2:30" ht="15" thickBot="1"/>
    <row r="7" spans="2:30" ht="15.4" customHeight="1" thickTop="1" thickBot="1">
      <c r="D7" s="289" t="s">
        <v>1</v>
      </c>
      <c r="E7" s="279" t="s">
        <v>201</v>
      </c>
      <c r="F7" s="279" t="s">
        <v>228</v>
      </c>
      <c r="G7" s="290" t="s">
        <v>233</v>
      </c>
      <c r="H7" s="291"/>
      <c r="I7" s="291"/>
      <c r="J7" s="292"/>
      <c r="K7" s="290" t="s">
        <v>232</v>
      </c>
      <c r="L7" s="291"/>
      <c r="M7" s="291"/>
      <c r="N7" s="292"/>
      <c r="O7" s="290" t="s">
        <v>231</v>
      </c>
      <c r="P7" s="291"/>
      <c r="Q7" s="291"/>
      <c r="R7" s="292"/>
      <c r="S7" s="290" t="s">
        <v>230</v>
      </c>
      <c r="T7" s="291"/>
      <c r="U7" s="291"/>
      <c r="V7" s="292"/>
      <c r="W7" s="290" t="s">
        <v>229</v>
      </c>
      <c r="X7" s="291"/>
      <c r="Y7" s="291"/>
      <c r="Z7" s="292"/>
      <c r="AA7" s="290" t="s">
        <v>212</v>
      </c>
      <c r="AB7" s="291"/>
      <c r="AC7" s="291"/>
      <c r="AD7" s="292"/>
    </row>
    <row r="8" spans="2:30" ht="15.4" customHeight="1" thickTop="1" thickBot="1">
      <c r="D8" s="289"/>
      <c r="E8" s="279"/>
      <c r="F8" s="279"/>
      <c r="G8" s="293"/>
      <c r="H8" s="294"/>
      <c r="I8" s="294"/>
      <c r="J8" s="295"/>
      <c r="K8" s="293"/>
      <c r="L8" s="294"/>
      <c r="M8" s="294"/>
      <c r="N8" s="295"/>
      <c r="O8" s="293"/>
      <c r="P8" s="294"/>
      <c r="Q8" s="294"/>
      <c r="R8" s="295"/>
      <c r="S8" s="293"/>
      <c r="T8" s="294"/>
      <c r="U8" s="294"/>
      <c r="V8" s="295"/>
      <c r="W8" s="293"/>
      <c r="X8" s="294"/>
      <c r="Y8" s="294"/>
      <c r="Z8" s="295"/>
      <c r="AA8" s="293"/>
      <c r="AB8" s="294"/>
      <c r="AC8" s="294"/>
      <c r="AD8" s="295"/>
    </row>
    <row r="9" spans="2:30" ht="16.5" thickTop="1" thickBot="1">
      <c r="D9" s="289"/>
      <c r="E9" s="279"/>
      <c r="F9" s="279"/>
      <c r="G9" s="231" t="s">
        <v>4</v>
      </c>
      <c r="H9" s="231" t="s">
        <v>9</v>
      </c>
      <c r="I9" s="231" t="s">
        <v>217</v>
      </c>
      <c r="J9" s="231" t="s">
        <v>114</v>
      </c>
      <c r="K9" s="231" t="s">
        <v>4</v>
      </c>
      <c r="L9" s="231" t="s">
        <v>9</v>
      </c>
      <c r="M9" s="231" t="s">
        <v>217</v>
      </c>
      <c r="N9" s="231" t="s">
        <v>114</v>
      </c>
      <c r="O9" s="231" t="s">
        <v>4</v>
      </c>
      <c r="P9" s="231" t="s">
        <v>9</v>
      </c>
      <c r="Q9" s="231" t="s">
        <v>217</v>
      </c>
      <c r="R9" s="231" t="s">
        <v>114</v>
      </c>
      <c r="S9" s="231" t="s">
        <v>4</v>
      </c>
      <c r="T9" s="231" t="s">
        <v>9</v>
      </c>
      <c r="U9" s="231" t="s">
        <v>217</v>
      </c>
      <c r="V9" s="231" t="s">
        <v>114</v>
      </c>
      <c r="W9" s="231" t="s">
        <v>4</v>
      </c>
      <c r="X9" s="231" t="s">
        <v>9</v>
      </c>
      <c r="Y9" s="231" t="s">
        <v>217</v>
      </c>
      <c r="Z9" s="231" t="s">
        <v>114</v>
      </c>
      <c r="AA9" s="231" t="s">
        <v>4</v>
      </c>
      <c r="AB9" s="231" t="s">
        <v>9</v>
      </c>
      <c r="AC9" s="231" t="s">
        <v>217</v>
      </c>
      <c r="AD9" s="231" t="s">
        <v>114</v>
      </c>
    </row>
    <row r="10" spans="2:30" ht="16.5" thickTop="1" thickBot="1">
      <c r="D10" s="274">
        <v>1</v>
      </c>
      <c r="E10" s="279"/>
      <c r="F10" s="231" t="s">
        <v>214</v>
      </c>
      <c r="G10" s="275"/>
      <c r="H10" s="231"/>
      <c r="I10" s="231"/>
      <c r="J10" s="231"/>
      <c r="K10" s="275"/>
      <c r="L10" s="231"/>
      <c r="M10" s="231"/>
      <c r="N10" s="231"/>
      <c r="O10" s="275"/>
      <c r="P10" s="231"/>
      <c r="Q10" s="231"/>
      <c r="R10" s="231"/>
      <c r="S10" s="275"/>
      <c r="T10" s="231"/>
      <c r="U10" s="231"/>
      <c r="V10" s="231"/>
      <c r="W10" s="275"/>
      <c r="X10" s="231"/>
      <c r="Y10" s="231"/>
      <c r="Z10" s="231"/>
      <c r="AA10" s="275"/>
      <c r="AB10" s="231"/>
      <c r="AC10" s="231"/>
      <c r="AD10" s="231"/>
    </row>
    <row r="11" spans="2:30" ht="16.5" thickTop="1" thickBot="1">
      <c r="B11" t="s">
        <v>215</v>
      </c>
      <c r="D11" s="274"/>
      <c r="E11" s="279"/>
      <c r="F11" s="230" t="s">
        <v>213</v>
      </c>
      <c r="G11" s="276"/>
      <c r="H11" s="230"/>
      <c r="I11" s="230"/>
      <c r="J11" s="230"/>
      <c r="K11" s="276"/>
      <c r="L11" s="230"/>
      <c r="M11" s="230"/>
      <c r="N11" s="230"/>
      <c r="O11" s="276"/>
      <c r="P11" s="230"/>
      <c r="Q11" s="230"/>
      <c r="R11" s="230"/>
      <c r="S11" s="276"/>
      <c r="T11" s="230"/>
      <c r="U11" s="230"/>
      <c r="V11" s="230"/>
      <c r="W11" s="276"/>
      <c r="X11" s="230"/>
      <c r="Y11" s="230"/>
      <c r="Z11" s="230"/>
      <c r="AA11" s="276"/>
      <c r="AB11" s="230"/>
      <c r="AC11" s="230"/>
      <c r="AD11" s="230"/>
    </row>
    <row r="12" spans="2:30" ht="15.4" customHeight="1" thickTop="1"/>
    <row r="14" spans="2:30" ht="20.25">
      <c r="E14" s="251" t="s">
        <v>317</v>
      </c>
      <c r="F14" s="251"/>
      <c r="G14" s="251"/>
      <c r="H14" s="251" t="s">
        <v>203</v>
      </c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 t="s">
        <v>204</v>
      </c>
      <c r="W14" s="251"/>
      <c r="X14" s="251"/>
      <c r="Y14" s="251"/>
      <c r="Z14" s="251"/>
      <c r="AA14" s="251"/>
      <c r="AB14" s="251"/>
      <c r="AC14" s="251"/>
      <c r="AD14" s="251"/>
    </row>
    <row r="15" spans="2:30" ht="20.25"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</row>
  </sheetData>
  <mergeCells count="17">
    <mergeCell ref="AA10:AA11"/>
    <mergeCell ref="O7:R8"/>
    <mergeCell ref="S7:V8"/>
    <mergeCell ref="W7:Z8"/>
    <mergeCell ref="AA7:AD8"/>
    <mergeCell ref="D10:D11"/>
    <mergeCell ref="E10:E11"/>
    <mergeCell ref="D7:D9"/>
    <mergeCell ref="E7:E9"/>
    <mergeCell ref="F7:F9"/>
    <mergeCell ref="G7:J8"/>
    <mergeCell ref="K7:N8"/>
    <mergeCell ref="G10:G11"/>
    <mergeCell ref="K10:K11"/>
    <mergeCell ref="O10:O11"/>
    <mergeCell ref="S10:S11"/>
    <mergeCell ref="W10:W1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5:AD56"/>
  <sheetViews>
    <sheetView rightToLeft="1" topLeftCell="A31" zoomScale="92" zoomScaleNormal="76" workbookViewId="0">
      <selection activeCell="K3" sqref="K3"/>
    </sheetView>
  </sheetViews>
  <sheetFormatPr defaultRowHeight="14.25"/>
  <cols>
    <col min="4" max="4" width="4.625" customWidth="1"/>
    <col min="5" max="5" width="12.875" bestFit="1" customWidth="1"/>
  </cols>
  <sheetData>
    <row r="5" spans="2:30" ht="22.5">
      <c r="H5" s="235"/>
      <c r="I5" s="234"/>
      <c r="J5" s="234"/>
      <c r="K5" s="234"/>
      <c r="L5" s="234"/>
      <c r="M5" s="234"/>
      <c r="N5" s="233"/>
      <c r="O5" s="233"/>
      <c r="P5" s="233"/>
      <c r="Q5" s="233"/>
      <c r="R5" s="233"/>
      <c r="S5" s="233"/>
      <c r="T5" s="232"/>
      <c r="U5" s="232"/>
      <c r="V5" s="232"/>
      <c r="W5" s="232"/>
    </row>
    <row r="6" spans="2:30" ht="15" thickBot="1"/>
    <row r="7" spans="2:30" ht="15.4" customHeight="1" thickTop="1" thickBot="1">
      <c r="D7" s="289" t="s">
        <v>1</v>
      </c>
      <c r="E7" s="279" t="s">
        <v>201</v>
      </c>
      <c r="F7" s="279" t="s">
        <v>228</v>
      </c>
      <c r="G7" s="290" t="s">
        <v>233</v>
      </c>
      <c r="H7" s="291"/>
      <c r="I7" s="291"/>
      <c r="J7" s="292"/>
      <c r="K7" s="290" t="s">
        <v>232</v>
      </c>
      <c r="L7" s="291"/>
      <c r="M7" s="291"/>
      <c r="N7" s="292"/>
      <c r="O7" s="290" t="s">
        <v>231</v>
      </c>
      <c r="P7" s="291"/>
      <c r="Q7" s="291"/>
      <c r="R7" s="292"/>
      <c r="S7" s="290" t="s">
        <v>230</v>
      </c>
      <c r="T7" s="291"/>
      <c r="U7" s="291"/>
      <c r="V7" s="292"/>
      <c r="W7" s="290" t="s">
        <v>229</v>
      </c>
      <c r="X7" s="291"/>
      <c r="Y7" s="291"/>
      <c r="Z7" s="292"/>
      <c r="AA7" s="290" t="s">
        <v>212</v>
      </c>
      <c r="AB7" s="291"/>
      <c r="AC7" s="291"/>
      <c r="AD7" s="292"/>
    </row>
    <row r="8" spans="2:30" ht="15.4" customHeight="1" thickTop="1" thickBot="1">
      <c r="D8" s="289"/>
      <c r="E8" s="279"/>
      <c r="F8" s="279"/>
      <c r="G8" s="293"/>
      <c r="H8" s="294"/>
      <c r="I8" s="294"/>
      <c r="J8" s="295"/>
      <c r="K8" s="293"/>
      <c r="L8" s="294"/>
      <c r="M8" s="294"/>
      <c r="N8" s="295"/>
      <c r="O8" s="293"/>
      <c r="P8" s="294"/>
      <c r="Q8" s="294"/>
      <c r="R8" s="295"/>
      <c r="S8" s="293"/>
      <c r="T8" s="294"/>
      <c r="U8" s="294"/>
      <c r="V8" s="295"/>
      <c r="W8" s="293"/>
      <c r="X8" s="294"/>
      <c r="Y8" s="294"/>
      <c r="Z8" s="295"/>
      <c r="AA8" s="293"/>
      <c r="AB8" s="294"/>
      <c r="AC8" s="294"/>
      <c r="AD8" s="295"/>
    </row>
    <row r="9" spans="2:30" ht="16.5" thickTop="1" thickBot="1">
      <c r="D9" s="289"/>
      <c r="E9" s="279"/>
      <c r="F9" s="279"/>
      <c r="G9" s="229" t="s">
        <v>4</v>
      </c>
      <c r="H9" s="229" t="s">
        <v>9</v>
      </c>
      <c r="I9" s="229" t="s">
        <v>217</v>
      </c>
      <c r="J9" s="229" t="s">
        <v>114</v>
      </c>
      <c r="K9" s="229" t="s">
        <v>4</v>
      </c>
      <c r="L9" s="229" t="s">
        <v>9</v>
      </c>
      <c r="M9" s="229" t="s">
        <v>217</v>
      </c>
      <c r="N9" s="229" t="s">
        <v>114</v>
      </c>
      <c r="O9" s="229" t="s">
        <v>4</v>
      </c>
      <c r="P9" s="229" t="s">
        <v>9</v>
      </c>
      <c r="Q9" s="229" t="s">
        <v>217</v>
      </c>
      <c r="R9" s="229" t="s">
        <v>114</v>
      </c>
      <c r="S9" s="229" t="s">
        <v>4</v>
      </c>
      <c r="T9" s="229" t="s">
        <v>9</v>
      </c>
      <c r="U9" s="229" t="s">
        <v>217</v>
      </c>
      <c r="V9" s="229" t="s">
        <v>114</v>
      </c>
      <c r="W9" s="229" t="s">
        <v>4</v>
      </c>
      <c r="X9" s="229" t="s">
        <v>9</v>
      </c>
      <c r="Y9" s="229" t="s">
        <v>217</v>
      </c>
      <c r="Z9" s="229" t="s">
        <v>114</v>
      </c>
      <c r="AA9" s="229" t="s">
        <v>4</v>
      </c>
      <c r="AB9" s="229" t="s">
        <v>9</v>
      </c>
      <c r="AC9" s="229" t="s">
        <v>217</v>
      </c>
      <c r="AD9" s="229" t="s">
        <v>114</v>
      </c>
    </row>
    <row r="10" spans="2:30" ht="16.5" thickTop="1" thickBot="1">
      <c r="D10" s="274">
        <v>1</v>
      </c>
      <c r="E10" s="279"/>
      <c r="F10" s="229" t="s">
        <v>214</v>
      </c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</row>
    <row r="11" spans="2:30" ht="16.5" thickTop="1" thickBot="1">
      <c r="B11" t="s">
        <v>215</v>
      </c>
      <c r="D11" s="274"/>
      <c r="E11" s="279"/>
      <c r="F11" s="230" t="s">
        <v>213</v>
      </c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</row>
    <row r="12" spans="2:30" ht="16.5" thickTop="1" thickBot="1">
      <c r="D12" s="274">
        <v>2</v>
      </c>
      <c r="E12" s="279"/>
      <c r="F12" s="230" t="s">
        <v>214</v>
      </c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</row>
    <row r="13" spans="2:30" ht="16.5" thickTop="1" thickBot="1">
      <c r="D13" s="274"/>
      <c r="E13" s="279"/>
      <c r="F13" s="230" t="s">
        <v>213</v>
      </c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</row>
    <row r="14" spans="2:30" ht="16.5" thickTop="1" thickBot="1">
      <c r="D14" s="274">
        <v>3</v>
      </c>
      <c r="E14" s="279"/>
      <c r="F14" s="230" t="s">
        <v>214</v>
      </c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</row>
    <row r="15" spans="2:30" ht="16.5" thickTop="1" thickBot="1">
      <c r="D15" s="274"/>
      <c r="E15" s="279"/>
      <c r="F15" s="230" t="s">
        <v>213</v>
      </c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</row>
    <row r="16" spans="2:30" ht="16.5" thickTop="1" thickBot="1">
      <c r="D16" s="274">
        <v>4</v>
      </c>
      <c r="E16" s="275"/>
      <c r="F16" s="229" t="s">
        <v>214</v>
      </c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</row>
    <row r="17" spans="4:30" ht="16.5" thickTop="1" thickBot="1">
      <c r="D17" s="274"/>
      <c r="E17" s="276"/>
      <c r="F17" s="230" t="s">
        <v>213</v>
      </c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</row>
    <row r="18" spans="4:30" ht="16.5" thickTop="1" thickBot="1">
      <c r="D18" s="274">
        <v>5</v>
      </c>
      <c r="E18" s="275"/>
      <c r="F18" s="230" t="s">
        <v>214</v>
      </c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</row>
    <row r="19" spans="4:30" ht="16.5" thickTop="1" thickBot="1">
      <c r="D19" s="274"/>
      <c r="E19" s="276"/>
      <c r="F19" s="230" t="s">
        <v>213</v>
      </c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</row>
    <row r="20" spans="4:30" ht="16.5" thickTop="1" thickBot="1">
      <c r="D20" s="274">
        <v>6</v>
      </c>
      <c r="E20" s="275"/>
      <c r="F20" s="230" t="s">
        <v>214</v>
      </c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</row>
    <row r="21" spans="4:30" ht="16.5" thickTop="1" thickBot="1">
      <c r="D21" s="274"/>
      <c r="E21" s="276"/>
      <c r="F21" s="230" t="s">
        <v>213</v>
      </c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</row>
    <row r="22" spans="4:30" ht="16.5" thickTop="1" thickBot="1">
      <c r="D22" s="274">
        <v>7</v>
      </c>
      <c r="E22" s="275"/>
      <c r="F22" s="229" t="s">
        <v>214</v>
      </c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</row>
    <row r="23" spans="4:30" ht="16.5" thickTop="1" thickBot="1">
      <c r="D23" s="274"/>
      <c r="E23" s="276"/>
      <c r="F23" s="230" t="s">
        <v>213</v>
      </c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</row>
    <row r="24" spans="4:30" ht="16.5" thickTop="1" thickBot="1">
      <c r="D24" s="274">
        <v>8</v>
      </c>
      <c r="E24" s="275"/>
      <c r="F24" s="230" t="s">
        <v>214</v>
      </c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</row>
    <row r="25" spans="4:30" ht="16.5" thickTop="1" thickBot="1">
      <c r="D25" s="274"/>
      <c r="E25" s="276"/>
      <c r="F25" s="230" t="s">
        <v>213</v>
      </c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</row>
    <row r="26" spans="4:30" ht="16.5" thickTop="1" thickBot="1">
      <c r="D26" s="274">
        <v>9</v>
      </c>
      <c r="E26" s="275"/>
      <c r="F26" s="230" t="s">
        <v>214</v>
      </c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</row>
    <row r="27" spans="4:30" ht="16.5" thickTop="1" thickBot="1">
      <c r="D27" s="274"/>
      <c r="E27" s="276"/>
      <c r="F27" s="230" t="s">
        <v>213</v>
      </c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</row>
    <row r="28" spans="4:30" ht="16.5" thickTop="1" thickBot="1">
      <c r="D28" s="274">
        <v>10</v>
      </c>
      <c r="E28" s="275"/>
      <c r="F28" s="229" t="s">
        <v>214</v>
      </c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</row>
    <row r="29" spans="4:30" ht="16.5" thickTop="1" thickBot="1">
      <c r="D29" s="274"/>
      <c r="E29" s="276"/>
      <c r="F29" s="230" t="s">
        <v>213</v>
      </c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</row>
    <row r="30" spans="4:30" ht="16.5" thickTop="1" thickBot="1">
      <c r="D30" s="274">
        <v>11</v>
      </c>
      <c r="E30" s="275"/>
      <c r="F30" s="230" t="s">
        <v>214</v>
      </c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</row>
    <row r="31" spans="4:30" ht="16.5" thickTop="1" thickBot="1">
      <c r="D31" s="274"/>
      <c r="E31" s="276"/>
      <c r="F31" s="230" t="s">
        <v>213</v>
      </c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</row>
    <row r="32" spans="4:30" ht="16.5" thickTop="1" thickBot="1">
      <c r="D32" s="274">
        <v>12</v>
      </c>
      <c r="E32" s="275"/>
      <c r="F32" s="230" t="s">
        <v>214</v>
      </c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</row>
    <row r="33" spans="4:30" ht="16.5" thickTop="1" thickBot="1">
      <c r="D33" s="274"/>
      <c r="E33" s="276"/>
      <c r="F33" s="230" t="s">
        <v>213</v>
      </c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</row>
    <row r="34" spans="4:30" ht="16.5" thickTop="1" thickBot="1">
      <c r="D34" s="274">
        <v>13</v>
      </c>
      <c r="E34" s="275"/>
      <c r="F34" s="229" t="s">
        <v>214</v>
      </c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</row>
    <row r="35" spans="4:30" ht="16.5" thickTop="1" thickBot="1">
      <c r="D35" s="274"/>
      <c r="E35" s="276"/>
      <c r="F35" s="230" t="s">
        <v>213</v>
      </c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</row>
    <row r="36" spans="4:30" ht="16.5" thickTop="1" thickBot="1">
      <c r="D36" s="274">
        <v>14</v>
      </c>
      <c r="E36" s="275"/>
      <c r="F36" s="230" t="s">
        <v>214</v>
      </c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</row>
    <row r="37" spans="4:30" ht="16.5" thickTop="1" thickBot="1">
      <c r="D37" s="274"/>
      <c r="E37" s="276"/>
      <c r="F37" s="230" t="s">
        <v>213</v>
      </c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</row>
    <row r="38" spans="4:30" ht="16.5" thickTop="1" thickBot="1">
      <c r="D38" s="274">
        <v>15</v>
      </c>
      <c r="E38" s="275"/>
      <c r="F38" s="230" t="s">
        <v>214</v>
      </c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</row>
    <row r="39" spans="4:30" ht="16.5" thickTop="1" thickBot="1">
      <c r="D39" s="274"/>
      <c r="E39" s="276"/>
      <c r="F39" s="230" t="s">
        <v>213</v>
      </c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</row>
    <row r="40" spans="4:30" ht="16.5" thickTop="1" thickBot="1">
      <c r="D40" s="274">
        <v>16</v>
      </c>
      <c r="E40" s="275"/>
      <c r="F40" s="229" t="s">
        <v>214</v>
      </c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</row>
    <row r="41" spans="4:30" ht="16.5" thickTop="1" thickBot="1">
      <c r="D41" s="274"/>
      <c r="E41" s="276"/>
      <c r="F41" s="230" t="s">
        <v>213</v>
      </c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</row>
    <row r="42" spans="4:30" ht="16.5" thickTop="1" thickBot="1">
      <c r="D42" s="274">
        <v>17</v>
      </c>
      <c r="E42" s="275"/>
      <c r="F42" s="230" t="s">
        <v>214</v>
      </c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</row>
    <row r="43" spans="4:30" ht="16.5" thickTop="1" thickBot="1">
      <c r="D43" s="274"/>
      <c r="E43" s="276"/>
      <c r="F43" s="230" t="s">
        <v>213</v>
      </c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</row>
    <row r="44" spans="4:30" ht="16.5" thickTop="1" thickBot="1">
      <c r="D44" s="274">
        <v>18</v>
      </c>
      <c r="E44" s="275"/>
      <c r="F44" s="230" t="s">
        <v>214</v>
      </c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spans="4:30" ht="16.5" thickTop="1" thickBot="1">
      <c r="D45" s="274"/>
      <c r="E45" s="276"/>
      <c r="F45" s="230" t="s">
        <v>213</v>
      </c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</row>
    <row r="46" spans="4:30" ht="16.5" thickTop="1" thickBot="1">
      <c r="D46" s="274">
        <v>19</v>
      </c>
      <c r="E46" s="275"/>
      <c r="F46" s="230" t="s">
        <v>214</v>
      </c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</row>
    <row r="47" spans="4:30" ht="16.5" thickTop="1" thickBot="1">
      <c r="D47" s="274"/>
      <c r="E47" s="276"/>
      <c r="F47" s="230" t="s">
        <v>213</v>
      </c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</row>
    <row r="48" spans="4:30" ht="16.5" thickTop="1" thickBot="1">
      <c r="D48" s="305">
        <v>20</v>
      </c>
      <c r="E48" s="275"/>
      <c r="F48" s="230" t="s">
        <v>214</v>
      </c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</row>
    <row r="49" spans="4:30" ht="16.5" thickTop="1" thickBot="1">
      <c r="D49" s="306"/>
      <c r="E49" s="276"/>
      <c r="F49" s="230" t="s">
        <v>213</v>
      </c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</row>
    <row r="50" spans="4:30" ht="16.5" thickTop="1" thickBot="1">
      <c r="D50" s="298"/>
      <c r="E50" s="292" t="s">
        <v>7</v>
      </c>
      <c r="F50" s="296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</row>
    <row r="51" spans="4:30" ht="16.5" thickTop="1" thickBot="1">
      <c r="D51" s="299"/>
      <c r="E51" s="295"/>
      <c r="F51" s="297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</row>
    <row r="52" spans="4:30" ht="15.4" customHeight="1" thickTop="1"/>
    <row r="55" spans="4:30">
      <c r="V55" t="s">
        <v>204</v>
      </c>
    </row>
    <row r="56" spans="4:30">
      <c r="H56" t="s">
        <v>203</v>
      </c>
    </row>
  </sheetData>
  <mergeCells count="52">
    <mergeCell ref="D42:D43"/>
    <mergeCell ref="E42:E43"/>
    <mergeCell ref="F50:F51"/>
    <mergeCell ref="D50:D51"/>
    <mergeCell ref="E50:E51"/>
    <mergeCell ref="E48:E49"/>
    <mergeCell ref="D48:D49"/>
    <mergeCell ref="D46:D47"/>
    <mergeCell ref="E46:E47"/>
    <mergeCell ref="D38:D39"/>
    <mergeCell ref="E38:E39"/>
    <mergeCell ref="D40:D41"/>
    <mergeCell ref="E40:E41"/>
    <mergeCell ref="D34:D35"/>
    <mergeCell ref="E34:E35"/>
    <mergeCell ref="D36:D37"/>
    <mergeCell ref="E36:E37"/>
    <mergeCell ref="D32:D33"/>
    <mergeCell ref="E32:E33"/>
    <mergeCell ref="D26:D27"/>
    <mergeCell ref="E26:E27"/>
    <mergeCell ref="D28:D29"/>
    <mergeCell ref="E28:E29"/>
    <mergeCell ref="D18:D19"/>
    <mergeCell ref="E18:E19"/>
    <mergeCell ref="D20:D21"/>
    <mergeCell ref="E20:E21"/>
    <mergeCell ref="D30:D31"/>
    <mergeCell ref="E30:E31"/>
    <mergeCell ref="W7:Z8"/>
    <mergeCell ref="AA7:AD8"/>
    <mergeCell ref="D7:D9"/>
    <mergeCell ref="E7:E9"/>
    <mergeCell ref="F7:F9"/>
    <mergeCell ref="G7:J8"/>
    <mergeCell ref="K7:N8"/>
    <mergeCell ref="D10:D11"/>
    <mergeCell ref="E10:E11"/>
    <mergeCell ref="O7:R8"/>
    <mergeCell ref="S7:V8"/>
    <mergeCell ref="D44:D45"/>
    <mergeCell ref="E44:E45"/>
    <mergeCell ref="D14:D15"/>
    <mergeCell ref="E14:E15"/>
    <mergeCell ref="D16:D17"/>
    <mergeCell ref="E16:E17"/>
    <mergeCell ref="D12:D13"/>
    <mergeCell ref="E12:E13"/>
    <mergeCell ref="D22:D23"/>
    <mergeCell ref="E22:E23"/>
    <mergeCell ref="D24:D25"/>
    <mergeCell ref="E24:E2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AE8E-F1C4-49FD-B92B-773F16E6FAB1}">
  <dimension ref="B5:AD54"/>
  <sheetViews>
    <sheetView rightToLeft="1" topLeftCell="D1" zoomScale="76" zoomScaleNormal="76" workbookViewId="0">
      <selection activeCell="I3" sqref="I3"/>
    </sheetView>
  </sheetViews>
  <sheetFormatPr defaultRowHeight="14.25"/>
  <cols>
    <col min="4" max="4" width="4.625" customWidth="1"/>
    <col min="5" max="5" width="12.875" bestFit="1" customWidth="1"/>
  </cols>
  <sheetData>
    <row r="5" spans="2:30" ht="22.5">
      <c r="H5" s="235"/>
      <c r="I5" s="234"/>
      <c r="J5" s="234"/>
      <c r="K5" s="234"/>
      <c r="L5" s="234"/>
      <c r="M5" s="234"/>
      <c r="N5" s="253"/>
      <c r="O5" s="253"/>
      <c r="P5" s="253"/>
      <c r="Q5" s="253"/>
      <c r="R5" s="253"/>
      <c r="S5" s="253"/>
      <c r="T5" s="232"/>
      <c r="U5" s="232"/>
      <c r="V5" s="232"/>
      <c r="W5" s="232"/>
    </row>
    <row r="6" spans="2:30" ht="15" thickBot="1"/>
    <row r="7" spans="2:30" ht="15.4" customHeight="1" thickTop="1" thickBot="1">
      <c r="D7" s="289" t="s">
        <v>1</v>
      </c>
      <c r="E7" s="279" t="s">
        <v>201</v>
      </c>
      <c r="F7" s="279" t="s">
        <v>228</v>
      </c>
      <c r="G7" s="290" t="s">
        <v>233</v>
      </c>
      <c r="H7" s="291"/>
      <c r="I7" s="291"/>
      <c r="J7" s="292"/>
      <c r="K7" s="290" t="s">
        <v>232</v>
      </c>
      <c r="L7" s="291"/>
      <c r="M7" s="291"/>
      <c r="N7" s="292"/>
      <c r="O7" s="290" t="s">
        <v>231</v>
      </c>
      <c r="P7" s="291"/>
      <c r="Q7" s="291"/>
      <c r="R7" s="292"/>
      <c r="S7" s="290" t="s">
        <v>230</v>
      </c>
      <c r="T7" s="291"/>
      <c r="U7" s="291"/>
      <c r="V7" s="292"/>
      <c r="W7" s="290" t="s">
        <v>229</v>
      </c>
      <c r="X7" s="291"/>
      <c r="Y7" s="291"/>
      <c r="Z7" s="292"/>
      <c r="AA7" s="290" t="s">
        <v>212</v>
      </c>
      <c r="AB7" s="291"/>
      <c r="AC7" s="291"/>
      <c r="AD7" s="292"/>
    </row>
    <row r="8" spans="2:30" ht="15.4" customHeight="1" thickTop="1" thickBot="1">
      <c r="D8" s="289"/>
      <c r="E8" s="279"/>
      <c r="F8" s="279"/>
      <c r="G8" s="293"/>
      <c r="H8" s="294"/>
      <c r="I8" s="294"/>
      <c r="J8" s="295"/>
      <c r="K8" s="293"/>
      <c r="L8" s="294"/>
      <c r="M8" s="294"/>
      <c r="N8" s="295"/>
      <c r="O8" s="293"/>
      <c r="P8" s="294"/>
      <c r="Q8" s="294"/>
      <c r="R8" s="295"/>
      <c r="S8" s="293"/>
      <c r="T8" s="294"/>
      <c r="U8" s="294"/>
      <c r="V8" s="295"/>
      <c r="W8" s="293"/>
      <c r="X8" s="294"/>
      <c r="Y8" s="294"/>
      <c r="Z8" s="295"/>
      <c r="AA8" s="293"/>
      <c r="AB8" s="294"/>
      <c r="AC8" s="294"/>
      <c r="AD8" s="295"/>
    </row>
    <row r="9" spans="2:30" ht="16.5" thickTop="1" thickBot="1">
      <c r="D9" s="289"/>
      <c r="E9" s="279"/>
      <c r="F9" s="279"/>
      <c r="G9" s="255" t="s">
        <v>4</v>
      </c>
      <c r="H9" s="255" t="s">
        <v>9</v>
      </c>
      <c r="I9" s="255" t="s">
        <v>217</v>
      </c>
      <c r="J9" s="255" t="s">
        <v>114</v>
      </c>
      <c r="K9" s="255" t="s">
        <v>4</v>
      </c>
      <c r="L9" s="255" t="s">
        <v>9</v>
      </c>
      <c r="M9" s="255" t="s">
        <v>217</v>
      </c>
      <c r="N9" s="255" t="s">
        <v>114</v>
      </c>
      <c r="O9" s="255" t="s">
        <v>4</v>
      </c>
      <c r="P9" s="255" t="s">
        <v>9</v>
      </c>
      <c r="Q9" s="255" t="s">
        <v>217</v>
      </c>
      <c r="R9" s="255" t="s">
        <v>114</v>
      </c>
      <c r="S9" s="255" t="s">
        <v>4</v>
      </c>
      <c r="T9" s="255" t="s">
        <v>9</v>
      </c>
      <c r="U9" s="255" t="s">
        <v>217</v>
      </c>
      <c r="V9" s="255" t="s">
        <v>114</v>
      </c>
      <c r="W9" s="255" t="s">
        <v>4</v>
      </c>
      <c r="X9" s="255" t="s">
        <v>9</v>
      </c>
      <c r="Y9" s="255" t="s">
        <v>217</v>
      </c>
      <c r="Z9" s="255" t="s">
        <v>114</v>
      </c>
      <c r="AA9" s="255" t="s">
        <v>4</v>
      </c>
      <c r="AB9" s="255" t="s">
        <v>9</v>
      </c>
      <c r="AC9" s="255" t="s">
        <v>217</v>
      </c>
      <c r="AD9" s="255" t="s">
        <v>114</v>
      </c>
    </row>
    <row r="10" spans="2:30" ht="16.5" thickTop="1" thickBot="1">
      <c r="D10" s="274">
        <v>1</v>
      </c>
      <c r="E10" s="279"/>
      <c r="F10" s="255" t="s">
        <v>214</v>
      </c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  <c r="AC10" s="255"/>
      <c r="AD10" s="255"/>
    </row>
    <row r="11" spans="2:30" ht="16.5" thickTop="1" thickBot="1">
      <c r="B11" t="s">
        <v>215</v>
      </c>
      <c r="D11" s="274"/>
      <c r="E11" s="279"/>
      <c r="F11" s="230" t="s">
        <v>213</v>
      </c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</row>
    <row r="12" spans="2:30" ht="16.5" thickTop="1" thickBot="1">
      <c r="D12" s="274">
        <v>2</v>
      </c>
      <c r="E12" s="279"/>
      <c r="F12" s="230" t="s">
        <v>214</v>
      </c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</row>
    <row r="13" spans="2:30" ht="16.5" thickTop="1" thickBot="1">
      <c r="D13" s="274"/>
      <c r="E13" s="279"/>
      <c r="F13" s="230" t="s">
        <v>213</v>
      </c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</row>
    <row r="14" spans="2:30" ht="16.5" thickTop="1" thickBot="1">
      <c r="D14" s="274">
        <v>3</v>
      </c>
      <c r="E14" s="279"/>
      <c r="F14" s="230" t="s">
        <v>214</v>
      </c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</row>
    <row r="15" spans="2:30" ht="16.5" thickTop="1" thickBot="1">
      <c r="D15" s="274"/>
      <c r="E15" s="279"/>
      <c r="F15" s="230" t="s">
        <v>213</v>
      </c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</row>
    <row r="16" spans="2:30" ht="16.5" thickTop="1" thickBot="1">
      <c r="D16" s="274">
        <v>4</v>
      </c>
      <c r="E16" s="275"/>
      <c r="F16" s="255" t="s">
        <v>214</v>
      </c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</row>
    <row r="17" spans="4:30" ht="16.5" thickTop="1" thickBot="1">
      <c r="D17" s="274"/>
      <c r="E17" s="276"/>
      <c r="F17" s="230" t="s">
        <v>213</v>
      </c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</row>
    <row r="18" spans="4:30" ht="16.5" thickTop="1" thickBot="1">
      <c r="D18" s="274">
        <v>5</v>
      </c>
      <c r="E18" s="275"/>
      <c r="F18" s="230" t="s">
        <v>214</v>
      </c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</row>
    <row r="19" spans="4:30" ht="16.5" thickTop="1" thickBot="1">
      <c r="D19" s="274"/>
      <c r="E19" s="276"/>
      <c r="F19" s="230" t="s">
        <v>213</v>
      </c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</row>
    <row r="20" spans="4:30" ht="16.5" thickTop="1" thickBot="1">
      <c r="D20" s="274">
        <v>6</v>
      </c>
      <c r="E20" s="275"/>
      <c r="F20" s="230" t="s">
        <v>214</v>
      </c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</row>
    <row r="21" spans="4:30" ht="16.5" thickTop="1" thickBot="1">
      <c r="D21" s="274"/>
      <c r="E21" s="276"/>
      <c r="F21" s="230" t="s">
        <v>213</v>
      </c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</row>
    <row r="22" spans="4:30" ht="16.5" thickTop="1" thickBot="1">
      <c r="D22" s="274">
        <v>7</v>
      </c>
      <c r="E22" s="275"/>
      <c r="F22" s="255" t="s">
        <v>214</v>
      </c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</row>
    <row r="23" spans="4:30" ht="16.5" thickTop="1" thickBot="1">
      <c r="D23" s="274"/>
      <c r="E23" s="276"/>
      <c r="F23" s="230" t="s">
        <v>213</v>
      </c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</row>
    <row r="24" spans="4:30" ht="16.5" thickTop="1" thickBot="1">
      <c r="D24" s="274">
        <v>8</v>
      </c>
      <c r="E24" s="275"/>
      <c r="F24" s="230" t="s">
        <v>214</v>
      </c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</row>
    <row r="25" spans="4:30" ht="16.5" thickTop="1" thickBot="1">
      <c r="D25" s="274"/>
      <c r="E25" s="276"/>
      <c r="F25" s="230" t="s">
        <v>213</v>
      </c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</row>
    <row r="26" spans="4:30" ht="16.5" thickTop="1" thickBot="1">
      <c r="D26" s="274">
        <v>9</v>
      </c>
      <c r="E26" s="275"/>
      <c r="F26" s="230" t="s">
        <v>214</v>
      </c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</row>
    <row r="27" spans="4:30" ht="16.5" thickTop="1" thickBot="1">
      <c r="D27" s="274"/>
      <c r="E27" s="276"/>
      <c r="F27" s="230" t="s">
        <v>213</v>
      </c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</row>
    <row r="28" spans="4:30" ht="16.5" thickTop="1" thickBot="1">
      <c r="D28" s="274">
        <v>10</v>
      </c>
      <c r="E28" s="275"/>
      <c r="F28" s="255" t="s">
        <v>214</v>
      </c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</row>
    <row r="29" spans="4:30" ht="16.5" thickTop="1" thickBot="1">
      <c r="D29" s="274"/>
      <c r="E29" s="276"/>
      <c r="F29" s="230" t="s">
        <v>213</v>
      </c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</row>
    <row r="30" spans="4:30" ht="16.5" thickTop="1" thickBot="1">
      <c r="D30" s="274">
        <v>11</v>
      </c>
      <c r="E30" s="275"/>
      <c r="F30" s="230" t="s">
        <v>214</v>
      </c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</row>
    <row r="31" spans="4:30" ht="16.5" thickTop="1" thickBot="1">
      <c r="D31" s="274"/>
      <c r="E31" s="276"/>
      <c r="F31" s="230" t="s">
        <v>213</v>
      </c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</row>
    <row r="32" spans="4:30" ht="16.5" thickTop="1" thickBot="1">
      <c r="D32" s="274">
        <v>12</v>
      </c>
      <c r="E32" s="275"/>
      <c r="F32" s="230" t="s">
        <v>214</v>
      </c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</row>
    <row r="33" spans="4:30" ht="16.5" thickTop="1" thickBot="1">
      <c r="D33" s="274"/>
      <c r="E33" s="276"/>
      <c r="F33" s="230" t="s">
        <v>213</v>
      </c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</row>
    <row r="34" spans="4:30" ht="16.5" thickTop="1" thickBot="1">
      <c r="D34" s="274">
        <v>13</v>
      </c>
      <c r="E34" s="275"/>
      <c r="F34" s="255" t="s">
        <v>214</v>
      </c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</row>
    <row r="35" spans="4:30" ht="16.5" thickTop="1" thickBot="1">
      <c r="D35" s="274"/>
      <c r="E35" s="276"/>
      <c r="F35" s="230" t="s">
        <v>213</v>
      </c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</row>
    <row r="36" spans="4:30" ht="16.5" thickTop="1" thickBot="1">
      <c r="D36" s="274">
        <v>14</v>
      </c>
      <c r="E36" s="275"/>
      <c r="F36" s="230" t="s">
        <v>214</v>
      </c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</row>
    <row r="37" spans="4:30" ht="16.5" thickTop="1" thickBot="1">
      <c r="D37" s="274"/>
      <c r="E37" s="276"/>
      <c r="F37" s="230" t="s">
        <v>213</v>
      </c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</row>
    <row r="38" spans="4:30" ht="16.5" thickTop="1" thickBot="1">
      <c r="D38" s="274">
        <v>15</v>
      </c>
      <c r="E38" s="275"/>
      <c r="F38" s="230" t="s">
        <v>214</v>
      </c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</row>
    <row r="39" spans="4:30" ht="16.5" thickTop="1" thickBot="1">
      <c r="D39" s="274"/>
      <c r="E39" s="276"/>
      <c r="F39" s="230" t="s">
        <v>213</v>
      </c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</row>
    <row r="40" spans="4:30" ht="16.5" thickTop="1" thickBot="1">
      <c r="D40" s="274">
        <v>16</v>
      </c>
      <c r="E40" s="275"/>
      <c r="F40" s="255" t="s">
        <v>214</v>
      </c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</row>
    <row r="41" spans="4:30" ht="16.5" thickTop="1" thickBot="1">
      <c r="D41" s="274"/>
      <c r="E41" s="276"/>
      <c r="F41" s="230" t="s">
        <v>213</v>
      </c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</row>
    <row r="42" spans="4:30" ht="16.5" thickTop="1" thickBot="1">
      <c r="D42" s="274">
        <v>17</v>
      </c>
      <c r="E42" s="275"/>
      <c r="F42" s="230" t="s">
        <v>214</v>
      </c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</row>
    <row r="43" spans="4:30" ht="16.5" thickTop="1" thickBot="1">
      <c r="D43" s="274"/>
      <c r="E43" s="276"/>
      <c r="F43" s="230" t="s">
        <v>213</v>
      </c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</row>
    <row r="44" spans="4:30" ht="16.5" thickTop="1" thickBot="1">
      <c r="D44" s="274">
        <v>18</v>
      </c>
      <c r="E44" s="275"/>
      <c r="F44" s="230" t="s">
        <v>214</v>
      </c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spans="4:30" ht="16.5" thickTop="1" thickBot="1">
      <c r="D45" s="274"/>
      <c r="E45" s="276"/>
      <c r="F45" s="230" t="s">
        <v>213</v>
      </c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</row>
    <row r="46" spans="4:30" ht="16.5" thickTop="1" thickBot="1">
      <c r="D46" s="274">
        <v>19</v>
      </c>
      <c r="E46" s="275"/>
      <c r="F46" s="230" t="s">
        <v>214</v>
      </c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</row>
    <row r="47" spans="4:30" ht="16.5" thickTop="1" thickBot="1">
      <c r="D47" s="274"/>
      <c r="E47" s="276"/>
      <c r="F47" s="230" t="s">
        <v>213</v>
      </c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</row>
    <row r="48" spans="4:30" ht="16.5" thickTop="1" thickBot="1">
      <c r="D48" s="274">
        <v>20</v>
      </c>
      <c r="E48" s="275"/>
      <c r="F48" s="230" t="s">
        <v>214</v>
      </c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</row>
    <row r="49" spans="4:30" ht="16.5" thickTop="1" thickBot="1">
      <c r="D49" s="274"/>
      <c r="E49" s="276"/>
      <c r="F49" s="230" t="s">
        <v>213</v>
      </c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</row>
    <row r="50" spans="4:30" ht="16.5" thickTop="1" thickBot="1">
      <c r="D50" s="298"/>
      <c r="E50" s="292" t="s">
        <v>7</v>
      </c>
      <c r="F50" s="296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</row>
    <row r="51" spans="4:30" ht="16.5" thickTop="1" thickBot="1">
      <c r="D51" s="299"/>
      <c r="E51" s="295"/>
      <c r="F51" s="297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</row>
    <row r="52" spans="4:30" ht="15.4" customHeight="1" thickTop="1"/>
    <row r="54" spans="4:30">
      <c r="H54" t="s">
        <v>203</v>
      </c>
      <c r="V54" t="s">
        <v>204</v>
      </c>
    </row>
  </sheetData>
  <mergeCells count="52">
    <mergeCell ref="D50:D51"/>
    <mergeCell ref="E50:E51"/>
    <mergeCell ref="F50:F51"/>
    <mergeCell ref="D44:D45"/>
    <mergeCell ref="E44:E45"/>
    <mergeCell ref="D46:D47"/>
    <mergeCell ref="E46:E47"/>
    <mergeCell ref="D48:D49"/>
    <mergeCell ref="E48:E49"/>
    <mergeCell ref="D38:D39"/>
    <mergeCell ref="E38:E39"/>
    <mergeCell ref="D40:D41"/>
    <mergeCell ref="E40:E41"/>
    <mergeCell ref="D42:D43"/>
    <mergeCell ref="E42:E43"/>
    <mergeCell ref="D32:D33"/>
    <mergeCell ref="E32:E33"/>
    <mergeCell ref="D34:D35"/>
    <mergeCell ref="E34:E35"/>
    <mergeCell ref="D36:D37"/>
    <mergeCell ref="E36:E37"/>
    <mergeCell ref="D26:D27"/>
    <mergeCell ref="E26:E27"/>
    <mergeCell ref="D28:D29"/>
    <mergeCell ref="E28:E29"/>
    <mergeCell ref="D30:D31"/>
    <mergeCell ref="E30:E31"/>
    <mergeCell ref="D20:D21"/>
    <mergeCell ref="E20:E21"/>
    <mergeCell ref="D22:D23"/>
    <mergeCell ref="E22:E23"/>
    <mergeCell ref="D24:D25"/>
    <mergeCell ref="E24:E25"/>
    <mergeCell ref="D14:D15"/>
    <mergeCell ref="E14:E15"/>
    <mergeCell ref="D16:D17"/>
    <mergeCell ref="E16:E17"/>
    <mergeCell ref="D18:D19"/>
    <mergeCell ref="E18:E19"/>
    <mergeCell ref="S7:V8"/>
    <mergeCell ref="W7:Z8"/>
    <mergeCell ref="AA7:AD8"/>
    <mergeCell ref="D10:D11"/>
    <mergeCell ref="E10:E11"/>
    <mergeCell ref="D12:D13"/>
    <mergeCell ref="E12:E13"/>
    <mergeCell ref="D7:D9"/>
    <mergeCell ref="E7:E9"/>
    <mergeCell ref="F7:F9"/>
    <mergeCell ref="G7:J8"/>
    <mergeCell ref="K7:N8"/>
    <mergeCell ref="O7:R8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8609-8B40-487B-A614-4CC91FA30C03}">
  <dimension ref="B5:AT17"/>
  <sheetViews>
    <sheetView rightToLeft="1" zoomScale="55" zoomScaleNormal="55" workbookViewId="0">
      <selection activeCell="H34" sqref="H33:H34"/>
    </sheetView>
  </sheetViews>
  <sheetFormatPr defaultRowHeight="14.25"/>
  <cols>
    <col min="4" max="4" width="4.625" customWidth="1"/>
    <col min="5" max="5" width="12.875" bestFit="1" customWidth="1"/>
  </cols>
  <sheetData>
    <row r="5" spans="2:46" ht="22.5">
      <c r="Q5" s="287" t="s">
        <v>318</v>
      </c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</row>
    <row r="6" spans="2:46" ht="15" thickBot="1"/>
    <row r="7" spans="2:46" ht="18" customHeight="1" thickTop="1" thickBot="1">
      <c r="D7" s="288" t="s">
        <v>1</v>
      </c>
      <c r="E7" s="286" t="s">
        <v>75</v>
      </c>
      <c r="F7" s="286" t="s">
        <v>228</v>
      </c>
      <c r="G7" s="280" t="s">
        <v>227</v>
      </c>
      <c r="H7" s="281"/>
      <c r="I7" s="281"/>
      <c r="J7" s="282"/>
      <c r="K7" s="280" t="s">
        <v>226</v>
      </c>
      <c r="L7" s="281"/>
      <c r="M7" s="281"/>
      <c r="N7" s="282"/>
      <c r="O7" s="280" t="s">
        <v>225</v>
      </c>
      <c r="P7" s="281"/>
      <c r="Q7" s="281"/>
      <c r="R7" s="282"/>
      <c r="S7" s="280" t="s">
        <v>224</v>
      </c>
      <c r="T7" s="281"/>
      <c r="U7" s="281"/>
      <c r="V7" s="282"/>
      <c r="W7" s="280" t="s">
        <v>223</v>
      </c>
      <c r="X7" s="281"/>
      <c r="Y7" s="281"/>
      <c r="Z7" s="282"/>
      <c r="AA7" s="280" t="s">
        <v>222</v>
      </c>
      <c r="AB7" s="281"/>
      <c r="AC7" s="281"/>
      <c r="AD7" s="282"/>
      <c r="AE7" s="280" t="s">
        <v>221</v>
      </c>
      <c r="AF7" s="281"/>
      <c r="AG7" s="281"/>
      <c r="AH7" s="282"/>
      <c r="AI7" s="280" t="s">
        <v>220</v>
      </c>
      <c r="AJ7" s="281"/>
      <c r="AK7" s="281"/>
      <c r="AL7" s="282"/>
      <c r="AM7" s="286" t="s">
        <v>219</v>
      </c>
      <c r="AN7" s="286"/>
      <c r="AO7" s="286"/>
      <c r="AP7" s="286"/>
      <c r="AQ7" s="286" t="s">
        <v>218</v>
      </c>
      <c r="AR7" s="286"/>
      <c r="AS7" s="286"/>
      <c r="AT7" s="286"/>
    </row>
    <row r="8" spans="2:46" ht="18" customHeight="1" thickTop="1" thickBot="1">
      <c r="D8" s="288"/>
      <c r="E8" s="286"/>
      <c r="F8" s="286"/>
      <c r="G8" s="283"/>
      <c r="H8" s="284"/>
      <c r="I8" s="284"/>
      <c r="J8" s="285"/>
      <c r="K8" s="283"/>
      <c r="L8" s="284"/>
      <c r="M8" s="284"/>
      <c r="N8" s="285"/>
      <c r="O8" s="283"/>
      <c r="P8" s="284"/>
      <c r="Q8" s="284"/>
      <c r="R8" s="285"/>
      <c r="S8" s="283"/>
      <c r="T8" s="284"/>
      <c r="U8" s="284"/>
      <c r="V8" s="285"/>
      <c r="W8" s="283"/>
      <c r="X8" s="284"/>
      <c r="Y8" s="284"/>
      <c r="Z8" s="285"/>
      <c r="AA8" s="283"/>
      <c r="AB8" s="284"/>
      <c r="AC8" s="284"/>
      <c r="AD8" s="285"/>
      <c r="AE8" s="283"/>
      <c r="AF8" s="284"/>
      <c r="AG8" s="284"/>
      <c r="AH8" s="285"/>
      <c r="AI8" s="283"/>
      <c r="AJ8" s="284"/>
      <c r="AK8" s="284"/>
      <c r="AL8" s="285"/>
      <c r="AM8" s="286"/>
      <c r="AN8" s="286"/>
      <c r="AO8" s="286"/>
      <c r="AP8" s="286"/>
      <c r="AQ8" s="286"/>
      <c r="AR8" s="286"/>
      <c r="AS8" s="286"/>
      <c r="AT8" s="286"/>
    </row>
    <row r="9" spans="2:46" ht="19.899999999999999" customHeight="1" thickTop="1" thickBot="1">
      <c r="D9" s="288"/>
      <c r="E9" s="286"/>
      <c r="F9" s="286"/>
      <c r="G9" s="254" t="s">
        <v>4</v>
      </c>
      <c r="H9" s="254" t="s">
        <v>9</v>
      </c>
      <c r="I9" s="254" t="s">
        <v>217</v>
      </c>
      <c r="J9" s="254" t="s">
        <v>114</v>
      </c>
      <c r="K9" s="254" t="s">
        <v>4</v>
      </c>
      <c r="L9" s="254" t="s">
        <v>9</v>
      </c>
      <c r="M9" s="254" t="s">
        <v>217</v>
      </c>
      <c r="N9" s="254" t="s">
        <v>114</v>
      </c>
      <c r="O9" s="254" t="s">
        <v>4</v>
      </c>
      <c r="P9" s="254" t="s">
        <v>9</v>
      </c>
      <c r="Q9" s="254" t="s">
        <v>217</v>
      </c>
      <c r="R9" s="254" t="s">
        <v>114</v>
      </c>
      <c r="S9" s="254" t="s">
        <v>4</v>
      </c>
      <c r="T9" s="254" t="s">
        <v>9</v>
      </c>
      <c r="U9" s="254" t="s">
        <v>217</v>
      </c>
      <c r="V9" s="254" t="s">
        <v>114</v>
      </c>
      <c r="W9" s="254" t="s">
        <v>4</v>
      </c>
      <c r="X9" s="254" t="s">
        <v>9</v>
      </c>
      <c r="Y9" s="254" t="s">
        <v>217</v>
      </c>
      <c r="Z9" s="254" t="s">
        <v>114</v>
      </c>
      <c r="AA9" s="254" t="s">
        <v>4</v>
      </c>
      <c r="AB9" s="254" t="s">
        <v>9</v>
      </c>
      <c r="AC9" s="254" t="s">
        <v>217</v>
      </c>
      <c r="AD9" s="254" t="s">
        <v>114</v>
      </c>
      <c r="AE9" s="254" t="s">
        <v>4</v>
      </c>
      <c r="AF9" s="254" t="s">
        <v>9</v>
      </c>
      <c r="AG9" s="254" t="s">
        <v>217</v>
      </c>
      <c r="AH9" s="254" t="s">
        <v>114</v>
      </c>
      <c r="AI9" s="254" t="s">
        <v>4</v>
      </c>
      <c r="AJ9" s="254" t="s">
        <v>9</v>
      </c>
      <c r="AK9" s="254" t="s">
        <v>217</v>
      </c>
      <c r="AL9" s="254" t="s">
        <v>114</v>
      </c>
      <c r="AM9" s="239" t="s">
        <v>4</v>
      </c>
      <c r="AN9" s="239" t="s">
        <v>9</v>
      </c>
      <c r="AO9" s="239" t="s">
        <v>216</v>
      </c>
      <c r="AP9" s="239" t="s">
        <v>114</v>
      </c>
      <c r="AQ9" s="239" t="s">
        <v>4</v>
      </c>
      <c r="AR9" s="239" t="s">
        <v>9</v>
      </c>
      <c r="AS9" s="239" t="s">
        <v>216</v>
      </c>
      <c r="AT9" s="239" t="s">
        <v>114</v>
      </c>
    </row>
    <row r="10" spans="2:46" ht="25.15" customHeight="1" thickTop="1" thickBot="1">
      <c r="D10" s="274">
        <v>1</v>
      </c>
      <c r="E10" s="279"/>
      <c r="F10" s="255" t="s">
        <v>214</v>
      </c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  <c r="AM10" s="228"/>
      <c r="AN10" s="228"/>
      <c r="AO10" s="228"/>
      <c r="AP10" s="228"/>
      <c r="AQ10" s="228"/>
      <c r="AR10" s="228"/>
      <c r="AS10" s="228"/>
      <c r="AT10" s="228"/>
    </row>
    <row r="11" spans="2:46" ht="25.15" customHeight="1" thickTop="1" thickBot="1">
      <c r="B11" t="s">
        <v>215</v>
      </c>
      <c r="D11" s="274"/>
      <c r="E11" s="279"/>
      <c r="F11" s="230" t="s">
        <v>213</v>
      </c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28"/>
      <c r="AN11" s="228"/>
      <c r="AO11" s="228"/>
      <c r="AP11" s="228"/>
      <c r="AQ11" s="228"/>
      <c r="AR11" s="228"/>
      <c r="AS11" s="228"/>
      <c r="AT11" s="228"/>
    </row>
    <row r="12" spans="2:46" ht="15.4" customHeight="1" thickTop="1"/>
    <row r="16" spans="2:46" ht="23.25">
      <c r="E16" s="451"/>
      <c r="F16" s="451"/>
      <c r="G16" s="451"/>
      <c r="H16" s="451"/>
      <c r="I16" s="451"/>
      <c r="J16" s="451"/>
      <c r="K16" s="451"/>
      <c r="L16" s="451"/>
      <c r="M16" s="451"/>
      <c r="N16" s="451"/>
      <c r="O16" s="451"/>
      <c r="P16" s="451"/>
      <c r="Q16" s="451"/>
      <c r="R16" s="451"/>
      <c r="S16" s="451"/>
      <c r="T16" s="451"/>
      <c r="U16" s="451"/>
      <c r="V16" s="451"/>
      <c r="W16" s="451"/>
      <c r="X16" s="451"/>
      <c r="Y16" s="451"/>
      <c r="Z16" s="451"/>
      <c r="AA16" s="451"/>
      <c r="AB16" s="451"/>
      <c r="AC16" s="451"/>
      <c r="AD16" s="451"/>
      <c r="AE16" s="451"/>
      <c r="AF16" s="451"/>
      <c r="AG16" s="451"/>
      <c r="AH16" s="451"/>
      <c r="AI16" s="451" t="s">
        <v>204</v>
      </c>
      <c r="AJ16" s="451"/>
      <c r="AK16" s="451"/>
      <c r="AL16" s="451"/>
      <c r="AM16" s="451"/>
      <c r="AN16" s="451"/>
    </row>
    <row r="17" spans="5:40" ht="23.25">
      <c r="E17" s="451" t="s">
        <v>317</v>
      </c>
      <c r="F17" s="451"/>
      <c r="G17" s="451"/>
      <c r="H17" s="451"/>
      <c r="I17" s="451"/>
      <c r="J17" s="451"/>
      <c r="K17" s="451"/>
      <c r="L17" s="451" t="s">
        <v>203</v>
      </c>
      <c r="M17" s="451"/>
      <c r="N17" s="451"/>
      <c r="O17" s="451"/>
      <c r="P17" s="451"/>
      <c r="Q17" s="451"/>
      <c r="R17" s="451"/>
      <c r="S17" s="451"/>
      <c r="T17" s="451"/>
      <c r="U17" s="451"/>
      <c r="V17" s="451"/>
      <c r="W17" s="451"/>
      <c r="X17" s="451"/>
      <c r="Y17" s="451"/>
      <c r="Z17" s="451"/>
      <c r="AA17" s="451"/>
      <c r="AB17" s="451"/>
      <c r="AC17" s="451"/>
      <c r="AD17" s="451"/>
      <c r="AE17" s="451"/>
      <c r="AF17" s="451"/>
      <c r="AG17" s="451"/>
      <c r="AH17" s="451"/>
      <c r="AI17" s="451"/>
      <c r="AJ17" s="451"/>
      <c r="AK17" s="451"/>
      <c r="AL17" s="451"/>
      <c r="AM17" s="451"/>
      <c r="AN17" s="451"/>
    </row>
  </sheetData>
  <mergeCells count="16">
    <mergeCell ref="AE7:AH8"/>
    <mergeCell ref="AI7:AL8"/>
    <mergeCell ref="AM7:AP8"/>
    <mergeCell ref="AQ7:AT8"/>
    <mergeCell ref="D10:D11"/>
    <mergeCell ref="E10:E11"/>
    <mergeCell ref="Q5:AC5"/>
    <mergeCell ref="D7:D9"/>
    <mergeCell ref="E7:E9"/>
    <mergeCell ref="F7:F9"/>
    <mergeCell ref="G7:J8"/>
    <mergeCell ref="K7:N8"/>
    <mergeCell ref="O7:R8"/>
    <mergeCell ref="S7:V8"/>
    <mergeCell ref="W7:Z8"/>
    <mergeCell ref="AA7:AD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AT56"/>
  <sheetViews>
    <sheetView rightToLeft="1" topLeftCell="A4" zoomScale="55" zoomScaleNormal="55" workbookViewId="0">
      <selection activeCell="H4" sqref="H4"/>
    </sheetView>
  </sheetViews>
  <sheetFormatPr defaultRowHeight="14.25"/>
  <cols>
    <col min="4" max="4" width="4.625" customWidth="1"/>
    <col min="5" max="5" width="12.875" bestFit="1" customWidth="1"/>
  </cols>
  <sheetData>
    <row r="5" spans="2:46" ht="22.5">
      <c r="Q5" s="287" t="s">
        <v>261</v>
      </c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</row>
    <row r="6" spans="2:46" ht="15" thickBot="1"/>
    <row r="7" spans="2:46" ht="18" customHeight="1" thickTop="1" thickBot="1">
      <c r="D7" s="288" t="s">
        <v>1</v>
      </c>
      <c r="E7" s="286" t="s">
        <v>75</v>
      </c>
      <c r="F7" s="286" t="s">
        <v>228</v>
      </c>
      <c r="G7" s="280" t="s">
        <v>227</v>
      </c>
      <c r="H7" s="281"/>
      <c r="I7" s="281"/>
      <c r="J7" s="282"/>
      <c r="K7" s="280" t="s">
        <v>226</v>
      </c>
      <c r="L7" s="281"/>
      <c r="M7" s="281"/>
      <c r="N7" s="282"/>
      <c r="O7" s="280" t="s">
        <v>225</v>
      </c>
      <c r="P7" s="281"/>
      <c r="Q7" s="281"/>
      <c r="R7" s="282"/>
      <c r="S7" s="280" t="s">
        <v>224</v>
      </c>
      <c r="T7" s="281"/>
      <c r="U7" s="281"/>
      <c r="V7" s="282"/>
      <c r="W7" s="280" t="s">
        <v>223</v>
      </c>
      <c r="X7" s="281"/>
      <c r="Y7" s="281"/>
      <c r="Z7" s="282"/>
      <c r="AA7" s="280" t="s">
        <v>222</v>
      </c>
      <c r="AB7" s="281"/>
      <c r="AC7" s="281"/>
      <c r="AD7" s="282"/>
      <c r="AE7" s="280" t="s">
        <v>221</v>
      </c>
      <c r="AF7" s="281"/>
      <c r="AG7" s="281"/>
      <c r="AH7" s="282"/>
      <c r="AI7" s="280" t="s">
        <v>220</v>
      </c>
      <c r="AJ7" s="281"/>
      <c r="AK7" s="281"/>
      <c r="AL7" s="282"/>
      <c r="AM7" s="286" t="s">
        <v>219</v>
      </c>
      <c r="AN7" s="286"/>
      <c r="AO7" s="286"/>
      <c r="AP7" s="286"/>
      <c r="AQ7" s="286" t="s">
        <v>218</v>
      </c>
      <c r="AR7" s="286"/>
      <c r="AS7" s="286"/>
      <c r="AT7" s="286"/>
    </row>
    <row r="8" spans="2:46" ht="18" customHeight="1" thickTop="1" thickBot="1">
      <c r="D8" s="288"/>
      <c r="E8" s="286"/>
      <c r="F8" s="286"/>
      <c r="G8" s="283"/>
      <c r="H8" s="284"/>
      <c r="I8" s="284"/>
      <c r="J8" s="285"/>
      <c r="K8" s="283"/>
      <c r="L8" s="284"/>
      <c r="M8" s="284"/>
      <c r="N8" s="285"/>
      <c r="O8" s="283"/>
      <c r="P8" s="284"/>
      <c r="Q8" s="284"/>
      <c r="R8" s="285"/>
      <c r="S8" s="283"/>
      <c r="T8" s="284"/>
      <c r="U8" s="284"/>
      <c r="V8" s="285"/>
      <c r="W8" s="283"/>
      <c r="X8" s="284"/>
      <c r="Y8" s="284"/>
      <c r="Z8" s="285"/>
      <c r="AA8" s="283"/>
      <c r="AB8" s="284"/>
      <c r="AC8" s="284"/>
      <c r="AD8" s="285"/>
      <c r="AE8" s="283"/>
      <c r="AF8" s="284"/>
      <c r="AG8" s="284"/>
      <c r="AH8" s="285"/>
      <c r="AI8" s="283"/>
      <c r="AJ8" s="284"/>
      <c r="AK8" s="284"/>
      <c r="AL8" s="285"/>
      <c r="AM8" s="286"/>
      <c r="AN8" s="286"/>
      <c r="AO8" s="286"/>
      <c r="AP8" s="286"/>
      <c r="AQ8" s="286"/>
      <c r="AR8" s="286"/>
      <c r="AS8" s="286"/>
      <c r="AT8" s="286"/>
    </row>
    <row r="9" spans="2:46" ht="19.899999999999999" customHeight="1" thickTop="1" thickBot="1">
      <c r="D9" s="288"/>
      <c r="E9" s="286"/>
      <c r="F9" s="286"/>
      <c r="G9" s="238" t="s">
        <v>4</v>
      </c>
      <c r="H9" s="238" t="s">
        <v>9</v>
      </c>
      <c r="I9" s="238" t="s">
        <v>217</v>
      </c>
      <c r="J9" s="238" t="s">
        <v>114</v>
      </c>
      <c r="K9" s="238" t="s">
        <v>4</v>
      </c>
      <c r="L9" s="238" t="s">
        <v>9</v>
      </c>
      <c r="M9" s="238" t="s">
        <v>217</v>
      </c>
      <c r="N9" s="238" t="s">
        <v>114</v>
      </c>
      <c r="O9" s="238" t="s">
        <v>4</v>
      </c>
      <c r="P9" s="238" t="s">
        <v>9</v>
      </c>
      <c r="Q9" s="238" t="s">
        <v>217</v>
      </c>
      <c r="R9" s="238" t="s">
        <v>114</v>
      </c>
      <c r="S9" s="238" t="s">
        <v>4</v>
      </c>
      <c r="T9" s="238" t="s">
        <v>9</v>
      </c>
      <c r="U9" s="238" t="s">
        <v>217</v>
      </c>
      <c r="V9" s="238" t="s">
        <v>114</v>
      </c>
      <c r="W9" s="238" t="s">
        <v>4</v>
      </c>
      <c r="X9" s="238" t="s">
        <v>9</v>
      </c>
      <c r="Y9" s="238" t="s">
        <v>217</v>
      </c>
      <c r="Z9" s="238" t="s">
        <v>114</v>
      </c>
      <c r="AA9" s="238" t="s">
        <v>4</v>
      </c>
      <c r="AB9" s="238" t="s">
        <v>9</v>
      </c>
      <c r="AC9" s="238" t="s">
        <v>217</v>
      </c>
      <c r="AD9" s="238" t="s">
        <v>114</v>
      </c>
      <c r="AE9" s="238" t="s">
        <v>4</v>
      </c>
      <c r="AF9" s="238" t="s">
        <v>9</v>
      </c>
      <c r="AG9" s="238" t="s">
        <v>217</v>
      </c>
      <c r="AH9" s="238" t="s">
        <v>114</v>
      </c>
      <c r="AI9" s="238" t="s">
        <v>4</v>
      </c>
      <c r="AJ9" s="238" t="s">
        <v>9</v>
      </c>
      <c r="AK9" s="238" t="s">
        <v>217</v>
      </c>
      <c r="AL9" s="238" t="s">
        <v>114</v>
      </c>
      <c r="AM9" s="239" t="s">
        <v>4</v>
      </c>
      <c r="AN9" s="239" t="s">
        <v>9</v>
      </c>
      <c r="AO9" s="239" t="s">
        <v>216</v>
      </c>
      <c r="AP9" s="239" t="s">
        <v>114</v>
      </c>
      <c r="AQ9" s="239" t="s">
        <v>4</v>
      </c>
      <c r="AR9" s="239" t="s">
        <v>9</v>
      </c>
      <c r="AS9" s="239" t="s">
        <v>216</v>
      </c>
      <c r="AT9" s="239" t="s">
        <v>114</v>
      </c>
    </row>
    <row r="10" spans="2:46" ht="25.15" customHeight="1" thickTop="1" thickBot="1">
      <c r="D10" s="274">
        <v>1</v>
      </c>
      <c r="E10" s="279"/>
      <c r="F10" s="231" t="s">
        <v>214</v>
      </c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28"/>
      <c r="AN10" s="228"/>
      <c r="AO10" s="228"/>
      <c r="AP10" s="228"/>
      <c r="AQ10" s="228"/>
      <c r="AR10" s="228"/>
      <c r="AS10" s="228"/>
      <c r="AT10" s="228"/>
    </row>
    <row r="11" spans="2:46" ht="25.15" customHeight="1" thickTop="1" thickBot="1">
      <c r="B11" t="s">
        <v>215</v>
      </c>
      <c r="D11" s="274"/>
      <c r="E11" s="279"/>
      <c r="F11" s="230" t="s">
        <v>213</v>
      </c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28"/>
      <c r="AN11" s="228"/>
      <c r="AO11" s="228"/>
      <c r="AP11" s="228"/>
      <c r="AQ11" s="228"/>
      <c r="AR11" s="228"/>
      <c r="AS11" s="228"/>
      <c r="AT11" s="228"/>
    </row>
    <row r="12" spans="2:46" ht="25.15" customHeight="1" thickTop="1" thickBot="1">
      <c r="D12" s="274">
        <v>2</v>
      </c>
      <c r="E12" s="279"/>
      <c r="F12" s="230" t="s">
        <v>214</v>
      </c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30"/>
      <c r="AK12" s="230"/>
      <c r="AL12" s="230"/>
      <c r="AM12" s="228"/>
      <c r="AN12" s="228"/>
      <c r="AO12" s="228"/>
      <c r="AP12" s="228"/>
      <c r="AQ12" s="228"/>
      <c r="AR12" s="228"/>
      <c r="AS12" s="228"/>
      <c r="AT12" s="228"/>
    </row>
    <row r="13" spans="2:46" ht="25.15" customHeight="1" thickTop="1" thickBot="1">
      <c r="D13" s="274"/>
      <c r="E13" s="279"/>
      <c r="F13" s="230" t="s">
        <v>213</v>
      </c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28"/>
      <c r="AN13" s="228"/>
      <c r="AO13" s="228"/>
      <c r="AP13" s="228"/>
      <c r="AQ13" s="228"/>
      <c r="AR13" s="228"/>
      <c r="AS13" s="228"/>
      <c r="AT13" s="228"/>
    </row>
    <row r="14" spans="2:46" ht="25.15" customHeight="1" thickTop="1" thickBot="1">
      <c r="D14" s="274">
        <v>3</v>
      </c>
      <c r="E14" s="279"/>
      <c r="F14" s="230" t="s">
        <v>214</v>
      </c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28"/>
      <c r="AN14" s="228"/>
      <c r="AO14" s="228"/>
      <c r="AP14" s="228"/>
      <c r="AQ14" s="228"/>
      <c r="AR14" s="228"/>
      <c r="AS14" s="228"/>
      <c r="AT14" s="228"/>
    </row>
    <row r="15" spans="2:46" ht="25.15" customHeight="1" thickTop="1" thickBot="1">
      <c r="D15" s="274"/>
      <c r="E15" s="279"/>
      <c r="F15" s="230" t="s">
        <v>213</v>
      </c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28"/>
      <c r="AN15" s="228"/>
      <c r="AO15" s="228"/>
      <c r="AP15" s="228"/>
      <c r="AQ15" s="228"/>
      <c r="AR15" s="228"/>
      <c r="AS15" s="228"/>
      <c r="AT15" s="228"/>
    </row>
    <row r="16" spans="2:46" ht="25.15" customHeight="1" thickTop="1" thickBot="1">
      <c r="D16" s="274">
        <v>4</v>
      </c>
      <c r="E16" s="275"/>
      <c r="F16" s="231" t="s">
        <v>214</v>
      </c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28"/>
      <c r="AT16" s="228"/>
    </row>
    <row r="17" spans="4:46" ht="25.15" customHeight="1" thickTop="1" thickBot="1">
      <c r="D17" s="274"/>
      <c r="E17" s="276"/>
      <c r="F17" s="230" t="s">
        <v>213</v>
      </c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</row>
    <row r="18" spans="4:46" ht="25.15" customHeight="1" thickTop="1" thickBot="1">
      <c r="D18" s="274">
        <v>5</v>
      </c>
      <c r="E18" s="275"/>
      <c r="F18" s="230" t="s">
        <v>214</v>
      </c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/>
      <c r="AR18" s="228"/>
      <c r="AS18" s="228"/>
      <c r="AT18" s="228"/>
    </row>
    <row r="19" spans="4:46" ht="25.15" customHeight="1" thickTop="1" thickBot="1">
      <c r="D19" s="274"/>
      <c r="E19" s="276"/>
      <c r="F19" s="230" t="s">
        <v>213</v>
      </c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</row>
    <row r="20" spans="4:46" ht="25.15" customHeight="1" thickTop="1" thickBot="1">
      <c r="D20" s="274">
        <v>6</v>
      </c>
      <c r="E20" s="275"/>
      <c r="F20" s="230" t="s">
        <v>214</v>
      </c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</row>
    <row r="21" spans="4:46" ht="25.15" customHeight="1" thickTop="1" thickBot="1">
      <c r="D21" s="274"/>
      <c r="E21" s="276"/>
      <c r="F21" s="230" t="s">
        <v>213</v>
      </c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</row>
    <row r="22" spans="4:46" ht="25.15" customHeight="1" thickTop="1" thickBot="1">
      <c r="D22" s="274">
        <v>7</v>
      </c>
      <c r="E22" s="275"/>
      <c r="F22" s="231" t="s">
        <v>214</v>
      </c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8"/>
      <c r="AT22" s="228"/>
    </row>
    <row r="23" spans="4:46" ht="25.15" customHeight="1" thickTop="1" thickBot="1">
      <c r="D23" s="274"/>
      <c r="E23" s="276"/>
      <c r="F23" s="230" t="s">
        <v>213</v>
      </c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</row>
    <row r="24" spans="4:46" ht="25.15" customHeight="1" thickTop="1" thickBot="1">
      <c r="D24" s="274">
        <v>8</v>
      </c>
      <c r="E24" s="275"/>
      <c r="F24" s="230" t="s">
        <v>214</v>
      </c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</row>
    <row r="25" spans="4:46" ht="25.15" customHeight="1" thickTop="1" thickBot="1">
      <c r="D25" s="274"/>
      <c r="E25" s="276"/>
      <c r="F25" s="230" t="s">
        <v>213</v>
      </c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</row>
    <row r="26" spans="4:46" ht="25.15" customHeight="1" thickTop="1" thickBot="1">
      <c r="D26" s="274">
        <v>9</v>
      </c>
      <c r="E26" s="275"/>
      <c r="F26" s="230" t="s">
        <v>214</v>
      </c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</row>
    <row r="27" spans="4:46" ht="25.15" customHeight="1" thickTop="1" thickBot="1">
      <c r="D27" s="274"/>
      <c r="E27" s="276"/>
      <c r="F27" s="230" t="s">
        <v>213</v>
      </c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</row>
    <row r="28" spans="4:46" ht="25.15" customHeight="1" thickTop="1" thickBot="1">
      <c r="D28" s="274">
        <v>10</v>
      </c>
      <c r="E28" s="275"/>
      <c r="F28" s="231" t="s">
        <v>214</v>
      </c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</row>
    <row r="29" spans="4:46" ht="25.15" customHeight="1" thickTop="1" thickBot="1">
      <c r="D29" s="274"/>
      <c r="E29" s="276"/>
      <c r="F29" s="230" t="s">
        <v>213</v>
      </c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</row>
    <row r="30" spans="4:46" ht="25.15" customHeight="1" thickTop="1" thickBot="1">
      <c r="D30" s="274">
        <v>11</v>
      </c>
      <c r="E30" s="275"/>
      <c r="F30" s="230" t="s">
        <v>214</v>
      </c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</row>
    <row r="31" spans="4:46" ht="25.15" customHeight="1" thickTop="1" thickBot="1">
      <c r="D31" s="274"/>
      <c r="E31" s="276"/>
      <c r="F31" s="230" t="s">
        <v>213</v>
      </c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</row>
    <row r="32" spans="4:46" ht="25.15" customHeight="1" thickTop="1" thickBot="1">
      <c r="D32" s="274">
        <v>12</v>
      </c>
      <c r="E32" s="275"/>
      <c r="F32" s="230" t="s">
        <v>214</v>
      </c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</row>
    <row r="33" spans="4:46" ht="25.15" customHeight="1" thickTop="1" thickBot="1">
      <c r="D33" s="274"/>
      <c r="E33" s="276"/>
      <c r="F33" s="230" t="s">
        <v>213</v>
      </c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</row>
    <row r="34" spans="4:46" ht="25.15" customHeight="1" thickTop="1" thickBot="1">
      <c r="D34" s="274">
        <v>13</v>
      </c>
      <c r="E34" s="275"/>
      <c r="F34" s="231" t="s">
        <v>214</v>
      </c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</row>
    <row r="35" spans="4:46" ht="25.15" customHeight="1" thickTop="1" thickBot="1">
      <c r="D35" s="274"/>
      <c r="E35" s="276"/>
      <c r="F35" s="230" t="s">
        <v>213</v>
      </c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</row>
    <row r="36" spans="4:46" ht="25.15" customHeight="1" thickTop="1" thickBot="1">
      <c r="D36" s="274">
        <v>14</v>
      </c>
      <c r="E36" s="275"/>
      <c r="F36" s="230" t="s">
        <v>214</v>
      </c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</row>
    <row r="37" spans="4:46" ht="25.15" customHeight="1" thickTop="1" thickBot="1">
      <c r="D37" s="274"/>
      <c r="E37" s="276"/>
      <c r="F37" s="230" t="s">
        <v>213</v>
      </c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</row>
    <row r="38" spans="4:46" ht="25.15" customHeight="1" thickTop="1" thickBot="1">
      <c r="D38" s="274">
        <v>15</v>
      </c>
      <c r="E38" s="275"/>
      <c r="F38" s="230" t="s">
        <v>214</v>
      </c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</row>
    <row r="39" spans="4:46" ht="25.15" customHeight="1" thickTop="1" thickBot="1">
      <c r="D39" s="274"/>
      <c r="E39" s="276"/>
      <c r="F39" s="230" t="s">
        <v>213</v>
      </c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</row>
    <row r="40" spans="4:46" ht="25.15" customHeight="1" thickTop="1" thickBot="1">
      <c r="D40" s="274">
        <v>16</v>
      </c>
      <c r="E40" s="275"/>
      <c r="F40" s="231" t="s">
        <v>214</v>
      </c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</row>
    <row r="41" spans="4:46" ht="25.15" customHeight="1" thickTop="1" thickBot="1">
      <c r="D41" s="274"/>
      <c r="E41" s="276"/>
      <c r="F41" s="230" t="s">
        <v>213</v>
      </c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</row>
    <row r="42" spans="4:46" ht="25.15" customHeight="1" thickTop="1" thickBot="1">
      <c r="D42" s="274">
        <v>17</v>
      </c>
      <c r="E42" s="275"/>
      <c r="F42" s="230" t="s">
        <v>214</v>
      </c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</row>
    <row r="43" spans="4:46" ht="25.15" customHeight="1" thickTop="1" thickBot="1">
      <c r="D43" s="274"/>
      <c r="E43" s="276"/>
      <c r="F43" s="230" t="s">
        <v>213</v>
      </c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</row>
    <row r="44" spans="4:46" ht="25.15" customHeight="1" thickTop="1" thickBot="1">
      <c r="D44" s="274">
        <v>18</v>
      </c>
      <c r="E44" s="275"/>
      <c r="F44" s="230" t="s">
        <v>214</v>
      </c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</row>
    <row r="45" spans="4:46" ht="25.15" customHeight="1" thickTop="1" thickBot="1">
      <c r="D45" s="274"/>
      <c r="E45" s="276"/>
      <c r="F45" s="230" t="s">
        <v>213</v>
      </c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</row>
    <row r="46" spans="4:46" ht="25.15" customHeight="1" thickTop="1" thickBot="1">
      <c r="D46" s="274">
        <v>19</v>
      </c>
      <c r="E46" s="275"/>
      <c r="F46" s="230" t="s">
        <v>214</v>
      </c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</row>
    <row r="47" spans="4:46" ht="25.15" customHeight="1" thickTop="1" thickBot="1">
      <c r="D47" s="274"/>
      <c r="E47" s="276"/>
      <c r="F47" s="230" t="s">
        <v>213</v>
      </c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</row>
    <row r="48" spans="4:46" ht="25.15" customHeight="1" thickTop="1" thickBot="1">
      <c r="D48" s="274">
        <v>20</v>
      </c>
      <c r="E48" s="275"/>
      <c r="F48" s="230" t="s">
        <v>214</v>
      </c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</row>
    <row r="49" spans="4:46" ht="25.15" customHeight="1" thickTop="1" thickBot="1">
      <c r="D49" s="274"/>
      <c r="E49" s="276"/>
      <c r="F49" s="230" t="s">
        <v>213</v>
      </c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</row>
    <row r="50" spans="4:46" ht="25.15" customHeight="1" thickTop="1" thickBot="1">
      <c r="D50" s="277" t="s">
        <v>212</v>
      </c>
      <c r="E50" s="278"/>
      <c r="F50" s="231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</row>
    <row r="51" spans="4:46" ht="15.4" customHeight="1" thickTop="1"/>
    <row r="55" spans="4:46">
      <c r="AI55" t="s">
        <v>204</v>
      </c>
    </row>
    <row r="56" spans="4:46">
      <c r="L56" t="s">
        <v>203</v>
      </c>
    </row>
  </sheetData>
  <mergeCells count="55">
    <mergeCell ref="Q5:AC5"/>
    <mergeCell ref="D7:D9"/>
    <mergeCell ref="E7:E9"/>
    <mergeCell ref="F7:F9"/>
    <mergeCell ref="G7:J8"/>
    <mergeCell ref="K7:N8"/>
    <mergeCell ref="O7:R8"/>
    <mergeCell ref="S7:V8"/>
    <mergeCell ref="W7:Z8"/>
    <mergeCell ref="AA7:AD8"/>
    <mergeCell ref="AE7:AH8"/>
    <mergeCell ref="AI7:AL8"/>
    <mergeCell ref="AM7:AP8"/>
    <mergeCell ref="AQ7:AT8"/>
    <mergeCell ref="D12:D13"/>
    <mergeCell ref="E12:E13"/>
    <mergeCell ref="D10:D11"/>
    <mergeCell ref="E10:E11"/>
    <mergeCell ref="D14:D15"/>
    <mergeCell ref="E14:E15"/>
    <mergeCell ref="D16:D17"/>
    <mergeCell ref="E16:E17"/>
    <mergeCell ref="D18:D19"/>
    <mergeCell ref="E18:E19"/>
    <mergeCell ref="D20:D21"/>
    <mergeCell ref="E20:E21"/>
    <mergeCell ref="D22:D23"/>
    <mergeCell ref="E22:E23"/>
    <mergeCell ref="D24:D25"/>
    <mergeCell ref="E24:E25"/>
    <mergeCell ref="D26:D27"/>
    <mergeCell ref="E26:E27"/>
    <mergeCell ref="D28:D29"/>
    <mergeCell ref="E28:E29"/>
    <mergeCell ref="D30:D31"/>
    <mergeCell ref="E30:E31"/>
    <mergeCell ref="D32:D33"/>
    <mergeCell ref="E32:E33"/>
    <mergeCell ref="D34:D35"/>
    <mergeCell ref="E34:E35"/>
    <mergeCell ref="D36:D37"/>
    <mergeCell ref="E36:E37"/>
    <mergeCell ref="D38:D39"/>
    <mergeCell ref="E38:E39"/>
    <mergeCell ref="D48:D49"/>
    <mergeCell ref="E48:E49"/>
    <mergeCell ref="D50:E50"/>
    <mergeCell ref="D40:D41"/>
    <mergeCell ref="E40:E41"/>
    <mergeCell ref="D42:D43"/>
    <mergeCell ref="E42:E43"/>
    <mergeCell ref="D44:D45"/>
    <mergeCell ref="E44:E45"/>
    <mergeCell ref="D46:D47"/>
    <mergeCell ref="E46:E4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AT53"/>
  <sheetViews>
    <sheetView rightToLeft="1" topLeftCell="I1" zoomScale="81" workbookViewId="0">
      <selection activeCell="Q3" sqref="Q3"/>
    </sheetView>
  </sheetViews>
  <sheetFormatPr defaultRowHeight="14.25"/>
  <cols>
    <col min="4" max="4" width="4.625" customWidth="1"/>
    <col min="5" max="5" width="12.875" bestFit="1" customWidth="1"/>
  </cols>
  <sheetData>
    <row r="5" spans="2:46" ht="22.5">
      <c r="Q5" s="287" t="s">
        <v>260</v>
      </c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</row>
    <row r="6" spans="2:46" ht="15" thickBot="1"/>
    <row r="7" spans="2:46" ht="15.4" customHeight="1" thickTop="1" thickBot="1">
      <c r="D7" s="289" t="s">
        <v>1</v>
      </c>
      <c r="E7" s="279" t="s">
        <v>75</v>
      </c>
      <c r="F7" s="279" t="s">
        <v>228</v>
      </c>
      <c r="G7" s="290" t="s">
        <v>227</v>
      </c>
      <c r="H7" s="291"/>
      <c r="I7" s="291"/>
      <c r="J7" s="292"/>
      <c r="K7" s="290" t="s">
        <v>226</v>
      </c>
      <c r="L7" s="291"/>
      <c r="M7" s="291"/>
      <c r="N7" s="292"/>
      <c r="O7" s="290" t="s">
        <v>225</v>
      </c>
      <c r="P7" s="291"/>
      <c r="Q7" s="291"/>
      <c r="R7" s="292"/>
      <c r="S7" s="290" t="s">
        <v>224</v>
      </c>
      <c r="T7" s="291"/>
      <c r="U7" s="291"/>
      <c r="V7" s="292"/>
      <c r="W7" s="290" t="s">
        <v>223</v>
      </c>
      <c r="X7" s="291"/>
      <c r="Y7" s="291"/>
      <c r="Z7" s="292"/>
      <c r="AA7" s="290" t="s">
        <v>222</v>
      </c>
      <c r="AB7" s="291"/>
      <c r="AC7" s="291"/>
      <c r="AD7" s="292"/>
      <c r="AE7" s="290" t="s">
        <v>221</v>
      </c>
      <c r="AF7" s="291"/>
      <c r="AG7" s="291"/>
      <c r="AH7" s="292"/>
      <c r="AI7" s="290" t="s">
        <v>220</v>
      </c>
      <c r="AJ7" s="291"/>
      <c r="AK7" s="291"/>
      <c r="AL7" s="292"/>
      <c r="AM7" s="279" t="s">
        <v>219</v>
      </c>
      <c r="AN7" s="279"/>
      <c r="AO7" s="279"/>
      <c r="AP7" s="279"/>
      <c r="AQ7" s="279" t="s">
        <v>218</v>
      </c>
      <c r="AR7" s="279"/>
      <c r="AS7" s="279"/>
      <c r="AT7" s="279"/>
    </row>
    <row r="8" spans="2:46" ht="15.4" customHeight="1" thickTop="1" thickBot="1">
      <c r="D8" s="289"/>
      <c r="E8" s="279"/>
      <c r="F8" s="279"/>
      <c r="G8" s="293"/>
      <c r="H8" s="294"/>
      <c r="I8" s="294"/>
      <c r="J8" s="295"/>
      <c r="K8" s="293"/>
      <c r="L8" s="294"/>
      <c r="M8" s="294"/>
      <c r="N8" s="295"/>
      <c r="O8" s="293"/>
      <c r="P8" s="294"/>
      <c r="Q8" s="294"/>
      <c r="R8" s="295"/>
      <c r="S8" s="293"/>
      <c r="T8" s="294"/>
      <c r="U8" s="294"/>
      <c r="V8" s="295"/>
      <c r="W8" s="293"/>
      <c r="X8" s="294"/>
      <c r="Y8" s="294"/>
      <c r="Z8" s="295"/>
      <c r="AA8" s="293"/>
      <c r="AB8" s="294"/>
      <c r="AC8" s="294"/>
      <c r="AD8" s="295"/>
      <c r="AE8" s="293"/>
      <c r="AF8" s="294"/>
      <c r="AG8" s="294"/>
      <c r="AH8" s="295"/>
      <c r="AI8" s="293"/>
      <c r="AJ8" s="294"/>
      <c r="AK8" s="294"/>
      <c r="AL8" s="295"/>
      <c r="AM8" s="279"/>
      <c r="AN8" s="279"/>
      <c r="AO8" s="279"/>
      <c r="AP8" s="279"/>
      <c r="AQ8" s="279"/>
      <c r="AR8" s="279"/>
      <c r="AS8" s="279"/>
      <c r="AT8" s="279"/>
    </row>
    <row r="9" spans="2:46" ht="16.5" thickTop="1" thickBot="1">
      <c r="D9" s="289"/>
      <c r="E9" s="279"/>
      <c r="F9" s="279"/>
      <c r="G9" s="229" t="s">
        <v>4</v>
      </c>
      <c r="H9" s="229" t="s">
        <v>9</v>
      </c>
      <c r="I9" s="229" t="s">
        <v>217</v>
      </c>
      <c r="J9" s="229" t="s">
        <v>114</v>
      </c>
      <c r="K9" s="229" t="s">
        <v>4</v>
      </c>
      <c r="L9" s="229" t="s">
        <v>9</v>
      </c>
      <c r="M9" s="229" t="s">
        <v>217</v>
      </c>
      <c r="N9" s="229" t="s">
        <v>114</v>
      </c>
      <c r="O9" s="229" t="s">
        <v>4</v>
      </c>
      <c r="P9" s="229" t="s">
        <v>9</v>
      </c>
      <c r="Q9" s="229" t="s">
        <v>217</v>
      </c>
      <c r="R9" s="229" t="s">
        <v>114</v>
      </c>
      <c r="S9" s="229" t="s">
        <v>4</v>
      </c>
      <c r="T9" s="229" t="s">
        <v>9</v>
      </c>
      <c r="U9" s="229" t="s">
        <v>217</v>
      </c>
      <c r="V9" s="229" t="s">
        <v>114</v>
      </c>
      <c r="W9" s="229" t="s">
        <v>4</v>
      </c>
      <c r="X9" s="229" t="s">
        <v>9</v>
      </c>
      <c r="Y9" s="229" t="s">
        <v>217</v>
      </c>
      <c r="Z9" s="229" t="s">
        <v>114</v>
      </c>
      <c r="AA9" s="229" t="s">
        <v>4</v>
      </c>
      <c r="AB9" s="229" t="s">
        <v>9</v>
      </c>
      <c r="AC9" s="229" t="s">
        <v>217</v>
      </c>
      <c r="AD9" s="229" t="s">
        <v>114</v>
      </c>
      <c r="AE9" s="229" t="s">
        <v>4</v>
      </c>
      <c r="AF9" s="229" t="s">
        <v>9</v>
      </c>
      <c r="AG9" s="229" t="s">
        <v>217</v>
      </c>
      <c r="AH9" s="229" t="s">
        <v>114</v>
      </c>
      <c r="AI9" s="229" t="s">
        <v>4</v>
      </c>
      <c r="AJ9" s="229" t="s">
        <v>9</v>
      </c>
      <c r="AK9" s="229" t="s">
        <v>217</v>
      </c>
      <c r="AL9" s="229" t="s">
        <v>114</v>
      </c>
      <c r="AM9" s="230" t="s">
        <v>4</v>
      </c>
      <c r="AN9" s="230" t="s">
        <v>9</v>
      </c>
      <c r="AO9" s="230" t="s">
        <v>216</v>
      </c>
      <c r="AP9" s="230" t="s">
        <v>114</v>
      </c>
      <c r="AQ9" s="230" t="s">
        <v>4</v>
      </c>
      <c r="AR9" s="230" t="s">
        <v>9</v>
      </c>
      <c r="AS9" s="230" t="s">
        <v>216</v>
      </c>
      <c r="AT9" s="230" t="s">
        <v>114</v>
      </c>
    </row>
    <row r="10" spans="2:46" ht="16.5" thickTop="1" thickBot="1">
      <c r="D10" s="274">
        <v>1</v>
      </c>
      <c r="E10" s="279"/>
      <c r="F10" s="229" t="s">
        <v>214</v>
      </c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8"/>
      <c r="AN10" s="228"/>
      <c r="AO10" s="228"/>
      <c r="AP10" s="228"/>
      <c r="AQ10" s="228"/>
      <c r="AR10" s="228"/>
      <c r="AS10" s="228"/>
      <c r="AT10" s="228"/>
    </row>
    <row r="11" spans="2:46" ht="16.5" thickTop="1" thickBot="1">
      <c r="B11" t="s">
        <v>215</v>
      </c>
      <c r="D11" s="274"/>
      <c r="E11" s="279"/>
      <c r="F11" s="230" t="s">
        <v>213</v>
      </c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28"/>
      <c r="AN11" s="228"/>
      <c r="AO11" s="228"/>
      <c r="AP11" s="228"/>
      <c r="AQ11" s="228"/>
      <c r="AR11" s="228"/>
      <c r="AS11" s="228"/>
      <c r="AT11" s="228"/>
    </row>
    <row r="12" spans="2:46" ht="16.5" thickTop="1" thickBot="1">
      <c r="D12" s="274">
        <v>2</v>
      </c>
      <c r="E12" s="279"/>
      <c r="F12" s="230" t="s">
        <v>214</v>
      </c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30"/>
      <c r="AK12" s="230"/>
      <c r="AL12" s="230"/>
      <c r="AM12" s="228"/>
      <c r="AN12" s="228"/>
      <c r="AO12" s="228"/>
      <c r="AP12" s="228"/>
      <c r="AQ12" s="228"/>
      <c r="AR12" s="228"/>
      <c r="AS12" s="228"/>
      <c r="AT12" s="228"/>
    </row>
    <row r="13" spans="2:46" ht="16.5" thickTop="1" thickBot="1">
      <c r="D13" s="274"/>
      <c r="E13" s="279"/>
      <c r="F13" s="230" t="s">
        <v>213</v>
      </c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28"/>
      <c r="AN13" s="228"/>
      <c r="AO13" s="228"/>
      <c r="AP13" s="228"/>
      <c r="AQ13" s="228"/>
      <c r="AR13" s="228"/>
      <c r="AS13" s="228"/>
      <c r="AT13" s="228"/>
    </row>
    <row r="14" spans="2:46" ht="16.5" thickTop="1" thickBot="1">
      <c r="D14" s="274">
        <v>3</v>
      </c>
      <c r="E14" s="279"/>
      <c r="F14" s="230" t="s">
        <v>214</v>
      </c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28"/>
      <c r="AN14" s="228"/>
      <c r="AO14" s="228"/>
      <c r="AP14" s="228"/>
      <c r="AQ14" s="228"/>
      <c r="AR14" s="228"/>
      <c r="AS14" s="228"/>
      <c r="AT14" s="228"/>
    </row>
    <row r="15" spans="2:46" ht="16.5" thickTop="1" thickBot="1">
      <c r="D15" s="274"/>
      <c r="E15" s="279"/>
      <c r="F15" s="230" t="s">
        <v>213</v>
      </c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28"/>
      <c r="AN15" s="228"/>
      <c r="AO15" s="228"/>
      <c r="AP15" s="228"/>
      <c r="AQ15" s="228"/>
      <c r="AR15" s="228"/>
      <c r="AS15" s="228"/>
      <c r="AT15" s="228"/>
    </row>
    <row r="16" spans="2:46" ht="16.5" thickTop="1" thickBot="1">
      <c r="D16" s="274">
        <v>4</v>
      </c>
      <c r="E16" s="275"/>
      <c r="F16" s="229" t="s">
        <v>214</v>
      </c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28"/>
      <c r="AT16" s="228"/>
    </row>
    <row r="17" spans="4:46" ht="16.5" thickTop="1" thickBot="1">
      <c r="D17" s="274"/>
      <c r="E17" s="276"/>
      <c r="F17" s="230" t="s">
        <v>213</v>
      </c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</row>
    <row r="18" spans="4:46" ht="16.5" thickTop="1" thickBot="1">
      <c r="D18" s="274">
        <v>5</v>
      </c>
      <c r="E18" s="275"/>
      <c r="F18" s="230" t="s">
        <v>214</v>
      </c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/>
      <c r="AR18" s="228"/>
      <c r="AS18" s="228"/>
      <c r="AT18" s="228"/>
    </row>
    <row r="19" spans="4:46" ht="16.5" thickTop="1" thickBot="1">
      <c r="D19" s="274"/>
      <c r="E19" s="276"/>
      <c r="F19" s="230" t="s">
        <v>213</v>
      </c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</row>
    <row r="20" spans="4:46" ht="16.5" thickTop="1" thickBot="1">
      <c r="D20" s="274">
        <v>6</v>
      </c>
      <c r="E20" s="275"/>
      <c r="F20" s="230" t="s">
        <v>214</v>
      </c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</row>
    <row r="21" spans="4:46" ht="16.5" thickTop="1" thickBot="1">
      <c r="D21" s="274"/>
      <c r="E21" s="276"/>
      <c r="F21" s="230" t="s">
        <v>213</v>
      </c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</row>
    <row r="22" spans="4:46" ht="16.5" thickTop="1" thickBot="1">
      <c r="D22" s="274">
        <v>7</v>
      </c>
      <c r="E22" s="275"/>
      <c r="F22" s="229" t="s">
        <v>214</v>
      </c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8"/>
      <c r="AT22" s="228"/>
    </row>
    <row r="23" spans="4:46" ht="16.5" thickTop="1" thickBot="1">
      <c r="D23" s="274"/>
      <c r="E23" s="276"/>
      <c r="F23" s="230" t="s">
        <v>213</v>
      </c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</row>
    <row r="24" spans="4:46" ht="16.5" thickTop="1" thickBot="1">
      <c r="D24" s="274">
        <v>8</v>
      </c>
      <c r="E24" s="275"/>
      <c r="F24" s="230" t="s">
        <v>214</v>
      </c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</row>
    <row r="25" spans="4:46" ht="16.5" thickTop="1" thickBot="1">
      <c r="D25" s="274"/>
      <c r="E25" s="276"/>
      <c r="F25" s="230" t="s">
        <v>213</v>
      </c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</row>
    <row r="26" spans="4:46" ht="16.5" thickTop="1" thickBot="1">
      <c r="D26" s="274">
        <v>9</v>
      </c>
      <c r="E26" s="275"/>
      <c r="F26" s="230" t="s">
        <v>214</v>
      </c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</row>
    <row r="27" spans="4:46" ht="16.5" thickTop="1" thickBot="1">
      <c r="D27" s="274"/>
      <c r="E27" s="276"/>
      <c r="F27" s="230" t="s">
        <v>213</v>
      </c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</row>
    <row r="28" spans="4:46" ht="16.5" thickTop="1" thickBot="1">
      <c r="D28" s="274">
        <v>10</v>
      </c>
      <c r="E28" s="275"/>
      <c r="F28" s="229" t="s">
        <v>214</v>
      </c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</row>
    <row r="29" spans="4:46" ht="16.5" thickTop="1" thickBot="1">
      <c r="D29" s="274"/>
      <c r="E29" s="276"/>
      <c r="F29" s="230" t="s">
        <v>213</v>
      </c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</row>
    <row r="30" spans="4:46" ht="16.5" thickTop="1" thickBot="1">
      <c r="D30" s="274">
        <v>11</v>
      </c>
      <c r="E30" s="275"/>
      <c r="F30" s="230" t="s">
        <v>214</v>
      </c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</row>
    <row r="31" spans="4:46" ht="16.5" thickTop="1" thickBot="1">
      <c r="D31" s="274"/>
      <c r="E31" s="276"/>
      <c r="F31" s="230" t="s">
        <v>213</v>
      </c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</row>
    <row r="32" spans="4:46" ht="16.5" thickTop="1" thickBot="1">
      <c r="D32" s="274">
        <v>12</v>
      </c>
      <c r="E32" s="275"/>
      <c r="F32" s="230" t="s">
        <v>214</v>
      </c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</row>
    <row r="33" spans="4:46" ht="16.5" thickTop="1" thickBot="1">
      <c r="D33" s="274"/>
      <c r="E33" s="276"/>
      <c r="F33" s="230" t="s">
        <v>213</v>
      </c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</row>
    <row r="34" spans="4:46" ht="16.5" thickTop="1" thickBot="1">
      <c r="D34" s="274">
        <v>13</v>
      </c>
      <c r="E34" s="275"/>
      <c r="F34" s="229" t="s">
        <v>214</v>
      </c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</row>
    <row r="35" spans="4:46" ht="16.5" thickTop="1" thickBot="1">
      <c r="D35" s="274"/>
      <c r="E35" s="276"/>
      <c r="F35" s="230" t="s">
        <v>213</v>
      </c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</row>
    <row r="36" spans="4:46" ht="16.5" thickTop="1" thickBot="1">
      <c r="D36" s="274">
        <v>14</v>
      </c>
      <c r="E36" s="275"/>
      <c r="F36" s="230" t="s">
        <v>214</v>
      </c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</row>
    <row r="37" spans="4:46" ht="16.5" thickTop="1" thickBot="1">
      <c r="D37" s="274"/>
      <c r="E37" s="276"/>
      <c r="F37" s="230" t="s">
        <v>213</v>
      </c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</row>
    <row r="38" spans="4:46" ht="16.5" thickTop="1" thickBot="1">
      <c r="D38" s="274">
        <v>15</v>
      </c>
      <c r="E38" s="275"/>
      <c r="F38" s="230" t="s">
        <v>214</v>
      </c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</row>
    <row r="39" spans="4:46" ht="16.5" thickTop="1" thickBot="1">
      <c r="D39" s="274"/>
      <c r="E39" s="276"/>
      <c r="F39" s="230" t="s">
        <v>213</v>
      </c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</row>
    <row r="40" spans="4:46" ht="16.5" thickTop="1" thickBot="1">
      <c r="D40" s="274">
        <v>16</v>
      </c>
      <c r="E40" s="275"/>
      <c r="F40" s="229" t="s">
        <v>214</v>
      </c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</row>
    <row r="41" spans="4:46" ht="16.5" thickTop="1" thickBot="1">
      <c r="D41" s="274"/>
      <c r="E41" s="276"/>
      <c r="F41" s="230" t="s">
        <v>213</v>
      </c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</row>
    <row r="42" spans="4:46" ht="16.5" thickTop="1" thickBot="1">
      <c r="D42" s="274">
        <v>17</v>
      </c>
      <c r="E42" s="275"/>
      <c r="F42" s="230" t="s">
        <v>214</v>
      </c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</row>
    <row r="43" spans="4:46" ht="16.5" thickTop="1" thickBot="1">
      <c r="D43" s="274"/>
      <c r="E43" s="276"/>
      <c r="F43" s="230" t="s">
        <v>213</v>
      </c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</row>
    <row r="44" spans="4:46" ht="16.5" thickTop="1" thickBot="1">
      <c r="D44" s="274">
        <v>18</v>
      </c>
      <c r="E44" s="275"/>
      <c r="F44" s="230" t="s">
        <v>214</v>
      </c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</row>
    <row r="45" spans="4:46" ht="16.5" thickTop="1" thickBot="1">
      <c r="D45" s="274"/>
      <c r="E45" s="276"/>
      <c r="F45" s="230" t="s">
        <v>213</v>
      </c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</row>
    <row r="46" spans="4:46" ht="16.5" thickTop="1" thickBot="1">
      <c r="D46" s="274">
        <v>19</v>
      </c>
      <c r="E46" s="275"/>
      <c r="F46" s="230" t="s">
        <v>214</v>
      </c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</row>
    <row r="47" spans="4:46" ht="16.5" thickTop="1" thickBot="1">
      <c r="D47" s="274"/>
      <c r="E47" s="276"/>
      <c r="F47" s="230" t="s">
        <v>213</v>
      </c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</row>
    <row r="48" spans="4:46" ht="16.5" thickTop="1" thickBot="1">
      <c r="D48" s="274">
        <v>20</v>
      </c>
      <c r="E48" s="275"/>
      <c r="F48" s="230" t="s">
        <v>214</v>
      </c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</row>
    <row r="49" spans="4:46" ht="16.5" thickTop="1" thickBot="1">
      <c r="D49" s="274"/>
      <c r="E49" s="276"/>
      <c r="F49" s="230" t="s">
        <v>213</v>
      </c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</row>
    <row r="50" spans="4:46" ht="16.5" thickTop="1" thickBot="1">
      <c r="D50" s="277" t="s">
        <v>212</v>
      </c>
      <c r="E50" s="278"/>
      <c r="F50" s="229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</row>
    <row r="51" spans="4:46" ht="15.4" customHeight="1" thickTop="1"/>
    <row r="53" spans="4:46">
      <c r="K53" t="s">
        <v>203</v>
      </c>
      <c r="AN53" t="s">
        <v>204</v>
      </c>
    </row>
  </sheetData>
  <mergeCells count="55">
    <mergeCell ref="D50:E50"/>
    <mergeCell ref="D40:D41"/>
    <mergeCell ref="E40:E41"/>
    <mergeCell ref="D42:D43"/>
    <mergeCell ref="E42:E43"/>
    <mergeCell ref="D38:D39"/>
    <mergeCell ref="E38:E39"/>
    <mergeCell ref="D48:D49"/>
    <mergeCell ref="E48:E49"/>
    <mergeCell ref="D34:D35"/>
    <mergeCell ref="E34:E35"/>
    <mergeCell ref="D36:D37"/>
    <mergeCell ref="E36:E37"/>
    <mergeCell ref="D44:D45"/>
    <mergeCell ref="E44:E45"/>
    <mergeCell ref="D46:D47"/>
    <mergeCell ref="E46:E47"/>
    <mergeCell ref="D30:D31"/>
    <mergeCell ref="E30:E31"/>
    <mergeCell ref="D32:D33"/>
    <mergeCell ref="E32:E33"/>
    <mergeCell ref="D26:D27"/>
    <mergeCell ref="E26:E27"/>
    <mergeCell ref="D28:D29"/>
    <mergeCell ref="E28:E29"/>
    <mergeCell ref="D22:D23"/>
    <mergeCell ref="E22:E23"/>
    <mergeCell ref="D24:D25"/>
    <mergeCell ref="E24:E25"/>
    <mergeCell ref="D18:D19"/>
    <mergeCell ref="E18:E19"/>
    <mergeCell ref="D20:D21"/>
    <mergeCell ref="E20:E21"/>
    <mergeCell ref="D14:D15"/>
    <mergeCell ref="E14:E15"/>
    <mergeCell ref="D16:D17"/>
    <mergeCell ref="E16:E17"/>
    <mergeCell ref="AE7:AH8"/>
    <mergeCell ref="AI7:AL8"/>
    <mergeCell ref="AM7:AP8"/>
    <mergeCell ref="AQ7:AT8"/>
    <mergeCell ref="D12:D13"/>
    <mergeCell ref="E12:E13"/>
    <mergeCell ref="D10:D11"/>
    <mergeCell ref="E10:E11"/>
    <mergeCell ref="Q5:AC5"/>
    <mergeCell ref="D7:D9"/>
    <mergeCell ref="E7:E9"/>
    <mergeCell ref="F7:F9"/>
    <mergeCell ref="G7:J8"/>
    <mergeCell ref="K7:N8"/>
    <mergeCell ref="O7:R8"/>
    <mergeCell ref="S7:V8"/>
    <mergeCell ref="W7:Z8"/>
    <mergeCell ref="AA7:AD8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AD56"/>
  <sheetViews>
    <sheetView rightToLeft="1" zoomScaleNormal="100" workbookViewId="0">
      <selection activeCell="M17" sqref="M17"/>
    </sheetView>
  </sheetViews>
  <sheetFormatPr defaultRowHeight="14.25"/>
  <cols>
    <col min="4" max="4" width="4.625" customWidth="1"/>
    <col min="5" max="5" width="12.875" bestFit="1" customWidth="1"/>
  </cols>
  <sheetData>
    <row r="5" spans="2:30" ht="22.5">
      <c r="H5" s="235"/>
      <c r="I5" s="234"/>
      <c r="J5" s="234"/>
      <c r="K5" s="234"/>
      <c r="L5" s="234"/>
      <c r="M5" s="234"/>
      <c r="N5" s="233"/>
      <c r="O5" s="233"/>
      <c r="P5" s="233"/>
      <c r="Q5" s="233"/>
      <c r="R5" s="233"/>
      <c r="S5" s="233"/>
      <c r="T5" s="232"/>
      <c r="U5" s="232"/>
      <c r="V5" s="232"/>
      <c r="W5" s="232"/>
    </row>
    <row r="6" spans="2:30" ht="15" thickBot="1"/>
    <row r="7" spans="2:30" ht="15.4" customHeight="1" thickTop="1" thickBot="1">
      <c r="D7" s="289" t="s">
        <v>1</v>
      </c>
      <c r="E7" s="279" t="s">
        <v>75</v>
      </c>
      <c r="F7" s="279" t="s">
        <v>228</v>
      </c>
      <c r="G7" s="290" t="s">
        <v>233</v>
      </c>
      <c r="H7" s="291"/>
      <c r="I7" s="291"/>
      <c r="J7" s="292"/>
      <c r="K7" s="290" t="s">
        <v>232</v>
      </c>
      <c r="L7" s="291"/>
      <c r="M7" s="291"/>
      <c r="N7" s="292"/>
      <c r="O7" s="290" t="s">
        <v>231</v>
      </c>
      <c r="P7" s="291"/>
      <c r="Q7" s="291"/>
      <c r="R7" s="292"/>
      <c r="S7" s="290" t="s">
        <v>230</v>
      </c>
      <c r="T7" s="291"/>
      <c r="U7" s="291"/>
      <c r="V7" s="292"/>
      <c r="W7" s="290" t="s">
        <v>229</v>
      </c>
      <c r="X7" s="291"/>
      <c r="Y7" s="291"/>
      <c r="Z7" s="292"/>
      <c r="AA7" s="290" t="s">
        <v>212</v>
      </c>
      <c r="AB7" s="291"/>
      <c r="AC7" s="291"/>
      <c r="AD7" s="292"/>
    </row>
    <row r="8" spans="2:30" ht="15.4" customHeight="1" thickTop="1" thickBot="1">
      <c r="D8" s="289"/>
      <c r="E8" s="279"/>
      <c r="F8" s="279"/>
      <c r="G8" s="293"/>
      <c r="H8" s="294"/>
      <c r="I8" s="294"/>
      <c r="J8" s="295"/>
      <c r="K8" s="293"/>
      <c r="L8" s="294"/>
      <c r="M8" s="294"/>
      <c r="N8" s="295"/>
      <c r="O8" s="293"/>
      <c r="P8" s="294"/>
      <c r="Q8" s="294"/>
      <c r="R8" s="295"/>
      <c r="S8" s="293"/>
      <c r="T8" s="294"/>
      <c r="U8" s="294"/>
      <c r="V8" s="295"/>
      <c r="W8" s="293"/>
      <c r="X8" s="294"/>
      <c r="Y8" s="294"/>
      <c r="Z8" s="295"/>
      <c r="AA8" s="293"/>
      <c r="AB8" s="294"/>
      <c r="AC8" s="294"/>
      <c r="AD8" s="295"/>
    </row>
    <row r="9" spans="2:30" ht="16.5" thickTop="1" thickBot="1">
      <c r="D9" s="289"/>
      <c r="E9" s="279"/>
      <c r="F9" s="279"/>
      <c r="G9" s="255" t="s">
        <v>4</v>
      </c>
      <c r="H9" s="255" t="s">
        <v>9</v>
      </c>
      <c r="I9" s="255" t="s">
        <v>217</v>
      </c>
      <c r="J9" s="255" t="s">
        <v>114</v>
      </c>
      <c r="K9" s="255" t="s">
        <v>4</v>
      </c>
      <c r="L9" s="255" t="s">
        <v>9</v>
      </c>
      <c r="M9" s="255" t="s">
        <v>217</v>
      </c>
      <c r="N9" s="255" t="s">
        <v>114</v>
      </c>
      <c r="O9" s="255" t="s">
        <v>4</v>
      </c>
      <c r="P9" s="255" t="s">
        <v>9</v>
      </c>
      <c r="Q9" s="255" t="s">
        <v>217</v>
      </c>
      <c r="R9" s="255" t="s">
        <v>114</v>
      </c>
      <c r="S9" s="255" t="s">
        <v>4</v>
      </c>
      <c r="T9" s="255" t="s">
        <v>9</v>
      </c>
      <c r="U9" s="255" t="s">
        <v>217</v>
      </c>
      <c r="V9" s="255" t="s">
        <v>114</v>
      </c>
      <c r="W9" s="255" t="s">
        <v>4</v>
      </c>
      <c r="X9" s="255" t="s">
        <v>9</v>
      </c>
      <c r="Y9" s="255" t="s">
        <v>217</v>
      </c>
      <c r="Z9" s="255" t="s">
        <v>114</v>
      </c>
      <c r="AA9" s="255" t="s">
        <v>4</v>
      </c>
      <c r="AB9" s="255" t="s">
        <v>9</v>
      </c>
      <c r="AC9" s="255" t="s">
        <v>217</v>
      </c>
      <c r="AD9" s="255" t="s">
        <v>114</v>
      </c>
    </row>
    <row r="10" spans="2:30" ht="16.5" thickTop="1" thickBot="1">
      <c r="D10" s="274">
        <v>1</v>
      </c>
      <c r="E10" s="279"/>
      <c r="F10" s="231" t="s">
        <v>214</v>
      </c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</row>
    <row r="11" spans="2:30" ht="16.5" thickTop="1" thickBot="1">
      <c r="B11" t="s">
        <v>215</v>
      </c>
      <c r="D11" s="274"/>
      <c r="E11" s="279"/>
      <c r="F11" s="230" t="s">
        <v>213</v>
      </c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</row>
    <row r="12" spans="2:30" ht="16.5" thickTop="1" thickBot="1">
      <c r="D12" s="274">
        <v>2</v>
      </c>
      <c r="E12" s="279"/>
      <c r="F12" s="230" t="s">
        <v>214</v>
      </c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</row>
    <row r="13" spans="2:30" ht="16.5" thickTop="1" thickBot="1">
      <c r="D13" s="274"/>
      <c r="E13" s="279"/>
      <c r="F13" s="230" t="s">
        <v>213</v>
      </c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</row>
    <row r="14" spans="2:30" ht="16.5" thickTop="1" thickBot="1">
      <c r="D14" s="274">
        <v>3</v>
      </c>
      <c r="E14" s="279"/>
      <c r="F14" s="230" t="s">
        <v>214</v>
      </c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</row>
    <row r="15" spans="2:30" ht="16.5" thickTop="1" thickBot="1">
      <c r="D15" s="274"/>
      <c r="E15" s="279"/>
      <c r="F15" s="230" t="s">
        <v>213</v>
      </c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</row>
    <row r="16" spans="2:30" ht="16.5" thickTop="1" thickBot="1">
      <c r="D16" s="274">
        <v>4</v>
      </c>
      <c r="E16" s="275"/>
      <c r="F16" s="231" t="s">
        <v>214</v>
      </c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</row>
    <row r="17" spans="4:30" ht="16.5" thickTop="1" thickBot="1">
      <c r="D17" s="274"/>
      <c r="E17" s="276"/>
      <c r="F17" s="230" t="s">
        <v>213</v>
      </c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</row>
    <row r="18" spans="4:30" ht="16.5" thickTop="1" thickBot="1">
      <c r="D18" s="274">
        <v>5</v>
      </c>
      <c r="E18" s="275"/>
      <c r="F18" s="230" t="s">
        <v>214</v>
      </c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</row>
    <row r="19" spans="4:30" ht="16.5" thickTop="1" thickBot="1">
      <c r="D19" s="274"/>
      <c r="E19" s="276"/>
      <c r="F19" s="230" t="s">
        <v>213</v>
      </c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</row>
    <row r="20" spans="4:30" ht="16.5" thickTop="1" thickBot="1">
      <c r="D20" s="274">
        <v>6</v>
      </c>
      <c r="E20" s="275"/>
      <c r="F20" s="230" t="s">
        <v>214</v>
      </c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</row>
    <row r="21" spans="4:30" ht="16.5" thickTop="1" thickBot="1">
      <c r="D21" s="274"/>
      <c r="E21" s="276"/>
      <c r="F21" s="230" t="s">
        <v>213</v>
      </c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</row>
    <row r="22" spans="4:30" ht="16.5" thickTop="1" thickBot="1">
      <c r="D22" s="274">
        <v>7</v>
      </c>
      <c r="E22" s="275"/>
      <c r="F22" s="231" t="s">
        <v>214</v>
      </c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</row>
    <row r="23" spans="4:30" ht="16.5" thickTop="1" thickBot="1">
      <c r="D23" s="274"/>
      <c r="E23" s="276"/>
      <c r="F23" s="230" t="s">
        <v>213</v>
      </c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</row>
    <row r="24" spans="4:30" ht="16.5" thickTop="1" thickBot="1">
      <c r="D24" s="274">
        <v>8</v>
      </c>
      <c r="E24" s="275"/>
      <c r="F24" s="230" t="s">
        <v>214</v>
      </c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</row>
    <row r="25" spans="4:30" ht="16.5" thickTop="1" thickBot="1">
      <c r="D25" s="274"/>
      <c r="E25" s="276"/>
      <c r="F25" s="230" t="s">
        <v>213</v>
      </c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</row>
    <row r="26" spans="4:30" ht="16.5" thickTop="1" thickBot="1">
      <c r="D26" s="274">
        <v>9</v>
      </c>
      <c r="E26" s="275"/>
      <c r="F26" s="230" t="s">
        <v>214</v>
      </c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</row>
    <row r="27" spans="4:30" ht="16.5" thickTop="1" thickBot="1">
      <c r="D27" s="274"/>
      <c r="E27" s="276"/>
      <c r="F27" s="230" t="s">
        <v>213</v>
      </c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</row>
    <row r="28" spans="4:30" ht="16.5" thickTop="1" thickBot="1">
      <c r="D28" s="274">
        <v>10</v>
      </c>
      <c r="E28" s="275"/>
      <c r="F28" s="231" t="s">
        <v>214</v>
      </c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</row>
    <row r="29" spans="4:30" ht="16.5" thickTop="1" thickBot="1">
      <c r="D29" s="274"/>
      <c r="E29" s="276"/>
      <c r="F29" s="230" t="s">
        <v>213</v>
      </c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</row>
    <row r="30" spans="4:30" ht="16.5" thickTop="1" thickBot="1">
      <c r="D30" s="274">
        <v>11</v>
      </c>
      <c r="E30" s="275"/>
      <c r="F30" s="230" t="s">
        <v>214</v>
      </c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</row>
    <row r="31" spans="4:30" ht="16.5" thickTop="1" thickBot="1">
      <c r="D31" s="274"/>
      <c r="E31" s="276"/>
      <c r="F31" s="230" t="s">
        <v>213</v>
      </c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</row>
    <row r="32" spans="4:30" ht="16.5" thickTop="1" thickBot="1">
      <c r="D32" s="274">
        <v>12</v>
      </c>
      <c r="E32" s="275"/>
      <c r="F32" s="230" t="s">
        <v>214</v>
      </c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</row>
    <row r="33" spans="4:30" ht="16.5" thickTop="1" thickBot="1">
      <c r="D33" s="274"/>
      <c r="E33" s="276"/>
      <c r="F33" s="230" t="s">
        <v>213</v>
      </c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</row>
    <row r="34" spans="4:30" ht="16.5" thickTop="1" thickBot="1">
      <c r="D34" s="274">
        <v>13</v>
      </c>
      <c r="E34" s="275"/>
      <c r="F34" s="231" t="s">
        <v>214</v>
      </c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</row>
    <row r="35" spans="4:30" ht="16.5" thickTop="1" thickBot="1">
      <c r="D35" s="274"/>
      <c r="E35" s="276"/>
      <c r="F35" s="230" t="s">
        <v>213</v>
      </c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</row>
    <row r="36" spans="4:30" ht="16.5" thickTop="1" thickBot="1">
      <c r="D36" s="274">
        <v>14</v>
      </c>
      <c r="E36" s="275"/>
      <c r="F36" s="230" t="s">
        <v>214</v>
      </c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</row>
    <row r="37" spans="4:30" ht="16.5" thickTop="1" thickBot="1">
      <c r="D37" s="274"/>
      <c r="E37" s="276"/>
      <c r="F37" s="230" t="s">
        <v>213</v>
      </c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</row>
    <row r="38" spans="4:30" ht="16.5" thickTop="1" thickBot="1">
      <c r="D38" s="274">
        <v>15</v>
      </c>
      <c r="E38" s="275"/>
      <c r="F38" s="230" t="s">
        <v>214</v>
      </c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</row>
    <row r="39" spans="4:30" ht="16.5" thickTop="1" thickBot="1">
      <c r="D39" s="274"/>
      <c r="E39" s="276"/>
      <c r="F39" s="230" t="s">
        <v>213</v>
      </c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</row>
    <row r="40" spans="4:30" ht="16.5" thickTop="1" thickBot="1">
      <c r="D40" s="274">
        <v>16</v>
      </c>
      <c r="E40" s="275"/>
      <c r="F40" s="231" t="s">
        <v>214</v>
      </c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</row>
    <row r="41" spans="4:30" ht="16.5" thickTop="1" thickBot="1">
      <c r="D41" s="274"/>
      <c r="E41" s="276"/>
      <c r="F41" s="230" t="s">
        <v>213</v>
      </c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</row>
    <row r="42" spans="4:30" ht="16.5" thickTop="1" thickBot="1">
      <c r="D42" s="274">
        <v>17</v>
      </c>
      <c r="E42" s="275"/>
      <c r="F42" s="230" t="s">
        <v>214</v>
      </c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</row>
    <row r="43" spans="4:30" ht="16.5" thickTop="1" thickBot="1">
      <c r="D43" s="274"/>
      <c r="E43" s="276"/>
      <c r="F43" s="230" t="s">
        <v>213</v>
      </c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</row>
    <row r="44" spans="4:30" ht="16.5" thickTop="1" thickBot="1">
      <c r="D44" s="274">
        <v>18</v>
      </c>
      <c r="E44" s="275"/>
      <c r="F44" s="230" t="s">
        <v>214</v>
      </c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</row>
    <row r="45" spans="4:30" ht="16.5" thickTop="1" thickBot="1">
      <c r="D45" s="274"/>
      <c r="E45" s="276"/>
      <c r="F45" s="230" t="s">
        <v>213</v>
      </c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</row>
    <row r="46" spans="4:30" ht="16.5" thickTop="1" thickBot="1">
      <c r="D46" s="274">
        <v>19</v>
      </c>
      <c r="E46" s="275"/>
      <c r="F46" s="230" t="s">
        <v>214</v>
      </c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</row>
    <row r="47" spans="4:30" ht="16.5" thickTop="1" thickBot="1">
      <c r="D47" s="274"/>
      <c r="E47" s="276"/>
      <c r="F47" s="230" t="s">
        <v>213</v>
      </c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</row>
    <row r="48" spans="4:30" ht="16.5" thickTop="1" thickBot="1">
      <c r="D48" s="305">
        <v>20</v>
      </c>
      <c r="E48" s="275"/>
      <c r="F48" s="230" t="s">
        <v>214</v>
      </c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</row>
    <row r="49" spans="4:30" ht="16.5" thickTop="1" thickBot="1">
      <c r="D49" s="306"/>
      <c r="E49" s="276"/>
      <c r="F49" s="230" t="s">
        <v>213</v>
      </c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</row>
    <row r="50" spans="4:30" ht="16.5" thickTop="1" thickBot="1">
      <c r="D50" s="300" t="s">
        <v>236</v>
      </c>
      <c r="E50" s="301"/>
      <c r="F50" s="302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</row>
    <row r="51" spans="4:30" ht="16.5" thickTop="1" thickBot="1">
      <c r="D51" s="299"/>
      <c r="E51" s="303"/>
      <c r="F51" s="304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</row>
    <row r="52" spans="4:30" ht="15.4" customHeight="1" thickTop="1"/>
    <row r="55" spans="4:30" ht="23.25">
      <c r="H55" s="451" t="s">
        <v>203</v>
      </c>
      <c r="I55" s="451"/>
      <c r="J55" s="451"/>
      <c r="K55" s="451"/>
      <c r="L55" s="451"/>
      <c r="M55" s="451"/>
      <c r="N55" s="451"/>
      <c r="O55" s="451"/>
      <c r="P55" s="451"/>
      <c r="Q55" s="451"/>
      <c r="R55" s="451"/>
      <c r="S55" s="451"/>
      <c r="T55" s="451"/>
      <c r="U55" s="451"/>
      <c r="V55" s="451" t="s">
        <v>204</v>
      </c>
      <c r="W55" s="451"/>
      <c r="X55" s="451"/>
      <c r="Y55" s="452"/>
    </row>
    <row r="56" spans="4:30" ht="20.25"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</row>
  </sheetData>
  <mergeCells count="50">
    <mergeCell ref="O7:R8"/>
    <mergeCell ref="S7:V8"/>
    <mergeCell ref="W7:Z8"/>
    <mergeCell ref="AA7:AD8"/>
    <mergeCell ref="D10:D11"/>
    <mergeCell ref="E10:E11"/>
    <mergeCell ref="D7:D9"/>
    <mergeCell ref="E7:E9"/>
    <mergeCell ref="F7:F9"/>
    <mergeCell ref="G7:J8"/>
    <mergeCell ref="K7:N8"/>
    <mergeCell ref="D12:D13"/>
    <mergeCell ref="E12:E13"/>
    <mergeCell ref="D14:D15"/>
    <mergeCell ref="E14:E15"/>
    <mergeCell ref="D16:D17"/>
    <mergeCell ref="E16:E17"/>
    <mergeCell ref="D18:D19"/>
    <mergeCell ref="E18:E19"/>
    <mergeCell ref="D20:D21"/>
    <mergeCell ref="E20:E21"/>
    <mergeCell ref="D22:D23"/>
    <mergeCell ref="E22:E23"/>
    <mergeCell ref="D24:D25"/>
    <mergeCell ref="E24:E25"/>
    <mergeCell ref="D26:D27"/>
    <mergeCell ref="E26:E27"/>
    <mergeCell ref="D28:D29"/>
    <mergeCell ref="E28:E29"/>
    <mergeCell ref="D30:D31"/>
    <mergeCell ref="E30:E31"/>
    <mergeCell ref="D32:D33"/>
    <mergeCell ref="E32:E33"/>
    <mergeCell ref="D34:D35"/>
    <mergeCell ref="E34:E35"/>
    <mergeCell ref="D50:F51"/>
    <mergeCell ref="D36:D37"/>
    <mergeCell ref="E36:E37"/>
    <mergeCell ref="D38:D39"/>
    <mergeCell ref="E38:E39"/>
    <mergeCell ref="D40:D41"/>
    <mergeCell ref="E40:E41"/>
    <mergeCell ref="D42:D43"/>
    <mergeCell ref="E42:E43"/>
    <mergeCell ref="D48:D49"/>
    <mergeCell ref="E48:E49"/>
    <mergeCell ref="D44:D45"/>
    <mergeCell ref="E44:E45"/>
    <mergeCell ref="D46:D47"/>
    <mergeCell ref="E46:E4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AT53"/>
  <sheetViews>
    <sheetView rightToLeft="1" topLeftCell="A4" zoomScale="98" workbookViewId="0">
      <selection activeCell="H4" sqref="H4"/>
    </sheetView>
  </sheetViews>
  <sheetFormatPr defaultRowHeight="14.25"/>
  <cols>
    <col min="4" max="4" width="4.625" customWidth="1"/>
    <col min="5" max="5" width="12.875" bestFit="1" customWidth="1"/>
  </cols>
  <sheetData>
    <row r="5" spans="2:46" ht="22.5">
      <c r="Q5" s="287" t="s">
        <v>234</v>
      </c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</row>
    <row r="6" spans="2:46" ht="15" thickBot="1"/>
    <row r="7" spans="2:46" ht="15.4" customHeight="1" thickTop="1" thickBot="1">
      <c r="D7" s="289" t="s">
        <v>1</v>
      </c>
      <c r="E7" s="279" t="s">
        <v>75</v>
      </c>
      <c r="F7" s="279" t="s">
        <v>228</v>
      </c>
      <c r="G7" s="290" t="s">
        <v>227</v>
      </c>
      <c r="H7" s="291"/>
      <c r="I7" s="291"/>
      <c r="J7" s="292"/>
      <c r="K7" s="290" t="s">
        <v>226</v>
      </c>
      <c r="L7" s="291"/>
      <c r="M7" s="291"/>
      <c r="N7" s="292"/>
      <c r="O7" s="290" t="s">
        <v>225</v>
      </c>
      <c r="P7" s="291"/>
      <c r="Q7" s="291"/>
      <c r="R7" s="292"/>
      <c r="S7" s="290" t="s">
        <v>224</v>
      </c>
      <c r="T7" s="291"/>
      <c r="U7" s="291"/>
      <c r="V7" s="292"/>
      <c r="W7" s="290" t="s">
        <v>223</v>
      </c>
      <c r="X7" s="291"/>
      <c r="Y7" s="291"/>
      <c r="Z7" s="292"/>
      <c r="AA7" s="290" t="s">
        <v>222</v>
      </c>
      <c r="AB7" s="291"/>
      <c r="AC7" s="291"/>
      <c r="AD7" s="292"/>
      <c r="AE7" s="290" t="s">
        <v>221</v>
      </c>
      <c r="AF7" s="291"/>
      <c r="AG7" s="291"/>
      <c r="AH7" s="292"/>
      <c r="AI7" s="290" t="s">
        <v>220</v>
      </c>
      <c r="AJ7" s="291"/>
      <c r="AK7" s="291"/>
      <c r="AL7" s="292"/>
      <c r="AM7" s="279" t="s">
        <v>219</v>
      </c>
      <c r="AN7" s="279"/>
      <c r="AO7" s="279"/>
      <c r="AP7" s="279"/>
      <c r="AQ7" s="279" t="s">
        <v>218</v>
      </c>
      <c r="AR7" s="279"/>
      <c r="AS7" s="279"/>
      <c r="AT7" s="279"/>
    </row>
    <row r="8" spans="2:46" ht="15.4" customHeight="1" thickTop="1" thickBot="1">
      <c r="D8" s="289"/>
      <c r="E8" s="279"/>
      <c r="F8" s="279"/>
      <c r="G8" s="293"/>
      <c r="H8" s="294"/>
      <c r="I8" s="294"/>
      <c r="J8" s="295"/>
      <c r="K8" s="293"/>
      <c r="L8" s="294"/>
      <c r="M8" s="294"/>
      <c r="N8" s="295"/>
      <c r="O8" s="293"/>
      <c r="P8" s="294"/>
      <c r="Q8" s="294"/>
      <c r="R8" s="295"/>
      <c r="S8" s="293"/>
      <c r="T8" s="294"/>
      <c r="U8" s="294"/>
      <c r="V8" s="295"/>
      <c r="W8" s="293"/>
      <c r="X8" s="294"/>
      <c r="Y8" s="294"/>
      <c r="Z8" s="295"/>
      <c r="AA8" s="293"/>
      <c r="AB8" s="294"/>
      <c r="AC8" s="294"/>
      <c r="AD8" s="295"/>
      <c r="AE8" s="293"/>
      <c r="AF8" s="294"/>
      <c r="AG8" s="294"/>
      <c r="AH8" s="295"/>
      <c r="AI8" s="293"/>
      <c r="AJ8" s="294"/>
      <c r="AK8" s="294"/>
      <c r="AL8" s="295"/>
      <c r="AM8" s="279"/>
      <c r="AN8" s="279"/>
      <c r="AO8" s="279"/>
      <c r="AP8" s="279"/>
      <c r="AQ8" s="279"/>
      <c r="AR8" s="279"/>
      <c r="AS8" s="279"/>
      <c r="AT8" s="279"/>
    </row>
    <row r="9" spans="2:46" ht="16.5" thickTop="1" thickBot="1">
      <c r="D9" s="289"/>
      <c r="E9" s="279"/>
      <c r="F9" s="279"/>
      <c r="G9" s="229" t="s">
        <v>4</v>
      </c>
      <c r="H9" s="229" t="s">
        <v>9</v>
      </c>
      <c r="I9" s="229" t="s">
        <v>217</v>
      </c>
      <c r="J9" s="229" t="s">
        <v>114</v>
      </c>
      <c r="K9" s="229" t="s">
        <v>4</v>
      </c>
      <c r="L9" s="229" t="s">
        <v>9</v>
      </c>
      <c r="M9" s="229" t="s">
        <v>217</v>
      </c>
      <c r="N9" s="229" t="s">
        <v>114</v>
      </c>
      <c r="O9" s="229" t="s">
        <v>4</v>
      </c>
      <c r="P9" s="229" t="s">
        <v>9</v>
      </c>
      <c r="Q9" s="229" t="s">
        <v>217</v>
      </c>
      <c r="R9" s="229" t="s">
        <v>114</v>
      </c>
      <c r="S9" s="229" t="s">
        <v>4</v>
      </c>
      <c r="T9" s="229" t="s">
        <v>9</v>
      </c>
      <c r="U9" s="229" t="s">
        <v>217</v>
      </c>
      <c r="V9" s="229" t="s">
        <v>114</v>
      </c>
      <c r="W9" s="229" t="s">
        <v>4</v>
      </c>
      <c r="X9" s="229" t="s">
        <v>9</v>
      </c>
      <c r="Y9" s="229" t="s">
        <v>217</v>
      </c>
      <c r="Z9" s="229" t="s">
        <v>114</v>
      </c>
      <c r="AA9" s="229" t="s">
        <v>4</v>
      </c>
      <c r="AB9" s="229" t="s">
        <v>9</v>
      </c>
      <c r="AC9" s="229" t="s">
        <v>217</v>
      </c>
      <c r="AD9" s="229" t="s">
        <v>114</v>
      </c>
      <c r="AE9" s="229" t="s">
        <v>4</v>
      </c>
      <c r="AF9" s="229" t="s">
        <v>9</v>
      </c>
      <c r="AG9" s="229" t="s">
        <v>217</v>
      </c>
      <c r="AH9" s="229" t="s">
        <v>114</v>
      </c>
      <c r="AI9" s="229" t="s">
        <v>4</v>
      </c>
      <c r="AJ9" s="229" t="s">
        <v>9</v>
      </c>
      <c r="AK9" s="229" t="s">
        <v>217</v>
      </c>
      <c r="AL9" s="229" t="s">
        <v>114</v>
      </c>
      <c r="AM9" s="230" t="s">
        <v>4</v>
      </c>
      <c r="AN9" s="230" t="s">
        <v>9</v>
      </c>
      <c r="AO9" s="230" t="s">
        <v>216</v>
      </c>
      <c r="AP9" s="230" t="s">
        <v>114</v>
      </c>
      <c r="AQ9" s="230" t="s">
        <v>4</v>
      </c>
      <c r="AR9" s="230" t="s">
        <v>9</v>
      </c>
      <c r="AS9" s="230" t="s">
        <v>216</v>
      </c>
      <c r="AT9" s="230" t="s">
        <v>114</v>
      </c>
    </row>
    <row r="10" spans="2:46" ht="16.5" thickTop="1" thickBot="1">
      <c r="D10" s="274">
        <v>1</v>
      </c>
      <c r="E10" s="279"/>
      <c r="F10" s="229" t="s">
        <v>214</v>
      </c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8"/>
      <c r="AN10" s="228"/>
      <c r="AO10" s="228"/>
      <c r="AP10" s="228"/>
      <c r="AQ10" s="228"/>
      <c r="AR10" s="228"/>
      <c r="AS10" s="228"/>
      <c r="AT10" s="228"/>
    </row>
    <row r="11" spans="2:46" ht="16.5" thickTop="1" thickBot="1">
      <c r="B11" t="s">
        <v>215</v>
      </c>
      <c r="D11" s="274"/>
      <c r="E11" s="279"/>
      <c r="F11" s="230" t="s">
        <v>213</v>
      </c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28"/>
      <c r="AN11" s="228"/>
      <c r="AO11" s="228"/>
      <c r="AP11" s="228"/>
      <c r="AQ11" s="228"/>
      <c r="AR11" s="228"/>
      <c r="AS11" s="228"/>
      <c r="AT11" s="228"/>
    </row>
    <row r="12" spans="2:46" ht="16.5" thickTop="1" thickBot="1">
      <c r="D12" s="274">
        <v>2</v>
      </c>
      <c r="E12" s="279"/>
      <c r="F12" s="230" t="s">
        <v>214</v>
      </c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30"/>
      <c r="AK12" s="230"/>
      <c r="AL12" s="230"/>
      <c r="AM12" s="228"/>
      <c r="AN12" s="228"/>
      <c r="AO12" s="228"/>
      <c r="AP12" s="228"/>
      <c r="AQ12" s="228"/>
      <c r="AR12" s="228"/>
      <c r="AS12" s="228"/>
      <c r="AT12" s="228"/>
    </row>
    <row r="13" spans="2:46" ht="16.5" thickTop="1" thickBot="1">
      <c r="D13" s="274"/>
      <c r="E13" s="279"/>
      <c r="F13" s="230" t="s">
        <v>213</v>
      </c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0"/>
      <c r="AI13" s="230"/>
      <c r="AJ13" s="230"/>
      <c r="AK13" s="230"/>
      <c r="AL13" s="230"/>
      <c r="AM13" s="228"/>
      <c r="AN13" s="228"/>
      <c r="AO13" s="228"/>
      <c r="AP13" s="228"/>
      <c r="AQ13" s="228"/>
      <c r="AR13" s="228"/>
      <c r="AS13" s="228"/>
      <c r="AT13" s="228"/>
    </row>
    <row r="14" spans="2:46" ht="16.5" thickTop="1" thickBot="1">
      <c r="D14" s="274">
        <v>3</v>
      </c>
      <c r="E14" s="279"/>
      <c r="F14" s="230" t="s">
        <v>214</v>
      </c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28"/>
      <c r="AN14" s="228"/>
      <c r="AO14" s="228"/>
      <c r="AP14" s="228"/>
      <c r="AQ14" s="228"/>
      <c r="AR14" s="228"/>
      <c r="AS14" s="228"/>
      <c r="AT14" s="228"/>
    </row>
    <row r="15" spans="2:46" ht="16.5" thickTop="1" thickBot="1">
      <c r="D15" s="274"/>
      <c r="E15" s="279"/>
      <c r="F15" s="230" t="s">
        <v>213</v>
      </c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28"/>
      <c r="AN15" s="228"/>
      <c r="AO15" s="228"/>
      <c r="AP15" s="228"/>
      <c r="AQ15" s="228"/>
      <c r="AR15" s="228"/>
      <c r="AS15" s="228"/>
      <c r="AT15" s="228"/>
    </row>
    <row r="16" spans="2:46" ht="16.5" thickTop="1" thickBot="1">
      <c r="D16" s="274">
        <v>4</v>
      </c>
      <c r="E16" s="275"/>
      <c r="F16" s="229" t="s">
        <v>214</v>
      </c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28"/>
      <c r="AT16" s="228"/>
    </row>
    <row r="17" spans="4:46" ht="16.5" thickTop="1" thickBot="1">
      <c r="D17" s="274"/>
      <c r="E17" s="276"/>
      <c r="F17" s="230" t="s">
        <v>213</v>
      </c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</row>
    <row r="18" spans="4:46" ht="16.5" thickTop="1" thickBot="1">
      <c r="D18" s="274">
        <v>5</v>
      </c>
      <c r="E18" s="275"/>
      <c r="F18" s="230" t="s">
        <v>214</v>
      </c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/>
      <c r="AR18" s="228"/>
      <c r="AS18" s="228"/>
      <c r="AT18" s="228"/>
    </row>
    <row r="19" spans="4:46" ht="16.5" thickTop="1" thickBot="1">
      <c r="D19" s="274"/>
      <c r="E19" s="276"/>
      <c r="F19" s="230" t="s">
        <v>213</v>
      </c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</row>
    <row r="20" spans="4:46" ht="16.5" thickTop="1" thickBot="1">
      <c r="D20" s="274">
        <v>6</v>
      </c>
      <c r="E20" s="275"/>
      <c r="F20" s="230" t="s">
        <v>214</v>
      </c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</row>
    <row r="21" spans="4:46" ht="16.5" thickTop="1" thickBot="1">
      <c r="D21" s="274"/>
      <c r="E21" s="276"/>
      <c r="F21" s="230" t="s">
        <v>213</v>
      </c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</row>
    <row r="22" spans="4:46" ht="16.5" thickTop="1" thickBot="1">
      <c r="D22" s="274">
        <v>7</v>
      </c>
      <c r="E22" s="275"/>
      <c r="F22" s="229" t="s">
        <v>214</v>
      </c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8"/>
      <c r="AT22" s="228"/>
    </row>
    <row r="23" spans="4:46" ht="16.5" thickTop="1" thickBot="1">
      <c r="D23" s="274"/>
      <c r="E23" s="276"/>
      <c r="F23" s="230" t="s">
        <v>213</v>
      </c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</row>
    <row r="24" spans="4:46" ht="16.5" thickTop="1" thickBot="1">
      <c r="D24" s="274">
        <v>8</v>
      </c>
      <c r="E24" s="275"/>
      <c r="F24" s="230" t="s">
        <v>214</v>
      </c>
      <c r="G24" s="228"/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</row>
    <row r="25" spans="4:46" ht="16.5" thickTop="1" thickBot="1">
      <c r="D25" s="274"/>
      <c r="E25" s="276"/>
      <c r="F25" s="230" t="s">
        <v>213</v>
      </c>
      <c r="G25" s="228"/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</row>
    <row r="26" spans="4:46" ht="16.5" thickTop="1" thickBot="1">
      <c r="D26" s="274">
        <v>9</v>
      </c>
      <c r="E26" s="275"/>
      <c r="F26" s="230" t="s">
        <v>214</v>
      </c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</row>
    <row r="27" spans="4:46" ht="16.5" thickTop="1" thickBot="1">
      <c r="D27" s="274"/>
      <c r="E27" s="276"/>
      <c r="F27" s="230" t="s">
        <v>213</v>
      </c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</row>
    <row r="28" spans="4:46" ht="16.5" thickTop="1" thickBot="1">
      <c r="D28" s="274">
        <v>10</v>
      </c>
      <c r="E28" s="275"/>
      <c r="F28" s="229" t="s">
        <v>214</v>
      </c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</row>
    <row r="29" spans="4:46" ht="16.5" thickTop="1" thickBot="1">
      <c r="D29" s="274"/>
      <c r="E29" s="276"/>
      <c r="F29" s="230" t="s">
        <v>213</v>
      </c>
      <c r="G29" s="228"/>
      <c r="H29" s="228"/>
      <c r="I29" s="228"/>
      <c r="J29" s="228"/>
      <c r="K29" s="228"/>
      <c r="L29" s="228"/>
      <c r="M29" s="228"/>
      <c r="N29" s="228"/>
      <c r="O29" s="228"/>
      <c r="P29" s="228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</row>
    <row r="30" spans="4:46" ht="16.5" thickTop="1" thickBot="1">
      <c r="D30" s="274">
        <v>11</v>
      </c>
      <c r="E30" s="275"/>
      <c r="F30" s="230" t="s">
        <v>214</v>
      </c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</row>
    <row r="31" spans="4:46" ht="16.5" thickTop="1" thickBot="1">
      <c r="D31" s="274"/>
      <c r="E31" s="276"/>
      <c r="F31" s="230" t="s">
        <v>213</v>
      </c>
      <c r="G31" s="228"/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</row>
    <row r="32" spans="4:46" ht="16.5" thickTop="1" thickBot="1">
      <c r="D32" s="274">
        <v>12</v>
      </c>
      <c r="E32" s="275"/>
      <c r="F32" s="230" t="s">
        <v>214</v>
      </c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</row>
    <row r="33" spans="4:46" ht="16.5" thickTop="1" thickBot="1">
      <c r="D33" s="274"/>
      <c r="E33" s="276"/>
      <c r="F33" s="230" t="s">
        <v>213</v>
      </c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</row>
    <row r="34" spans="4:46" ht="16.5" thickTop="1" thickBot="1">
      <c r="D34" s="274">
        <v>13</v>
      </c>
      <c r="E34" s="275"/>
      <c r="F34" s="229" t="s">
        <v>214</v>
      </c>
      <c r="G34" s="228"/>
      <c r="H34" s="228"/>
      <c r="I34" s="228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8"/>
    </row>
    <row r="35" spans="4:46" ht="16.5" thickTop="1" thickBot="1">
      <c r="D35" s="274"/>
      <c r="E35" s="276"/>
      <c r="F35" s="230" t="s">
        <v>213</v>
      </c>
      <c r="G35" s="228"/>
      <c r="H35" s="228"/>
      <c r="I35" s="228"/>
      <c r="J35" s="228"/>
      <c r="K35" s="228"/>
      <c r="L35" s="228"/>
      <c r="M35" s="228"/>
      <c r="N35" s="228"/>
      <c r="O35" s="228"/>
      <c r="P35" s="228"/>
      <c r="Q35" s="228"/>
      <c r="R35" s="228"/>
      <c r="S35" s="228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</row>
    <row r="36" spans="4:46" ht="16.5" thickTop="1" thickBot="1">
      <c r="D36" s="274">
        <v>14</v>
      </c>
      <c r="E36" s="275"/>
      <c r="F36" s="230" t="s">
        <v>214</v>
      </c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8"/>
      <c r="AR36" s="228"/>
      <c r="AS36" s="228"/>
      <c r="AT36" s="228"/>
    </row>
    <row r="37" spans="4:46" ht="16.5" thickTop="1" thickBot="1">
      <c r="D37" s="274"/>
      <c r="E37" s="276"/>
      <c r="F37" s="230" t="s">
        <v>213</v>
      </c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228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</row>
    <row r="38" spans="4:46" ht="16.5" thickTop="1" thickBot="1">
      <c r="D38" s="274">
        <v>15</v>
      </c>
      <c r="E38" s="275"/>
      <c r="F38" s="230" t="s">
        <v>214</v>
      </c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</row>
    <row r="39" spans="4:46" ht="16.5" thickTop="1" thickBot="1">
      <c r="D39" s="274"/>
      <c r="E39" s="276"/>
      <c r="F39" s="230" t="s">
        <v>213</v>
      </c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</row>
    <row r="40" spans="4:46" ht="16.5" thickTop="1" thickBot="1">
      <c r="D40" s="274">
        <v>16</v>
      </c>
      <c r="E40" s="275"/>
      <c r="F40" s="229" t="s">
        <v>214</v>
      </c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  <c r="AI40" s="228"/>
      <c r="AJ40" s="228"/>
      <c r="AK40" s="228"/>
      <c r="AL40" s="228"/>
      <c r="AM40" s="228"/>
      <c r="AN40" s="228"/>
      <c r="AO40" s="228"/>
      <c r="AP40" s="228"/>
      <c r="AQ40" s="228"/>
      <c r="AR40" s="228"/>
      <c r="AS40" s="228"/>
      <c r="AT40" s="228"/>
    </row>
    <row r="41" spans="4:46" ht="16.5" thickTop="1" thickBot="1">
      <c r="D41" s="274"/>
      <c r="E41" s="276"/>
      <c r="F41" s="230" t="s">
        <v>213</v>
      </c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</row>
    <row r="42" spans="4:46" ht="16.5" thickTop="1" thickBot="1">
      <c r="D42" s="274">
        <v>17</v>
      </c>
      <c r="E42" s="275"/>
      <c r="F42" s="236" t="s">
        <v>214</v>
      </c>
      <c r="G42" s="228"/>
      <c r="H42" s="228"/>
      <c r="I42" s="228"/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</row>
    <row r="43" spans="4:46" ht="16.5" thickTop="1" thickBot="1">
      <c r="D43" s="274"/>
      <c r="E43" s="276"/>
      <c r="F43" s="230" t="s">
        <v>213</v>
      </c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</row>
    <row r="44" spans="4:46" ht="16.5" thickTop="1" thickBot="1">
      <c r="D44" s="274">
        <v>18</v>
      </c>
      <c r="E44" s="275"/>
      <c r="F44" s="236" t="s">
        <v>214</v>
      </c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  <c r="AN44" s="228"/>
      <c r="AO44" s="228"/>
      <c r="AP44" s="228"/>
      <c r="AQ44" s="228"/>
      <c r="AR44" s="228"/>
      <c r="AS44" s="228"/>
      <c r="AT44" s="228"/>
    </row>
    <row r="45" spans="4:46" ht="16.5" thickTop="1" thickBot="1">
      <c r="D45" s="274"/>
      <c r="E45" s="276"/>
      <c r="F45" s="230" t="s">
        <v>213</v>
      </c>
      <c r="G45" s="228"/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</row>
    <row r="46" spans="4:46" ht="16.5" thickTop="1" thickBot="1">
      <c r="D46" s="274">
        <v>19</v>
      </c>
      <c r="E46" s="275"/>
      <c r="F46" s="236" t="s">
        <v>214</v>
      </c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</row>
    <row r="47" spans="4:46" ht="16.5" thickTop="1" thickBot="1">
      <c r="D47" s="274"/>
      <c r="E47" s="276"/>
      <c r="F47" s="230" t="s">
        <v>213</v>
      </c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8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</row>
    <row r="48" spans="4:46" ht="16.5" thickTop="1" thickBot="1">
      <c r="D48" s="274">
        <v>20</v>
      </c>
      <c r="E48" s="275"/>
      <c r="F48" s="236" t="s">
        <v>214</v>
      </c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28"/>
      <c r="AL48" s="228"/>
      <c r="AM48" s="228"/>
      <c r="AN48" s="228"/>
      <c r="AO48" s="228"/>
      <c r="AP48" s="228"/>
      <c r="AQ48" s="228"/>
      <c r="AR48" s="228"/>
      <c r="AS48" s="228"/>
      <c r="AT48" s="228"/>
    </row>
    <row r="49" spans="4:46" ht="16.5" thickTop="1" thickBot="1">
      <c r="D49" s="274"/>
      <c r="E49" s="276"/>
      <c r="F49" s="230" t="s">
        <v>213</v>
      </c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</row>
    <row r="50" spans="4:46" ht="16.5" thickTop="1" thickBot="1">
      <c r="D50" s="277" t="s">
        <v>212</v>
      </c>
      <c r="E50" s="278"/>
      <c r="F50" s="229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</row>
    <row r="51" spans="4:46" ht="15.4" customHeight="1" thickTop="1"/>
    <row r="53" spans="4:46">
      <c r="J53" t="s">
        <v>203</v>
      </c>
      <c r="AL53" t="s">
        <v>204</v>
      </c>
    </row>
  </sheetData>
  <mergeCells count="55">
    <mergeCell ref="D42:D43"/>
    <mergeCell ref="D48:D49"/>
    <mergeCell ref="E22:E23"/>
    <mergeCell ref="E24:E25"/>
    <mergeCell ref="E26:E27"/>
    <mergeCell ref="D38:D39"/>
    <mergeCell ref="E30:E31"/>
    <mergeCell ref="E32:E33"/>
    <mergeCell ref="E34:E35"/>
    <mergeCell ref="D22:D23"/>
    <mergeCell ref="D24:D25"/>
    <mergeCell ref="D26:D27"/>
    <mergeCell ref="D44:D45"/>
    <mergeCell ref="E44:E45"/>
    <mergeCell ref="D46:D47"/>
    <mergeCell ref="E46:E47"/>
    <mergeCell ref="D50:E50"/>
    <mergeCell ref="Q5:AC5"/>
    <mergeCell ref="E42:E43"/>
    <mergeCell ref="E48:E49"/>
    <mergeCell ref="D30:D31"/>
    <mergeCell ref="D32:D33"/>
    <mergeCell ref="D34:D35"/>
    <mergeCell ref="D36:D37"/>
    <mergeCell ref="D16:D17"/>
    <mergeCell ref="E38:E39"/>
    <mergeCell ref="E40:E41"/>
    <mergeCell ref="E28:E29"/>
    <mergeCell ref="E36:E37"/>
    <mergeCell ref="D40:D41"/>
    <mergeCell ref="D28:D29"/>
    <mergeCell ref="E16:E17"/>
    <mergeCell ref="E18:E19"/>
    <mergeCell ref="E20:E21"/>
    <mergeCell ref="D18:D19"/>
    <mergeCell ref="D20:D21"/>
    <mergeCell ref="AM7:AP8"/>
    <mergeCell ref="W7:Z8"/>
    <mergeCell ref="AA7:AD8"/>
    <mergeCell ref="AE7:AH8"/>
    <mergeCell ref="G7:J8"/>
    <mergeCell ref="S7:V8"/>
    <mergeCell ref="AI7:AL8"/>
    <mergeCell ref="E12:E13"/>
    <mergeCell ref="D12:D13"/>
    <mergeCell ref="D14:D15"/>
    <mergeCell ref="E14:E15"/>
    <mergeCell ref="AQ7:AT8"/>
    <mergeCell ref="D10:D11"/>
    <mergeCell ref="E10:E11"/>
    <mergeCell ref="D7:D9"/>
    <mergeCell ref="E7:E9"/>
    <mergeCell ref="K7:N8"/>
    <mergeCell ref="O7:R8"/>
    <mergeCell ref="F7:F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ورقة9">
    <tabColor rgb="FF92D050"/>
  </sheetPr>
  <dimension ref="B12:H26"/>
  <sheetViews>
    <sheetView rightToLeft="1" view="pageLayout" topLeftCell="A13" zoomScaleNormal="100" workbookViewId="0">
      <selection activeCell="B24" sqref="B24"/>
    </sheetView>
  </sheetViews>
  <sheetFormatPr defaultRowHeight="14.25"/>
  <cols>
    <col min="2" max="2" width="14.25" customWidth="1"/>
    <col min="3" max="3" width="13.75" customWidth="1"/>
    <col min="4" max="4" width="12.375" customWidth="1"/>
    <col min="5" max="5" width="12.875" customWidth="1"/>
    <col min="6" max="6" width="12.375" customWidth="1"/>
    <col min="7" max="7" width="14.75" customWidth="1"/>
    <col min="8" max="8" width="12.75" customWidth="1"/>
  </cols>
  <sheetData>
    <row r="12" spans="2:8" ht="23.25" customHeight="1">
      <c r="B12" s="307" t="s">
        <v>44</v>
      </c>
      <c r="C12" s="307"/>
      <c r="D12" s="307"/>
      <c r="E12" s="17" t="s">
        <v>45</v>
      </c>
      <c r="F12" s="29"/>
      <c r="G12" s="17"/>
      <c r="H12" s="311" t="s">
        <v>111</v>
      </c>
    </row>
    <row r="13" spans="2:8" ht="23.25" customHeight="1">
      <c r="B13" s="17" t="s">
        <v>10</v>
      </c>
      <c r="C13" s="17" t="s">
        <v>6</v>
      </c>
      <c r="D13" s="17" t="s">
        <v>9</v>
      </c>
      <c r="E13" s="17" t="s">
        <v>46</v>
      </c>
      <c r="F13" s="25" t="s">
        <v>47</v>
      </c>
      <c r="G13" s="17" t="s">
        <v>48</v>
      </c>
      <c r="H13" s="312"/>
    </row>
    <row r="14" spans="2:8" ht="23.25" customHeight="1">
      <c r="B14" s="12">
        <f>SUM(C14:D14)</f>
        <v>0</v>
      </c>
      <c r="C14" s="12"/>
      <c r="D14" s="12"/>
      <c r="E14" s="91" t="e">
        <f>(B14/F14)</f>
        <v>#DIV/0!</v>
      </c>
      <c r="F14" s="20"/>
      <c r="G14" s="21" t="s">
        <v>49</v>
      </c>
      <c r="H14" s="309" t="s">
        <v>112</v>
      </c>
    </row>
    <row r="15" spans="2:8" ht="23.25" customHeight="1">
      <c r="B15" s="12">
        <f t="shared" ref="B15:B22" si="0">SUM(C15:D15)</f>
        <v>0</v>
      </c>
      <c r="C15" s="12"/>
      <c r="D15" s="12"/>
      <c r="E15" s="91" t="e">
        <f t="shared" ref="E15:E23" si="1">(B15/F15)</f>
        <v>#DIV/0!</v>
      </c>
      <c r="F15" s="20"/>
      <c r="G15" s="21" t="s">
        <v>50</v>
      </c>
      <c r="H15" s="310"/>
    </row>
    <row r="16" spans="2:8" ht="23.25" customHeight="1">
      <c r="B16" s="12">
        <f t="shared" si="0"/>
        <v>0</v>
      </c>
      <c r="C16" s="12"/>
      <c r="D16" s="12"/>
      <c r="E16" s="91" t="e">
        <f t="shared" si="1"/>
        <v>#DIV/0!</v>
      </c>
      <c r="F16" s="20"/>
      <c r="G16" s="21" t="s">
        <v>51</v>
      </c>
      <c r="H16" s="310"/>
    </row>
    <row r="17" spans="2:8" ht="23.25" customHeight="1">
      <c r="B17" s="12">
        <f t="shared" si="0"/>
        <v>0</v>
      </c>
      <c r="C17" s="12"/>
      <c r="D17" s="12"/>
      <c r="E17" s="91" t="e">
        <f t="shared" si="1"/>
        <v>#DIV/0!</v>
      </c>
      <c r="F17" s="20"/>
      <c r="G17" s="21" t="s">
        <v>52</v>
      </c>
      <c r="H17" s="310"/>
    </row>
    <row r="18" spans="2:8" ht="23.25" customHeight="1">
      <c r="B18" s="12">
        <f t="shared" si="0"/>
        <v>0</v>
      </c>
      <c r="C18" s="12"/>
      <c r="D18" s="12"/>
      <c r="E18" s="91" t="e">
        <f t="shared" si="1"/>
        <v>#DIV/0!</v>
      </c>
      <c r="F18" s="20"/>
      <c r="G18" s="21" t="s">
        <v>53</v>
      </c>
      <c r="H18" s="310"/>
    </row>
    <row r="19" spans="2:8" ht="23.25" customHeight="1">
      <c r="B19" s="12">
        <f t="shared" si="0"/>
        <v>0</v>
      </c>
      <c r="C19" s="12"/>
      <c r="D19" s="12"/>
      <c r="E19" s="91" t="e">
        <f t="shared" si="1"/>
        <v>#DIV/0!</v>
      </c>
      <c r="F19" s="20"/>
      <c r="G19" s="21" t="s">
        <v>54</v>
      </c>
      <c r="H19" s="310"/>
    </row>
    <row r="20" spans="2:8" ht="23.25" customHeight="1">
      <c r="B20" s="12">
        <f t="shared" si="0"/>
        <v>0</v>
      </c>
      <c r="C20" s="12"/>
      <c r="D20" s="12"/>
      <c r="E20" s="91" t="e">
        <f t="shared" si="1"/>
        <v>#DIV/0!</v>
      </c>
      <c r="F20" s="20"/>
      <c r="G20" s="21" t="s">
        <v>55</v>
      </c>
      <c r="H20" s="310"/>
    </row>
    <row r="21" spans="2:8" ht="23.25" customHeight="1">
      <c r="B21" s="12">
        <f t="shared" si="0"/>
        <v>0</v>
      </c>
      <c r="C21" s="12"/>
      <c r="D21" s="12"/>
      <c r="E21" s="91" t="e">
        <f t="shared" si="1"/>
        <v>#DIV/0!</v>
      </c>
      <c r="F21" s="20"/>
      <c r="G21" s="21" t="s">
        <v>56</v>
      </c>
      <c r="H21" s="310"/>
    </row>
    <row r="22" spans="2:8" ht="23.25" customHeight="1">
      <c r="B22" s="12">
        <f t="shared" si="0"/>
        <v>0</v>
      </c>
      <c r="C22" s="12"/>
      <c r="D22" s="12"/>
      <c r="E22" s="91" t="e">
        <f t="shared" si="1"/>
        <v>#DIV/0!</v>
      </c>
      <c r="F22" s="20"/>
      <c r="G22" s="21" t="s">
        <v>57</v>
      </c>
      <c r="H22" s="310"/>
    </row>
    <row r="23" spans="2:8" ht="23.25" customHeight="1">
      <c r="B23" s="19">
        <f t="shared" ref="B23:D23" si="2">SUM(B14:B22)</f>
        <v>0</v>
      </c>
      <c r="C23" s="19"/>
      <c r="D23" s="19"/>
      <c r="E23" s="91" t="e">
        <f t="shared" si="1"/>
        <v>#DIV/0!</v>
      </c>
      <c r="F23" s="19">
        <f>SUM(F14:F22)</f>
        <v>0</v>
      </c>
      <c r="G23" s="16" t="s">
        <v>10</v>
      </c>
      <c r="H23" s="14"/>
    </row>
    <row r="24" spans="2:8" ht="23.25" customHeight="1">
      <c r="B24" s="94" t="e">
        <f>B23/F23</f>
        <v>#DIV/0!</v>
      </c>
      <c r="C24" s="92" t="e">
        <f>C23/F23</f>
        <v>#DIV/0!</v>
      </c>
      <c r="D24" s="92" t="e">
        <f>D23/F23</f>
        <v>#DIV/0!</v>
      </c>
      <c r="E24" s="308" t="s">
        <v>58</v>
      </c>
      <c r="F24" s="308"/>
      <c r="G24" s="308"/>
      <c r="H24" s="15"/>
    </row>
    <row r="25" spans="2:8" s="28" customFormat="1" ht="18">
      <c r="B25" s="315" t="s">
        <v>203</v>
      </c>
      <c r="C25" s="315"/>
      <c r="F25" s="316" t="s">
        <v>204</v>
      </c>
      <c r="G25" s="316"/>
      <c r="H25" s="316"/>
    </row>
    <row r="26" spans="2:8" s="28" customFormat="1" ht="18">
      <c r="B26" s="313"/>
      <c r="C26" s="313"/>
      <c r="D26" s="313"/>
      <c r="E26" s="313"/>
      <c r="G26" s="314"/>
      <c r="H26" s="314"/>
    </row>
  </sheetData>
  <mergeCells count="9">
    <mergeCell ref="B12:D12"/>
    <mergeCell ref="E24:G24"/>
    <mergeCell ref="H14:H22"/>
    <mergeCell ref="H12:H13"/>
    <mergeCell ref="D26:E26"/>
    <mergeCell ref="G26:H26"/>
    <mergeCell ref="B26:C26"/>
    <mergeCell ref="B25:C25"/>
    <mergeCell ref="F25:H2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ورقة1">
    <tabColor rgb="FF92D050"/>
  </sheetPr>
  <dimension ref="A11:H22"/>
  <sheetViews>
    <sheetView rightToLeft="1" view="pageLayout" topLeftCell="A7" zoomScaleNormal="100" workbookViewId="0">
      <selection activeCell="D13" sqref="B13:D17"/>
    </sheetView>
  </sheetViews>
  <sheetFormatPr defaultRowHeight="14.25"/>
  <cols>
    <col min="2" max="2" width="14.25" customWidth="1"/>
    <col min="3" max="3" width="13.75" customWidth="1"/>
    <col min="4" max="4" width="12.375" customWidth="1"/>
    <col min="5" max="5" width="12.875" customWidth="1"/>
    <col min="6" max="6" width="12.375" customWidth="1"/>
    <col min="7" max="7" width="20.375" customWidth="1"/>
    <col min="8" max="8" width="12.75" customWidth="1"/>
  </cols>
  <sheetData>
    <row r="11" spans="2:8" ht="26.25" customHeight="1">
      <c r="B11" s="307" t="s">
        <v>44</v>
      </c>
      <c r="C11" s="307"/>
      <c r="D11" s="307"/>
      <c r="E11" s="17" t="s">
        <v>45</v>
      </c>
      <c r="F11" s="18"/>
      <c r="G11" s="17"/>
      <c r="H11" s="18"/>
    </row>
    <row r="12" spans="2:8" ht="26.25" customHeight="1">
      <c r="B12" s="17" t="s">
        <v>10</v>
      </c>
      <c r="C12" s="17" t="s">
        <v>6</v>
      </c>
      <c r="D12" s="17" t="s">
        <v>9</v>
      </c>
      <c r="E12" s="17" t="s">
        <v>46</v>
      </c>
      <c r="F12" s="17" t="s">
        <v>47</v>
      </c>
      <c r="G12" s="17" t="s">
        <v>48</v>
      </c>
      <c r="H12" s="17" t="s">
        <v>110</v>
      </c>
    </row>
    <row r="13" spans="2:8" ht="26.25" customHeight="1">
      <c r="B13" s="12"/>
      <c r="C13" s="12"/>
      <c r="D13" s="12"/>
      <c r="E13" s="90" t="e">
        <f>B13/F13</f>
        <v>#DIV/0!</v>
      </c>
      <c r="F13" s="20"/>
      <c r="G13" s="17" t="s">
        <v>59</v>
      </c>
      <c r="H13" s="309" t="s">
        <v>113</v>
      </c>
    </row>
    <row r="14" spans="2:8" ht="26.25" customHeight="1">
      <c r="B14" s="12"/>
      <c r="C14" s="12"/>
      <c r="D14" s="12"/>
      <c r="E14" s="90" t="e">
        <f t="shared" ref="E14:E18" si="0">B14/F14</f>
        <v>#DIV/0!</v>
      </c>
      <c r="F14" s="20"/>
      <c r="G14" s="17" t="s">
        <v>60</v>
      </c>
      <c r="H14" s="310"/>
    </row>
    <row r="15" spans="2:8" ht="26.25" customHeight="1">
      <c r="B15" s="12"/>
      <c r="C15" s="12"/>
      <c r="D15" s="12"/>
      <c r="E15" s="90" t="e">
        <f t="shared" si="0"/>
        <v>#DIV/0!</v>
      </c>
      <c r="F15" s="20"/>
      <c r="G15" s="17" t="s">
        <v>62</v>
      </c>
      <c r="H15" s="310"/>
    </row>
    <row r="16" spans="2:8" ht="26.25" customHeight="1">
      <c r="B16" s="12"/>
      <c r="C16" s="12"/>
      <c r="D16" s="12"/>
      <c r="E16" s="90" t="e">
        <f t="shared" si="0"/>
        <v>#DIV/0!</v>
      </c>
      <c r="F16" s="20"/>
      <c r="G16" s="17" t="s">
        <v>61</v>
      </c>
      <c r="H16" s="310"/>
    </row>
    <row r="17" spans="1:8" ht="26.25" customHeight="1">
      <c r="B17" s="12"/>
      <c r="C17" s="12"/>
      <c r="D17" s="12"/>
      <c r="E17" s="90" t="e">
        <f t="shared" si="0"/>
        <v>#DIV/0!</v>
      </c>
      <c r="F17" s="20"/>
      <c r="G17" s="17" t="s">
        <v>63</v>
      </c>
      <c r="H17" s="310"/>
    </row>
    <row r="18" spans="1:8" ht="26.25" customHeight="1">
      <c r="B18" s="12">
        <f t="shared" ref="B14:B18" si="1">SUM(C18:D18)</f>
        <v>0</v>
      </c>
      <c r="C18" s="13">
        <f>SUM(C13:C17)</f>
        <v>0</v>
      </c>
      <c r="D18" s="13">
        <f>SUM(D13:D17)</f>
        <v>0</v>
      </c>
      <c r="E18" s="90" t="e">
        <f t="shared" si="0"/>
        <v>#DIV/0!</v>
      </c>
      <c r="F18" s="19">
        <f>SUM(F13:F17)</f>
        <v>0</v>
      </c>
      <c r="G18" s="16" t="s">
        <v>10</v>
      </c>
      <c r="H18" s="14"/>
    </row>
    <row r="19" spans="1:8" ht="26.25" customHeight="1">
      <c r="B19" s="95" t="e">
        <f>B18/F18</f>
        <v>#DIV/0!</v>
      </c>
      <c r="C19" s="96" t="e">
        <f>C18/F18</f>
        <v>#DIV/0!</v>
      </c>
      <c r="D19" s="96" t="e">
        <f>D18/F18</f>
        <v>#DIV/0!</v>
      </c>
      <c r="E19" s="308" t="s">
        <v>58</v>
      </c>
      <c r="F19" s="308"/>
      <c r="G19" s="308"/>
      <c r="H19" s="15"/>
    </row>
    <row r="20" spans="1:8">
      <c r="C20" s="93"/>
    </row>
    <row r="21" spans="1:8" ht="18">
      <c r="D21" s="149"/>
      <c r="E21" s="150"/>
      <c r="G21" s="154"/>
    </row>
    <row r="22" spans="1:8" ht="18">
      <c r="A22" s="317" t="s">
        <v>203</v>
      </c>
      <c r="B22" s="317"/>
      <c r="C22" s="317"/>
      <c r="D22" s="149"/>
      <c r="E22" s="149"/>
      <c r="F22" s="222"/>
      <c r="G22" s="181" t="s">
        <v>202</v>
      </c>
      <c r="H22" s="222"/>
    </row>
  </sheetData>
  <mergeCells count="4">
    <mergeCell ref="B11:D11"/>
    <mergeCell ref="E19:G19"/>
    <mergeCell ref="H13:H17"/>
    <mergeCell ref="A22:C22"/>
  </mergeCells>
  <pageMargins left="0.70866141732283472" right="0.70866141732283472" top="0.31496062992125984" bottom="0.55118110236220474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ورقة10">
    <tabColor theme="5" tint="0.59999389629810485"/>
  </sheetPr>
  <dimension ref="B12:S21"/>
  <sheetViews>
    <sheetView rightToLeft="1" view="pageBreakPreview" zoomScale="96" zoomScaleNormal="100" zoomScaleSheetLayoutView="130" workbookViewId="0">
      <selection activeCell="C2" sqref="C2"/>
    </sheetView>
  </sheetViews>
  <sheetFormatPr defaultRowHeight="14.25"/>
  <cols>
    <col min="1" max="1" width="4.75" customWidth="1"/>
    <col min="2" max="17" width="5.75" customWidth="1"/>
    <col min="18" max="18" width="8.875" customWidth="1"/>
    <col min="19" max="19" width="5.75" customWidth="1"/>
    <col min="20" max="20" width="4" customWidth="1"/>
  </cols>
  <sheetData>
    <row r="12" spans="2:19" ht="26.25">
      <c r="B12" s="321" t="s">
        <v>10</v>
      </c>
      <c r="C12" s="322"/>
      <c r="D12" s="322"/>
      <c r="E12" s="323"/>
      <c r="F12" s="321" t="s">
        <v>14</v>
      </c>
      <c r="G12" s="322"/>
      <c r="H12" s="322"/>
      <c r="I12" s="323"/>
      <c r="J12" s="321" t="s">
        <v>12</v>
      </c>
      <c r="K12" s="322"/>
      <c r="L12" s="322"/>
      <c r="M12" s="323"/>
      <c r="N12" s="321" t="s">
        <v>11</v>
      </c>
      <c r="O12" s="322"/>
      <c r="P12" s="322"/>
      <c r="Q12" s="323"/>
      <c r="R12" s="11" t="s">
        <v>36</v>
      </c>
      <c r="S12" s="318"/>
    </row>
    <row r="13" spans="2:19" ht="26.25">
      <c r="B13" s="157" t="s">
        <v>37</v>
      </c>
      <c r="C13" s="157" t="s">
        <v>38</v>
      </c>
      <c r="D13" s="157" t="s">
        <v>39</v>
      </c>
      <c r="E13" s="157" t="s">
        <v>40</v>
      </c>
      <c r="F13" s="157" t="s">
        <v>37</v>
      </c>
      <c r="G13" s="157" t="s">
        <v>38</v>
      </c>
      <c r="H13" s="157" t="s">
        <v>39</v>
      </c>
      <c r="I13" s="157" t="s">
        <v>40</v>
      </c>
      <c r="J13" s="157" t="s">
        <v>37</v>
      </c>
      <c r="K13" s="157" t="s">
        <v>38</v>
      </c>
      <c r="L13" s="157" t="s">
        <v>39</v>
      </c>
      <c r="M13" s="157" t="s">
        <v>40</v>
      </c>
      <c r="N13" s="157" t="s">
        <v>37</v>
      </c>
      <c r="O13" s="157" t="s">
        <v>38</v>
      </c>
      <c r="P13" s="157" t="s">
        <v>39</v>
      </c>
      <c r="Q13" s="157" t="s">
        <v>40</v>
      </c>
      <c r="R13" s="157" t="s">
        <v>41</v>
      </c>
      <c r="S13" s="319"/>
    </row>
    <row r="14" spans="2:19" ht="26.25">
      <c r="B14" s="158">
        <f>SUM(C14:E14)</f>
        <v>0</v>
      </c>
      <c r="C14" s="9">
        <f t="shared" ref="C14:E16" si="0">O14+K14+G14</f>
        <v>0</v>
      </c>
      <c r="D14" s="9">
        <f t="shared" si="0"/>
        <v>0</v>
      </c>
      <c r="E14" s="9">
        <f t="shared" si="0"/>
        <v>0</v>
      </c>
      <c r="F14" s="9">
        <f>SUM(G14:I14)</f>
        <v>0</v>
      </c>
      <c r="G14" s="9"/>
      <c r="H14" s="9"/>
      <c r="I14" s="9"/>
      <c r="J14" s="9">
        <f>SUM(K14:M14)</f>
        <v>0</v>
      </c>
      <c r="K14" s="9"/>
      <c r="L14" s="9"/>
      <c r="M14" s="9"/>
      <c r="N14" s="9">
        <f>SUM(O14:Q14)</f>
        <v>0</v>
      </c>
      <c r="O14" s="9"/>
      <c r="P14" s="9"/>
      <c r="Q14" s="9"/>
      <c r="R14" s="157" t="s">
        <v>42</v>
      </c>
      <c r="S14" s="10"/>
    </row>
    <row r="15" spans="2:19" ht="27" customHeight="1">
      <c r="B15" s="158">
        <f t="shared" ref="B15:B16" si="1">SUM(C15:E15)</f>
        <v>0</v>
      </c>
      <c r="C15" s="9">
        <f t="shared" si="0"/>
        <v>0</v>
      </c>
      <c r="D15" s="9">
        <f t="shared" si="0"/>
        <v>0</v>
      </c>
      <c r="E15" s="9">
        <f t="shared" si="0"/>
        <v>0</v>
      </c>
      <c r="F15" s="9">
        <f t="shared" ref="F15:F16" si="2">SUM(G15:I15)</f>
        <v>0</v>
      </c>
      <c r="G15" s="9"/>
      <c r="H15" s="9"/>
      <c r="I15" s="9"/>
      <c r="J15" s="9">
        <f t="shared" ref="J15:J16" si="3">SUM(K15:M15)</f>
        <v>0</v>
      </c>
      <c r="K15" s="9"/>
      <c r="L15" s="9"/>
      <c r="M15" s="9"/>
      <c r="N15" s="9">
        <f t="shared" ref="N15:N16" si="4">SUM(O15:Q15)</f>
        <v>0</v>
      </c>
      <c r="O15" s="9"/>
      <c r="P15" s="9"/>
      <c r="Q15" s="9"/>
      <c r="R15" s="157" t="s">
        <v>131</v>
      </c>
      <c r="S15" s="10"/>
    </row>
    <row r="16" spans="2:19" ht="24.75">
      <c r="B16" s="158">
        <f t="shared" si="1"/>
        <v>0</v>
      </c>
      <c r="C16" s="9">
        <f t="shared" si="0"/>
        <v>0</v>
      </c>
      <c r="D16" s="9">
        <f t="shared" si="0"/>
        <v>0</v>
      </c>
      <c r="E16" s="9">
        <f t="shared" si="0"/>
        <v>0</v>
      </c>
      <c r="F16" s="9">
        <f t="shared" si="2"/>
        <v>0</v>
      </c>
      <c r="G16" s="9"/>
      <c r="H16" s="9"/>
      <c r="I16" s="9"/>
      <c r="J16" s="9">
        <f t="shared" si="3"/>
        <v>0</v>
      </c>
      <c r="K16" s="9"/>
      <c r="L16" s="9"/>
      <c r="M16" s="9"/>
      <c r="N16" s="9">
        <f t="shared" si="4"/>
        <v>0</v>
      </c>
      <c r="O16" s="9"/>
      <c r="P16" s="9"/>
      <c r="Q16" s="9"/>
      <c r="R16" s="164" t="s">
        <v>132</v>
      </c>
      <c r="S16" s="10"/>
    </row>
    <row r="17" spans="2:19" ht="26.25">
      <c r="B17" s="156">
        <f>E17+D17+C17</f>
        <v>0</v>
      </c>
      <c r="C17" s="156">
        <f t="shared" ref="C17:M17" si="5">SUM(D17:F17)</f>
        <v>0</v>
      </c>
      <c r="D17" s="156">
        <f t="shared" si="5"/>
        <v>0</v>
      </c>
      <c r="E17" s="156">
        <f t="shared" si="5"/>
        <v>0</v>
      </c>
      <c r="F17" s="156">
        <f t="shared" si="5"/>
        <v>0</v>
      </c>
      <c r="G17" s="156">
        <f t="shared" si="5"/>
        <v>0</v>
      </c>
      <c r="H17" s="156">
        <f t="shared" si="5"/>
        <v>0</v>
      </c>
      <c r="I17" s="156">
        <f t="shared" si="5"/>
        <v>0</v>
      </c>
      <c r="J17" s="156">
        <f>SUM(K17:M17)</f>
        <v>0</v>
      </c>
      <c r="K17" s="156">
        <f t="shared" si="5"/>
        <v>0</v>
      </c>
      <c r="L17" s="156">
        <f>SUM(M17:O17)</f>
        <v>0</v>
      </c>
      <c r="M17" s="156">
        <f t="shared" si="5"/>
        <v>0</v>
      </c>
      <c r="N17" s="156">
        <f>SUM(O17:Q17)</f>
        <v>0</v>
      </c>
      <c r="O17" s="156">
        <f t="shared" ref="O17" si="6">SUM(P17:R17)</f>
        <v>0</v>
      </c>
      <c r="P17" s="156">
        <f>SUM(P14:P16)</f>
        <v>0</v>
      </c>
      <c r="Q17" s="156">
        <f>SUM(Q14:Q16)</f>
        <v>0</v>
      </c>
      <c r="R17" s="157" t="s">
        <v>7</v>
      </c>
      <c r="S17" s="8"/>
    </row>
    <row r="20" spans="2:19" ht="15.75">
      <c r="D20" s="320" t="s">
        <v>204</v>
      </c>
      <c r="E20" s="320"/>
      <c r="F20" s="320"/>
      <c r="G20" s="320"/>
      <c r="H20" s="320"/>
      <c r="O20" s="320" t="s">
        <v>203</v>
      </c>
      <c r="P20" s="320"/>
      <c r="Q20" s="320"/>
      <c r="R20" s="320"/>
    </row>
    <row r="21" spans="2:19" ht="18">
      <c r="D21" s="154"/>
      <c r="E21" s="154"/>
      <c r="F21" s="154"/>
      <c r="G21" s="154"/>
      <c r="H21" s="154"/>
      <c r="Q21" s="28"/>
      <c r="R21" s="153"/>
    </row>
  </sheetData>
  <mergeCells count="7">
    <mergeCell ref="S12:S13"/>
    <mergeCell ref="O20:R20"/>
    <mergeCell ref="D20:H20"/>
    <mergeCell ref="B12:E12"/>
    <mergeCell ref="F12:I12"/>
    <mergeCell ref="J12:M12"/>
    <mergeCell ref="N12:Q12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8"/>
  <sheetViews>
    <sheetView rightToLeft="1" view="pageBreakPreview" zoomScale="115" zoomScaleNormal="100" zoomScaleSheetLayoutView="98" workbookViewId="0">
      <selection activeCell="Q5" sqref="Q5"/>
    </sheetView>
  </sheetViews>
  <sheetFormatPr defaultRowHeight="14.25"/>
  <cols>
    <col min="1" max="1" width="1.375" customWidth="1"/>
    <col min="2" max="2" width="2.125" customWidth="1"/>
    <col min="3" max="3" width="12.875" style="99" bestFit="1" customWidth="1"/>
    <col min="4" max="4" width="5.75" customWidth="1"/>
    <col min="5" max="5" width="4.875" customWidth="1"/>
    <col min="6" max="6" width="5.25" customWidth="1"/>
    <col min="7" max="7" width="5.375" customWidth="1"/>
    <col min="8" max="8" width="5.75" customWidth="1"/>
    <col min="9" max="9" width="6.875" customWidth="1"/>
    <col min="10" max="10" width="5.375" customWidth="1"/>
    <col min="11" max="11" width="7.375" bestFit="1" customWidth="1"/>
    <col min="12" max="12" width="7.25" customWidth="1"/>
    <col min="13" max="13" width="7.625" customWidth="1"/>
    <col min="14" max="15" width="6.75" customWidth="1"/>
    <col min="16" max="16" width="5.875" customWidth="1"/>
    <col min="17" max="17" width="7.625" bestFit="1" customWidth="1"/>
  </cols>
  <sheetData>
    <row r="1" spans="1:18" ht="95.25" customHeight="1" thickBot="1"/>
    <row r="2" spans="1:18" ht="46.5" customHeight="1" thickTop="1">
      <c r="A2" s="98"/>
      <c r="B2" s="98"/>
      <c r="C2" s="145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8" ht="26.25" customHeight="1">
      <c r="B3" s="324" t="s">
        <v>1</v>
      </c>
      <c r="C3" s="324" t="s">
        <v>109</v>
      </c>
      <c r="D3" s="331" t="s">
        <v>211</v>
      </c>
      <c r="E3" s="332"/>
      <c r="F3" s="333"/>
      <c r="G3" s="327" t="s">
        <v>130</v>
      </c>
      <c r="H3" s="326" t="s">
        <v>120</v>
      </c>
      <c r="I3" s="326"/>
      <c r="J3" s="327" t="s">
        <v>209</v>
      </c>
      <c r="K3" s="334" t="s">
        <v>118</v>
      </c>
      <c r="L3" s="335"/>
      <c r="M3" s="336"/>
      <c r="N3" s="329" t="s">
        <v>210</v>
      </c>
      <c r="O3" s="454" t="s">
        <v>320</v>
      </c>
      <c r="P3" s="454" t="s">
        <v>321</v>
      </c>
      <c r="Q3" s="325" t="s">
        <v>10</v>
      </c>
      <c r="R3" s="97"/>
    </row>
    <row r="4" spans="1:18" ht="30.6" customHeight="1">
      <c r="B4" s="324"/>
      <c r="C4" s="324"/>
      <c r="D4" s="241" t="s">
        <v>73</v>
      </c>
      <c r="E4" s="227" t="s">
        <v>117</v>
      </c>
      <c r="F4" s="241" t="s">
        <v>12</v>
      </c>
      <c r="G4" s="328"/>
      <c r="H4" s="100" t="s">
        <v>121</v>
      </c>
      <c r="I4" s="101" t="s">
        <v>122</v>
      </c>
      <c r="J4" s="328"/>
      <c r="K4" s="100" t="s">
        <v>73</v>
      </c>
      <c r="L4" s="247" t="s">
        <v>319</v>
      </c>
      <c r="M4" s="247" t="s">
        <v>12</v>
      </c>
      <c r="N4" s="330"/>
      <c r="O4" s="454"/>
      <c r="P4" s="454"/>
      <c r="Q4" s="325"/>
    </row>
    <row r="5" spans="1:18" ht="15.75">
      <c r="B5" s="147"/>
      <c r="C5" s="148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453"/>
      <c r="P5" s="146"/>
      <c r="Q5" s="146"/>
    </row>
    <row r="6" spans="1:18">
      <c r="C6"/>
    </row>
    <row r="7" spans="1:18" ht="15.75">
      <c r="C7" s="183"/>
      <c r="D7" s="183"/>
      <c r="E7" s="183"/>
      <c r="F7" s="184"/>
      <c r="G7" s="184"/>
      <c r="H7" s="184"/>
      <c r="I7" s="226"/>
      <c r="J7" s="226"/>
      <c r="K7" s="226"/>
      <c r="L7" s="226"/>
      <c r="M7" s="226"/>
      <c r="N7" s="226"/>
      <c r="O7" s="226"/>
      <c r="P7" s="226"/>
    </row>
    <row r="8" spans="1:18" ht="15.75">
      <c r="C8" s="185"/>
      <c r="D8" s="183"/>
      <c r="E8" s="183"/>
      <c r="F8" s="184"/>
      <c r="G8" s="184"/>
      <c r="H8" s="184"/>
      <c r="I8" s="184"/>
      <c r="J8" s="184"/>
    </row>
  </sheetData>
  <mergeCells count="11">
    <mergeCell ref="C3:C4"/>
    <mergeCell ref="B3:B4"/>
    <mergeCell ref="Q3:Q4"/>
    <mergeCell ref="H3:I3"/>
    <mergeCell ref="P3:P4"/>
    <mergeCell ref="G3:G4"/>
    <mergeCell ref="J3:J4"/>
    <mergeCell ref="N3:N4"/>
    <mergeCell ref="D3:F3"/>
    <mergeCell ref="K3:M3"/>
    <mergeCell ref="O3:O4"/>
  </mergeCells>
  <printOptions horizontalCentered="1"/>
  <pageMargins left="0.19685039370078741" right="0.19685039370078741" top="0.55118110236220474" bottom="0.55118110236220474" header="0.31496062992125984" footer="0.31496062992125984"/>
  <pageSetup paperSize="9" scale="147" orientation="landscape" r:id="rId1"/>
  <colBreaks count="1" manualBreakCount="1">
    <brk id="17" max="2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6:AA34"/>
  <sheetViews>
    <sheetView rightToLeft="1" view="pageBreakPreview" topLeftCell="B1" zoomScale="110" zoomScaleNormal="100" zoomScaleSheetLayoutView="110" workbookViewId="0">
      <selection activeCell="I14" sqref="I14"/>
    </sheetView>
  </sheetViews>
  <sheetFormatPr defaultRowHeight="14.25"/>
  <cols>
    <col min="1" max="1" width="3.375" customWidth="1"/>
    <col min="3" max="26" width="5.125" customWidth="1"/>
    <col min="27" max="27" width="7.125" customWidth="1"/>
  </cols>
  <sheetData>
    <row r="6" spans="1:27" ht="27.75" thickBot="1">
      <c r="C6" s="165"/>
    </row>
    <row r="7" spans="1:27" ht="14.25" customHeight="1">
      <c r="A7" s="343" t="s">
        <v>1</v>
      </c>
      <c r="B7" s="345" t="s">
        <v>207</v>
      </c>
      <c r="C7" s="337" t="s">
        <v>136</v>
      </c>
      <c r="D7" s="338"/>
      <c r="E7" s="337" t="s">
        <v>137</v>
      </c>
      <c r="F7" s="338"/>
      <c r="G7" s="337" t="s">
        <v>138</v>
      </c>
      <c r="H7" s="338"/>
      <c r="I7" s="337" t="s">
        <v>139</v>
      </c>
      <c r="J7" s="338"/>
      <c r="K7" s="337" t="s">
        <v>140</v>
      </c>
      <c r="L7" s="338"/>
      <c r="M7" s="337" t="s">
        <v>141</v>
      </c>
      <c r="N7" s="338"/>
      <c r="O7" s="337" t="s">
        <v>142</v>
      </c>
      <c r="P7" s="338"/>
      <c r="Q7" s="337" t="s">
        <v>143</v>
      </c>
      <c r="R7" s="338"/>
      <c r="S7" s="337" t="s">
        <v>144</v>
      </c>
      <c r="T7" s="338"/>
      <c r="U7" s="337" t="s">
        <v>167</v>
      </c>
      <c r="V7" s="338"/>
      <c r="W7" s="337" t="s">
        <v>145</v>
      </c>
      <c r="X7" s="338"/>
      <c r="Y7" s="337" t="s">
        <v>10</v>
      </c>
      <c r="Z7" s="338"/>
      <c r="AA7" s="347" t="s">
        <v>13</v>
      </c>
    </row>
    <row r="8" spans="1:27" ht="15" customHeight="1" thickBot="1">
      <c r="A8" s="344"/>
      <c r="B8" s="346"/>
      <c r="C8" s="172" t="s">
        <v>29</v>
      </c>
      <c r="D8" s="172" t="s">
        <v>30</v>
      </c>
      <c r="E8" s="172" t="s">
        <v>29</v>
      </c>
      <c r="F8" s="172" t="s">
        <v>30</v>
      </c>
      <c r="G8" s="172" t="s">
        <v>29</v>
      </c>
      <c r="H8" s="172" t="s">
        <v>30</v>
      </c>
      <c r="I8" s="172" t="s">
        <v>29</v>
      </c>
      <c r="J8" s="172" t="s">
        <v>30</v>
      </c>
      <c r="K8" s="172" t="s">
        <v>29</v>
      </c>
      <c r="L8" s="172" t="s">
        <v>30</v>
      </c>
      <c r="M8" s="172" t="s">
        <v>29</v>
      </c>
      <c r="N8" s="172" t="s">
        <v>30</v>
      </c>
      <c r="O8" s="172" t="s">
        <v>29</v>
      </c>
      <c r="P8" s="172" t="s">
        <v>30</v>
      </c>
      <c r="Q8" s="172" t="s">
        <v>29</v>
      </c>
      <c r="R8" s="172" t="s">
        <v>30</v>
      </c>
      <c r="S8" s="172" t="s">
        <v>29</v>
      </c>
      <c r="T8" s="172" t="s">
        <v>30</v>
      </c>
      <c r="U8" s="172" t="s">
        <v>29</v>
      </c>
      <c r="V8" s="172" t="s">
        <v>30</v>
      </c>
      <c r="W8" s="172" t="s">
        <v>29</v>
      </c>
      <c r="X8" s="172" t="s">
        <v>30</v>
      </c>
      <c r="Y8" s="172" t="s">
        <v>29</v>
      </c>
      <c r="Z8" s="172" t="s">
        <v>30</v>
      </c>
      <c r="AA8" s="348"/>
    </row>
    <row r="9" spans="1:27" ht="14.1" customHeight="1">
      <c r="A9" s="169">
        <v>1</v>
      </c>
      <c r="B9" s="170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3"/>
      <c r="Z9" s="173"/>
      <c r="AA9" s="174"/>
    </row>
    <row r="10" spans="1:27" ht="14.1" customHeight="1">
      <c r="A10" s="167">
        <v>2</v>
      </c>
      <c r="B10" s="168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75"/>
      <c r="Z10" s="175"/>
      <c r="AA10" s="175"/>
    </row>
    <row r="11" spans="1:27" ht="14.1" customHeight="1">
      <c r="A11" s="167">
        <v>3</v>
      </c>
      <c r="B11" s="168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75"/>
      <c r="Z11" s="175"/>
      <c r="AA11" s="175"/>
    </row>
    <row r="12" spans="1:27" ht="14.1" customHeight="1">
      <c r="A12" s="167">
        <v>4</v>
      </c>
      <c r="B12" s="168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75"/>
      <c r="Z12" s="175"/>
      <c r="AA12" s="175"/>
    </row>
    <row r="13" spans="1:27" ht="14.1" customHeight="1">
      <c r="A13" s="167">
        <v>5</v>
      </c>
      <c r="B13" s="168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75"/>
      <c r="Z13" s="175"/>
      <c r="AA13" s="175"/>
    </row>
    <row r="14" spans="1:27" ht="14.1" customHeight="1">
      <c r="A14" s="167">
        <v>6</v>
      </c>
      <c r="B14" s="168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75"/>
      <c r="Z14" s="175"/>
      <c r="AA14" s="175"/>
    </row>
    <row r="15" spans="1:27" ht="14.1" customHeight="1">
      <c r="A15" s="167">
        <v>7</v>
      </c>
      <c r="B15" s="168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75"/>
      <c r="Z15" s="175"/>
      <c r="AA15" s="175"/>
    </row>
    <row r="16" spans="1:27" ht="14.1" customHeight="1">
      <c r="A16" s="167">
        <v>8</v>
      </c>
      <c r="B16" s="168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75"/>
      <c r="Z16" s="175"/>
      <c r="AA16" s="175"/>
    </row>
    <row r="17" spans="1:27" ht="14.1" customHeight="1">
      <c r="A17" s="167">
        <v>9</v>
      </c>
      <c r="B17" s="168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75"/>
      <c r="Z17" s="175"/>
      <c r="AA17" s="175"/>
    </row>
    <row r="18" spans="1:27" ht="14.1" customHeight="1">
      <c r="A18" s="167">
        <v>10</v>
      </c>
      <c r="B18" s="168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75"/>
      <c r="Z18" s="175"/>
      <c r="AA18" s="175"/>
    </row>
    <row r="19" spans="1:27" ht="14.1" customHeight="1">
      <c r="A19" s="167">
        <v>11</v>
      </c>
      <c r="B19" s="168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75"/>
      <c r="Z19" s="175"/>
      <c r="AA19" s="175"/>
    </row>
    <row r="20" spans="1:27" ht="14.1" customHeight="1">
      <c r="A20" s="167">
        <v>12</v>
      </c>
      <c r="B20" s="168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75"/>
      <c r="Z20" s="175"/>
      <c r="AA20" s="175"/>
    </row>
    <row r="21" spans="1:27" ht="14.1" customHeight="1">
      <c r="A21" s="167">
        <v>13</v>
      </c>
      <c r="B21" s="168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75"/>
      <c r="Z21" s="175"/>
      <c r="AA21" s="175"/>
    </row>
    <row r="22" spans="1:27" ht="14.1" customHeight="1">
      <c r="A22" s="167">
        <v>14</v>
      </c>
      <c r="B22" s="168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75"/>
      <c r="Z22" s="175"/>
      <c r="AA22" s="175"/>
    </row>
    <row r="23" spans="1:27" ht="14.1" customHeight="1">
      <c r="A23" s="167">
        <v>15</v>
      </c>
      <c r="B23" s="168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75"/>
      <c r="Z23" s="175"/>
      <c r="AA23" s="175"/>
    </row>
    <row r="24" spans="1:27" ht="14.1" customHeight="1">
      <c r="A24" s="167">
        <v>16</v>
      </c>
      <c r="B24" s="168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75"/>
      <c r="Z24" s="175"/>
      <c r="AA24" s="175"/>
    </row>
    <row r="25" spans="1:27" ht="14.1" customHeight="1">
      <c r="A25" s="167">
        <v>17</v>
      </c>
      <c r="B25" s="168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75"/>
      <c r="Z25" s="175"/>
      <c r="AA25" s="175"/>
    </row>
    <row r="26" spans="1:27" ht="14.1" customHeight="1">
      <c r="A26" s="167">
        <v>18</v>
      </c>
      <c r="B26" s="168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75"/>
      <c r="Z26" s="175"/>
      <c r="AA26" s="175"/>
    </row>
    <row r="27" spans="1:27" ht="14.1" customHeight="1">
      <c r="A27" s="167">
        <v>19</v>
      </c>
      <c r="B27" s="168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75"/>
      <c r="Z27" s="175"/>
      <c r="AA27" s="175"/>
    </row>
    <row r="28" spans="1:27" ht="14.1" customHeight="1">
      <c r="A28" s="167">
        <v>20</v>
      </c>
      <c r="B28" s="168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75"/>
      <c r="Z28" s="175"/>
      <c r="AA28" s="175"/>
    </row>
    <row r="29" spans="1:27" ht="14.1" customHeight="1">
      <c r="A29" s="167">
        <v>21</v>
      </c>
      <c r="B29" s="168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75"/>
      <c r="Z29" s="175"/>
      <c r="AA29" s="175"/>
    </row>
    <row r="30" spans="1:27" ht="14.1" customHeight="1">
      <c r="A30" s="167">
        <v>22</v>
      </c>
      <c r="B30" s="168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75"/>
      <c r="Z30" s="175"/>
      <c r="AA30" s="175"/>
    </row>
    <row r="31" spans="1:27" ht="14.1" customHeight="1">
      <c r="A31" s="167">
        <v>23</v>
      </c>
      <c r="B31" s="168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75"/>
      <c r="Z31" s="175"/>
      <c r="AA31" s="175"/>
    </row>
    <row r="32" spans="1:27" ht="15.75" thickBot="1">
      <c r="A32" s="341" t="s">
        <v>13</v>
      </c>
      <c r="B32" s="342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89"/>
      <c r="V32" s="189"/>
      <c r="W32" s="176"/>
      <c r="X32" s="176"/>
      <c r="Y32" s="176"/>
      <c r="Z32" s="176"/>
      <c r="AA32" s="176"/>
    </row>
    <row r="33" spans="3:25" ht="15" thickBot="1">
      <c r="G33" s="150"/>
    </row>
    <row r="34" spans="3:25" ht="18">
      <c r="C34" s="339" t="s">
        <v>203</v>
      </c>
      <c r="D34" s="339"/>
      <c r="E34" s="339"/>
      <c r="F34" s="339"/>
      <c r="G34" s="149"/>
      <c r="S34" s="340" t="s">
        <v>205</v>
      </c>
      <c r="T34" s="340"/>
      <c r="U34" s="340"/>
      <c r="V34" s="340"/>
      <c r="W34" s="340"/>
      <c r="X34" s="340"/>
      <c r="Y34" s="340"/>
    </row>
  </sheetData>
  <mergeCells count="18">
    <mergeCell ref="AA7:AA8"/>
    <mergeCell ref="O7:P7"/>
    <mergeCell ref="Q7:R7"/>
    <mergeCell ref="S7:T7"/>
    <mergeCell ref="W7:X7"/>
    <mergeCell ref="Y7:Z7"/>
    <mergeCell ref="M7:N7"/>
    <mergeCell ref="U7:V7"/>
    <mergeCell ref="C34:F34"/>
    <mergeCell ref="S34:Y34"/>
    <mergeCell ref="A32:B32"/>
    <mergeCell ref="A7:A8"/>
    <mergeCell ref="B7:B8"/>
    <mergeCell ref="C7:D7"/>
    <mergeCell ref="E7:F7"/>
    <mergeCell ref="G7:H7"/>
    <mergeCell ref="I7:J7"/>
    <mergeCell ref="K7:L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7:AE36"/>
  <sheetViews>
    <sheetView rightToLeft="1" view="pageBreakPreview" zoomScale="90" zoomScaleNormal="100" zoomScaleSheetLayoutView="90" workbookViewId="0">
      <selection activeCell="B1" sqref="B1"/>
    </sheetView>
  </sheetViews>
  <sheetFormatPr defaultRowHeight="14.25"/>
  <cols>
    <col min="1" max="1" width="3.25" customWidth="1"/>
    <col min="3" max="30" width="4.625" customWidth="1"/>
    <col min="31" max="31" width="6.875" customWidth="1"/>
  </cols>
  <sheetData>
    <row r="7" spans="1:31" ht="17.45" customHeight="1" thickBot="1">
      <c r="C7" s="165"/>
    </row>
    <row r="8" spans="1:31" ht="16.5">
      <c r="A8" s="343" t="s">
        <v>1</v>
      </c>
      <c r="B8" s="345" t="s">
        <v>206</v>
      </c>
      <c r="C8" s="350" t="s">
        <v>119</v>
      </c>
      <c r="D8" s="350"/>
      <c r="E8" s="351" t="s">
        <v>146</v>
      </c>
      <c r="F8" s="351"/>
      <c r="G8" s="351" t="s">
        <v>147</v>
      </c>
      <c r="H8" s="351"/>
      <c r="I8" s="351" t="s">
        <v>148</v>
      </c>
      <c r="J8" s="351"/>
      <c r="K8" s="351" t="s">
        <v>149</v>
      </c>
      <c r="L8" s="351"/>
      <c r="M8" s="351" t="s">
        <v>150</v>
      </c>
      <c r="N8" s="351"/>
      <c r="O8" s="351" t="s">
        <v>151</v>
      </c>
      <c r="P8" s="351"/>
      <c r="Q8" s="351" t="s">
        <v>152</v>
      </c>
      <c r="R8" s="351"/>
      <c r="S8" s="351" t="s">
        <v>153</v>
      </c>
      <c r="T8" s="351"/>
      <c r="U8" s="351" t="s">
        <v>154</v>
      </c>
      <c r="V8" s="351"/>
      <c r="W8" s="351" t="s">
        <v>155</v>
      </c>
      <c r="X8" s="351"/>
      <c r="Y8" s="352" t="s">
        <v>165</v>
      </c>
      <c r="Z8" s="353"/>
      <c r="AA8" s="352" t="s">
        <v>145</v>
      </c>
      <c r="AB8" s="353"/>
      <c r="AC8" s="351" t="s">
        <v>114</v>
      </c>
      <c r="AD8" s="351"/>
      <c r="AE8" s="347" t="s">
        <v>13</v>
      </c>
    </row>
    <row r="9" spans="1:31" ht="16.5" thickBot="1">
      <c r="A9" s="344"/>
      <c r="B9" s="346"/>
      <c r="C9" s="172" t="s">
        <v>29</v>
      </c>
      <c r="D9" s="172" t="s">
        <v>30</v>
      </c>
      <c r="E9" s="172" t="s">
        <v>29</v>
      </c>
      <c r="F9" s="172" t="s">
        <v>30</v>
      </c>
      <c r="G9" s="172" t="s">
        <v>29</v>
      </c>
      <c r="H9" s="172" t="s">
        <v>30</v>
      </c>
      <c r="I9" s="172" t="s">
        <v>29</v>
      </c>
      <c r="J9" s="172" t="s">
        <v>30</v>
      </c>
      <c r="K9" s="172" t="s">
        <v>29</v>
      </c>
      <c r="L9" s="172" t="s">
        <v>30</v>
      </c>
      <c r="M9" s="172" t="s">
        <v>29</v>
      </c>
      <c r="N9" s="172" t="s">
        <v>30</v>
      </c>
      <c r="O9" s="172" t="s">
        <v>29</v>
      </c>
      <c r="P9" s="172" t="s">
        <v>30</v>
      </c>
      <c r="Q9" s="172" t="s">
        <v>29</v>
      </c>
      <c r="R9" s="172" t="s">
        <v>30</v>
      </c>
      <c r="S9" s="172" t="s">
        <v>29</v>
      </c>
      <c r="T9" s="172" t="s">
        <v>30</v>
      </c>
      <c r="U9" s="172" t="s">
        <v>29</v>
      </c>
      <c r="V9" s="172" t="s">
        <v>30</v>
      </c>
      <c r="W9" s="172" t="s">
        <v>29</v>
      </c>
      <c r="X9" s="172" t="s">
        <v>30</v>
      </c>
      <c r="Y9" s="172" t="s">
        <v>29</v>
      </c>
      <c r="Z9" s="172" t="s">
        <v>30</v>
      </c>
      <c r="AA9" s="172" t="s">
        <v>29</v>
      </c>
      <c r="AB9" s="172" t="s">
        <v>30</v>
      </c>
      <c r="AC9" s="172" t="s">
        <v>29</v>
      </c>
      <c r="AD9" s="172" t="s">
        <v>30</v>
      </c>
      <c r="AE9" s="348"/>
    </row>
    <row r="10" spans="1:31" ht="14.1" customHeight="1">
      <c r="A10" s="169">
        <v>1</v>
      </c>
      <c r="B10" s="170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8"/>
      <c r="AD10" s="178"/>
      <c r="AE10" s="174"/>
    </row>
    <row r="11" spans="1:31" ht="14.1" customHeight="1">
      <c r="A11" s="167">
        <v>2</v>
      </c>
      <c r="B11" s="168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75"/>
      <c r="AD11" s="175"/>
      <c r="AE11" s="175"/>
    </row>
    <row r="12" spans="1:31" ht="14.1" customHeight="1">
      <c r="A12" s="167">
        <v>3</v>
      </c>
      <c r="B12" s="168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75"/>
      <c r="AD12" s="175"/>
      <c r="AE12" s="175"/>
    </row>
    <row r="13" spans="1:31" ht="14.1" customHeight="1">
      <c r="A13" s="167">
        <v>4</v>
      </c>
      <c r="B13" s="168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75"/>
      <c r="AD13" s="175"/>
      <c r="AE13" s="175"/>
    </row>
    <row r="14" spans="1:31" ht="14.1" customHeight="1">
      <c r="A14" s="167">
        <v>5</v>
      </c>
      <c r="B14" s="168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75"/>
      <c r="AD14" s="175"/>
      <c r="AE14" s="175"/>
    </row>
    <row r="15" spans="1:31" ht="14.1" customHeight="1">
      <c r="A15" s="167">
        <v>6</v>
      </c>
      <c r="B15" s="168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75"/>
      <c r="AD15" s="175"/>
      <c r="AE15" s="175"/>
    </row>
    <row r="16" spans="1:31" ht="14.1" customHeight="1">
      <c r="A16" s="167">
        <v>7</v>
      </c>
      <c r="B16" s="168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75"/>
      <c r="AD16" s="175"/>
      <c r="AE16" s="175"/>
    </row>
    <row r="17" spans="1:31" ht="14.1" customHeight="1">
      <c r="A17" s="167">
        <v>8</v>
      </c>
      <c r="B17" s="168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75"/>
      <c r="AD17" s="175"/>
      <c r="AE17" s="175"/>
    </row>
    <row r="18" spans="1:31" ht="14.1" customHeight="1">
      <c r="A18" s="167">
        <v>9</v>
      </c>
      <c r="B18" s="168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75"/>
      <c r="AD18" s="175"/>
      <c r="AE18" s="175"/>
    </row>
    <row r="19" spans="1:31" ht="14.1" customHeight="1">
      <c r="A19" s="167">
        <v>10</v>
      </c>
      <c r="B19" s="168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75"/>
      <c r="AD19" s="175"/>
      <c r="AE19" s="175"/>
    </row>
    <row r="20" spans="1:31" ht="14.1" customHeight="1">
      <c r="A20" s="167">
        <v>11</v>
      </c>
      <c r="B20" s="168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75"/>
      <c r="AD20" s="175"/>
      <c r="AE20" s="175"/>
    </row>
    <row r="21" spans="1:31" ht="14.1" customHeight="1">
      <c r="A21" s="167">
        <v>12</v>
      </c>
      <c r="B21" s="168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75"/>
      <c r="AD21" s="175"/>
      <c r="AE21" s="175"/>
    </row>
    <row r="22" spans="1:31" ht="14.1" customHeight="1">
      <c r="A22" s="167">
        <v>13</v>
      </c>
      <c r="B22" s="168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75"/>
      <c r="AD22" s="175"/>
      <c r="AE22" s="175"/>
    </row>
    <row r="23" spans="1:31" ht="14.1" customHeight="1">
      <c r="A23" s="167">
        <v>14</v>
      </c>
      <c r="B23" s="168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75"/>
      <c r="AD23" s="175"/>
      <c r="AE23" s="175"/>
    </row>
    <row r="24" spans="1:31" ht="14.1" customHeight="1">
      <c r="A24" s="167">
        <v>15</v>
      </c>
      <c r="B24" s="168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75"/>
      <c r="AD24" s="175"/>
      <c r="AE24" s="175"/>
    </row>
    <row r="25" spans="1:31" ht="14.1" customHeight="1">
      <c r="A25" s="167">
        <v>16</v>
      </c>
      <c r="B25" s="168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75"/>
      <c r="AD25" s="175"/>
      <c r="AE25" s="175"/>
    </row>
    <row r="26" spans="1:31" ht="14.1" customHeight="1">
      <c r="A26" s="167">
        <v>17</v>
      </c>
      <c r="B26" s="168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75"/>
      <c r="AD26" s="175"/>
      <c r="AE26" s="175"/>
    </row>
    <row r="27" spans="1:31" ht="14.1" customHeight="1">
      <c r="A27" s="167">
        <v>18</v>
      </c>
      <c r="B27" s="168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75"/>
      <c r="AD27" s="175"/>
      <c r="AE27" s="175"/>
    </row>
    <row r="28" spans="1:31" ht="14.1" customHeight="1">
      <c r="A28" s="167">
        <v>19</v>
      </c>
      <c r="B28" s="168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75"/>
      <c r="AD28" s="175"/>
      <c r="AE28" s="175"/>
    </row>
    <row r="29" spans="1:31" ht="14.1" customHeight="1">
      <c r="A29" s="167">
        <v>20</v>
      </c>
      <c r="B29" s="168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75"/>
      <c r="AD29" s="175"/>
      <c r="AE29" s="175"/>
    </row>
    <row r="30" spans="1:31" ht="14.1" customHeight="1">
      <c r="A30" s="167">
        <v>21</v>
      </c>
      <c r="B30" s="168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75"/>
      <c r="AD30" s="175"/>
      <c r="AE30" s="175"/>
    </row>
    <row r="31" spans="1:31" ht="14.1" customHeight="1">
      <c r="A31" s="167">
        <v>22</v>
      </c>
      <c r="B31" s="168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75"/>
      <c r="AD31" s="175"/>
      <c r="AE31" s="175"/>
    </row>
    <row r="32" spans="1:31" ht="14.1" customHeight="1">
      <c r="A32" s="167">
        <v>23</v>
      </c>
      <c r="B32" s="168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75"/>
      <c r="AD32" s="175"/>
      <c r="AE32" s="175"/>
    </row>
    <row r="33" spans="1:31" ht="15">
      <c r="A33" s="349" t="s">
        <v>13</v>
      </c>
      <c r="B33" s="349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</row>
    <row r="35" spans="1:31" ht="15">
      <c r="C35" s="317" t="s">
        <v>203</v>
      </c>
      <c r="D35" s="317"/>
      <c r="E35" s="317"/>
      <c r="F35" s="317"/>
      <c r="G35" s="317"/>
      <c r="H35" s="317"/>
      <c r="W35" s="317" t="s">
        <v>205</v>
      </c>
      <c r="X35" s="317"/>
      <c r="Y35" s="317"/>
      <c r="Z35" s="317"/>
      <c r="AA35" s="317"/>
      <c r="AB35" s="317"/>
      <c r="AC35" s="317"/>
    </row>
    <row r="36" spans="1:31" ht="18">
      <c r="F36" s="181"/>
      <c r="G36" s="150"/>
      <c r="H36" s="149"/>
    </row>
  </sheetData>
  <mergeCells count="20">
    <mergeCell ref="W35:AC35"/>
    <mergeCell ref="G8:H8"/>
    <mergeCell ref="I8:J8"/>
    <mergeCell ref="K8:L8"/>
    <mergeCell ref="M8:N8"/>
    <mergeCell ref="C35:H35"/>
    <mergeCell ref="AE8:AE9"/>
    <mergeCell ref="O8:P8"/>
    <mergeCell ref="Q8:R8"/>
    <mergeCell ref="S8:T8"/>
    <mergeCell ref="U8:V8"/>
    <mergeCell ref="W8:X8"/>
    <mergeCell ref="AC8:AD8"/>
    <mergeCell ref="Y8:Z8"/>
    <mergeCell ref="AA8:AB8"/>
    <mergeCell ref="A8:A9"/>
    <mergeCell ref="B8:B9"/>
    <mergeCell ref="A33:B33"/>
    <mergeCell ref="C8:D8"/>
    <mergeCell ref="E8:F8"/>
  </mergeCells>
  <printOptions horizontalCentered="1" verticalCentered="1"/>
  <pageMargins left="3.937007874015748E-2" right="3.937007874015748E-2" top="0.15748031496062992" bottom="0.15748031496062992" header="0.11811023622047245" footer="0.11811023622047245"/>
  <pageSetup paperSize="9" scale="9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7:AM36"/>
  <sheetViews>
    <sheetView rightToLeft="1" view="pageBreakPreview" zoomScale="118" zoomScaleNormal="100" zoomScaleSheetLayoutView="80" workbookViewId="0">
      <selection activeCell="M3" sqref="M3"/>
    </sheetView>
  </sheetViews>
  <sheetFormatPr defaultRowHeight="14.25"/>
  <cols>
    <col min="1" max="1" width="4" customWidth="1"/>
    <col min="2" max="2" width="7.25" customWidth="1"/>
    <col min="3" max="38" width="3.625" customWidth="1"/>
    <col min="39" max="39" width="5.375" customWidth="1"/>
  </cols>
  <sheetData>
    <row r="7" spans="1:39" ht="27.75" thickBot="1">
      <c r="C7" s="165"/>
    </row>
    <row r="8" spans="1:39">
      <c r="A8" s="343" t="s">
        <v>1</v>
      </c>
      <c r="B8" s="345" t="s">
        <v>208</v>
      </c>
      <c r="C8" s="354" t="s">
        <v>148</v>
      </c>
      <c r="D8" s="354"/>
      <c r="E8" s="354" t="s">
        <v>149</v>
      </c>
      <c r="F8" s="354"/>
      <c r="G8" s="354" t="s">
        <v>150</v>
      </c>
      <c r="H8" s="354"/>
      <c r="I8" s="354" t="s">
        <v>151</v>
      </c>
      <c r="J8" s="354"/>
      <c r="K8" s="354" t="s">
        <v>152</v>
      </c>
      <c r="L8" s="354"/>
      <c r="M8" s="354" t="s">
        <v>156</v>
      </c>
      <c r="N8" s="354"/>
      <c r="O8" s="354" t="s">
        <v>157</v>
      </c>
      <c r="P8" s="354"/>
      <c r="Q8" s="354" t="s">
        <v>158</v>
      </c>
      <c r="R8" s="354"/>
      <c r="S8" s="354" t="s">
        <v>159</v>
      </c>
      <c r="T8" s="354"/>
      <c r="U8" s="354" t="s">
        <v>160</v>
      </c>
      <c r="V8" s="354"/>
      <c r="W8" s="354" t="s">
        <v>161</v>
      </c>
      <c r="X8" s="354"/>
      <c r="Y8" s="355" t="s">
        <v>162</v>
      </c>
      <c r="Z8" s="355"/>
      <c r="AA8" s="356" t="s">
        <v>166</v>
      </c>
      <c r="AB8" s="357"/>
      <c r="AC8" s="354" t="s">
        <v>155</v>
      </c>
      <c r="AD8" s="354"/>
      <c r="AE8" s="354" t="s">
        <v>163</v>
      </c>
      <c r="AF8" s="354"/>
      <c r="AG8" s="354" t="s">
        <v>164</v>
      </c>
      <c r="AH8" s="354"/>
      <c r="AI8" s="354" t="s">
        <v>145</v>
      </c>
      <c r="AJ8" s="354"/>
      <c r="AK8" s="354" t="s">
        <v>114</v>
      </c>
      <c r="AL8" s="354"/>
      <c r="AM8" s="347" t="s">
        <v>13</v>
      </c>
    </row>
    <row r="9" spans="1:39" ht="16.5" thickBot="1">
      <c r="A9" s="344"/>
      <c r="B9" s="346"/>
      <c r="C9" s="172" t="s">
        <v>29</v>
      </c>
      <c r="D9" s="172" t="s">
        <v>30</v>
      </c>
      <c r="E9" s="172" t="s">
        <v>29</v>
      </c>
      <c r="F9" s="172" t="s">
        <v>30</v>
      </c>
      <c r="G9" s="172" t="s">
        <v>29</v>
      </c>
      <c r="H9" s="172" t="s">
        <v>30</v>
      </c>
      <c r="I9" s="172" t="s">
        <v>29</v>
      </c>
      <c r="J9" s="172" t="s">
        <v>30</v>
      </c>
      <c r="K9" s="172" t="s">
        <v>29</v>
      </c>
      <c r="L9" s="172" t="s">
        <v>30</v>
      </c>
      <c r="M9" s="172" t="s">
        <v>29</v>
      </c>
      <c r="N9" s="172" t="s">
        <v>30</v>
      </c>
      <c r="O9" s="172" t="s">
        <v>29</v>
      </c>
      <c r="P9" s="172" t="s">
        <v>30</v>
      </c>
      <c r="Q9" s="172" t="s">
        <v>29</v>
      </c>
      <c r="R9" s="172" t="s">
        <v>29</v>
      </c>
      <c r="S9" s="172" t="s">
        <v>29</v>
      </c>
      <c r="T9" s="172" t="s">
        <v>30</v>
      </c>
      <c r="U9" s="172" t="s">
        <v>29</v>
      </c>
      <c r="V9" s="172" t="s">
        <v>30</v>
      </c>
      <c r="W9" s="172" t="s">
        <v>29</v>
      </c>
      <c r="X9" s="172" t="s">
        <v>30</v>
      </c>
      <c r="Y9" s="172" t="s">
        <v>29</v>
      </c>
      <c r="Z9" s="172" t="s">
        <v>30</v>
      </c>
      <c r="AA9" s="172" t="s">
        <v>29</v>
      </c>
      <c r="AB9" s="172" t="s">
        <v>30</v>
      </c>
      <c r="AC9" s="172" t="s">
        <v>29</v>
      </c>
      <c r="AD9" s="172" t="s">
        <v>30</v>
      </c>
      <c r="AE9" s="172" t="s">
        <v>29</v>
      </c>
      <c r="AF9" s="172" t="s">
        <v>30</v>
      </c>
      <c r="AG9" s="172" t="s">
        <v>29</v>
      </c>
      <c r="AH9" s="172" t="s">
        <v>30</v>
      </c>
      <c r="AI9" s="172" t="s">
        <v>29</v>
      </c>
      <c r="AJ9" s="172" t="s">
        <v>30</v>
      </c>
      <c r="AK9" s="172" t="s">
        <v>29</v>
      </c>
      <c r="AL9" s="172" t="s">
        <v>30</v>
      </c>
      <c r="AM9" s="348"/>
    </row>
    <row r="10" spans="1:39" ht="15" customHeight="1">
      <c r="A10" s="169">
        <v>1</v>
      </c>
      <c r="B10" s="170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80"/>
      <c r="AL10" s="180"/>
      <c r="AM10" s="175"/>
    </row>
    <row r="11" spans="1:39" ht="15" customHeight="1">
      <c r="A11" s="167">
        <v>2</v>
      </c>
      <c r="B11" s="168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75"/>
      <c r="AL11" s="175"/>
      <c r="AM11" s="175"/>
    </row>
    <row r="12" spans="1:39" ht="15" customHeight="1">
      <c r="A12" s="167">
        <v>3</v>
      </c>
      <c r="B12" s="168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75"/>
      <c r="AL12" s="175"/>
      <c r="AM12" s="175"/>
    </row>
    <row r="13" spans="1:39" ht="15" customHeight="1">
      <c r="A13" s="167">
        <v>4</v>
      </c>
      <c r="B13" s="168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75"/>
      <c r="AL13" s="175"/>
      <c r="AM13" s="175"/>
    </row>
    <row r="14" spans="1:39" ht="15" customHeight="1">
      <c r="A14" s="167">
        <v>5</v>
      </c>
      <c r="B14" s="168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75"/>
      <c r="AL14" s="175"/>
      <c r="AM14" s="175"/>
    </row>
    <row r="15" spans="1:39" ht="15" customHeight="1">
      <c r="A15" s="167">
        <v>6</v>
      </c>
      <c r="B15" s="168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75"/>
      <c r="AL15" s="175"/>
      <c r="AM15" s="175"/>
    </row>
    <row r="16" spans="1:39" ht="15" customHeight="1">
      <c r="A16" s="167">
        <v>7</v>
      </c>
      <c r="B16" s="168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75"/>
      <c r="AL16" s="175"/>
      <c r="AM16" s="175"/>
    </row>
    <row r="17" spans="1:39" ht="15" customHeight="1">
      <c r="A17" s="167">
        <v>8</v>
      </c>
      <c r="B17" s="168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75"/>
      <c r="AL17" s="175"/>
      <c r="AM17" s="175"/>
    </row>
    <row r="18" spans="1:39" ht="15" customHeight="1">
      <c r="A18" s="167">
        <v>9</v>
      </c>
      <c r="B18" s="168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75"/>
      <c r="AL18" s="175"/>
      <c r="AM18" s="175"/>
    </row>
    <row r="19" spans="1:39" ht="15" customHeight="1">
      <c r="A19" s="167">
        <v>10</v>
      </c>
      <c r="B19" s="168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75"/>
      <c r="AL19" s="175"/>
      <c r="AM19" s="175"/>
    </row>
    <row r="20" spans="1:39" ht="15" customHeight="1">
      <c r="A20" s="167">
        <v>11</v>
      </c>
      <c r="B20" s="168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75"/>
      <c r="AL20" s="175"/>
      <c r="AM20" s="175"/>
    </row>
    <row r="21" spans="1:39" ht="15" customHeight="1">
      <c r="A21" s="167">
        <v>12</v>
      </c>
      <c r="B21" s="168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75"/>
      <c r="AL21" s="175"/>
      <c r="AM21" s="175"/>
    </row>
    <row r="22" spans="1:39" ht="15" customHeight="1">
      <c r="A22" s="167">
        <v>13</v>
      </c>
      <c r="B22" s="168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75"/>
      <c r="AL22" s="175"/>
      <c r="AM22" s="175"/>
    </row>
    <row r="23" spans="1:39" ht="15" customHeight="1">
      <c r="A23" s="167">
        <v>14</v>
      </c>
      <c r="B23" s="168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75"/>
      <c r="AL23" s="175"/>
      <c r="AM23" s="175"/>
    </row>
    <row r="24" spans="1:39" ht="15" customHeight="1">
      <c r="A24" s="167">
        <v>15</v>
      </c>
      <c r="B24" s="168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75"/>
      <c r="AL24" s="175"/>
      <c r="AM24" s="175"/>
    </row>
    <row r="25" spans="1:39" ht="15" customHeight="1">
      <c r="A25" s="167">
        <v>16</v>
      </c>
      <c r="B25" s="168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75"/>
      <c r="AL25" s="175"/>
      <c r="AM25" s="175"/>
    </row>
    <row r="26" spans="1:39" ht="15" customHeight="1">
      <c r="A26" s="167">
        <v>17</v>
      </c>
      <c r="B26" s="168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75"/>
      <c r="AL26" s="175"/>
      <c r="AM26" s="175"/>
    </row>
    <row r="27" spans="1:39" ht="15" customHeight="1">
      <c r="A27" s="167">
        <v>18</v>
      </c>
      <c r="B27" s="168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75"/>
      <c r="AL27" s="175"/>
      <c r="AM27" s="175"/>
    </row>
    <row r="28" spans="1:39" ht="15" customHeight="1">
      <c r="A28" s="167">
        <v>19</v>
      </c>
      <c r="B28" s="168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75"/>
      <c r="AL28" s="175"/>
      <c r="AM28" s="175"/>
    </row>
    <row r="29" spans="1:39" ht="15" customHeight="1">
      <c r="A29" s="167">
        <v>20</v>
      </c>
      <c r="B29" s="168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75"/>
      <c r="AL29" s="175"/>
      <c r="AM29" s="175"/>
    </row>
    <row r="30" spans="1:39" ht="15" customHeight="1">
      <c r="A30" s="167">
        <v>21</v>
      </c>
      <c r="B30" s="168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75"/>
      <c r="AL30" s="175"/>
      <c r="AM30" s="175"/>
    </row>
    <row r="31" spans="1:39" ht="15" customHeight="1">
      <c r="A31" s="167">
        <v>22</v>
      </c>
      <c r="B31" s="168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75"/>
      <c r="AL31" s="175"/>
      <c r="AM31" s="175"/>
    </row>
    <row r="32" spans="1:39" ht="15" customHeight="1">
      <c r="A32" s="167">
        <v>23</v>
      </c>
      <c r="B32" s="168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75"/>
      <c r="AL32" s="175"/>
      <c r="AM32" s="175"/>
    </row>
    <row r="33" spans="1:39" ht="15.75" thickBot="1">
      <c r="A33" s="346" t="s">
        <v>13</v>
      </c>
      <c r="B33" s="34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89"/>
      <c r="AB33" s="189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</row>
    <row r="35" spans="1:39" ht="15" customHeight="1">
      <c r="C35" s="340" t="s">
        <v>203</v>
      </c>
      <c r="D35" s="340"/>
      <c r="E35" s="340"/>
      <c r="F35" s="340"/>
      <c r="G35" s="340"/>
      <c r="H35" s="340"/>
      <c r="I35" s="340"/>
      <c r="J35" s="340"/>
      <c r="AB35" s="340" t="s">
        <v>204</v>
      </c>
      <c r="AC35" s="340"/>
      <c r="AD35" s="340"/>
      <c r="AE35" s="340"/>
      <c r="AF35" s="340"/>
      <c r="AG35" s="340"/>
      <c r="AH35" s="340"/>
      <c r="AI35" s="340"/>
      <c r="AJ35" s="340"/>
    </row>
    <row r="36" spans="1:39" ht="18">
      <c r="C36" s="317"/>
      <c r="D36" s="317"/>
      <c r="E36" s="317"/>
      <c r="F36" s="317"/>
      <c r="G36" s="317"/>
      <c r="H36" s="149"/>
    </row>
  </sheetData>
  <mergeCells count="25">
    <mergeCell ref="C36:G36"/>
    <mergeCell ref="AB35:AJ35"/>
    <mergeCell ref="C35:J35"/>
    <mergeCell ref="A33:B33"/>
    <mergeCell ref="AM8:AM9"/>
    <mergeCell ref="AC8:AD8"/>
    <mergeCell ref="AE8:AF8"/>
    <mergeCell ref="AG8:AH8"/>
    <mergeCell ref="AI8:AJ8"/>
    <mergeCell ref="AK8:AL8"/>
    <mergeCell ref="A8:A9"/>
    <mergeCell ref="B8:B9"/>
    <mergeCell ref="O8:P8"/>
    <mergeCell ref="Q8:R8"/>
    <mergeCell ref="S8:T8"/>
    <mergeCell ref="U8:V8"/>
    <mergeCell ref="W8:X8"/>
    <mergeCell ref="Y8:Z8"/>
    <mergeCell ref="C8:D8"/>
    <mergeCell ref="AA8:AB8"/>
    <mergeCell ref="E8:F8"/>
    <mergeCell ref="G8:H8"/>
    <mergeCell ref="I8:J8"/>
    <mergeCell ref="K8:L8"/>
    <mergeCell ref="M8:N8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9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J28"/>
  <sheetViews>
    <sheetView rightToLeft="1" view="pageLayout" zoomScaleNormal="100" zoomScaleSheetLayoutView="112" workbookViewId="0">
      <selection activeCell="V23" sqref="V23"/>
    </sheetView>
  </sheetViews>
  <sheetFormatPr defaultColWidth="9" defaultRowHeight="15"/>
  <cols>
    <col min="1" max="1" width="3" style="121" bestFit="1" customWidth="1"/>
    <col min="2" max="2" width="10.75" style="118" bestFit="1" customWidth="1"/>
    <col min="3" max="3" width="4" style="121" bestFit="1" customWidth="1"/>
    <col min="4" max="4" width="3" style="121" bestFit="1" customWidth="1"/>
    <col min="5" max="8" width="4" style="121" bestFit="1" customWidth="1"/>
    <col min="9" max="11" width="3" style="121" bestFit="1" customWidth="1"/>
    <col min="12" max="12" width="2.875" style="121" customWidth="1"/>
    <col min="13" max="13" width="3.125" style="121" customWidth="1"/>
    <col min="14" max="14" width="2.625" style="121" customWidth="1"/>
    <col min="15" max="16" width="4" style="121" bestFit="1" customWidth="1"/>
    <col min="17" max="21" width="3" style="121" bestFit="1" customWidth="1"/>
    <col min="22" max="22" width="4" style="121" bestFit="1" customWidth="1"/>
    <col min="23" max="23" width="4.75" style="121" customWidth="1"/>
    <col min="24" max="24" width="5" style="121" bestFit="1" customWidth="1"/>
    <col min="25" max="25" width="3" style="121" bestFit="1" customWidth="1"/>
    <col min="26" max="26" width="2.125" style="121" bestFit="1" customWidth="1"/>
    <col min="27" max="27" width="3" style="121" bestFit="1" customWidth="1"/>
    <col min="28" max="28" width="2.125" style="121" bestFit="1" customWidth="1"/>
    <col min="29" max="30" width="3" style="121" bestFit="1" customWidth="1"/>
    <col min="31" max="31" width="6" style="121" bestFit="1" customWidth="1"/>
    <col min="32" max="32" width="5" style="121" bestFit="1" customWidth="1"/>
    <col min="33" max="33" width="6" style="118" bestFit="1" customWidth="1"/>
    <col min="34" max="16384" width="9" style="121"/>
  </cols>
  <sheetData>
    <row r="1" spans="1:33" ht="12.75" customHeight="1"/>
    <row r="2" spans="1:33" ht="12.75" customHeight="1">
      <c r="W2" s="138"/>
      <c r="X2" s="138"/>
      <c r="Y2" s="138"/>
      <c r="Z2" s="138"/>
      <c r="AA2" s="138"/>
      <c r="AB2" s="138"/>
      <c r="AC2" s="138"/>
      <c r="AD2" s="138"/>
      <c r="AE2" s="138"/>
      <c r="AF2" s="138"/>
    </row>
    <row r="3" spans="1:33" ht="12.75" customHeight="1" thickBot="1"/>
    <row r="4" spans="1:33" s="117" customFormat="1" ht="17.25" customHeight="1">
      <c r="A4" s="363" t="s">
        <v>1</v>
      </c>
      <c r="B4" s="365" t="s">
        <v>206</v>
      </c>
      <c r="C4" s="360" t="s">
        <v>15</v>
      </c>
      <c r="D4" s="358"/>
      <c r="E4" s="360" t="s">
        <v>16</v>
      </c>
      <c r="F4" s="361"/>
      <c r="G4" s="358" t="s">
        <v>123</v>
      </c>
      <c r="H4" s="358"/>
      <c r="I4" s="358" t="s">
        <v>124</v>
      </c>
      <c r="J4" s="358"/>
      <c r="K4" s="358" t="s">
        <v>125</v>
      </c>
      <c r="L4" s="358"/>
      <c r="M4" s="358" t="s">
        <v>322</v>
      </c>
      <c r="N4" s="358"/>
      <c r="O4" s="358" t="s">
        <v>323</v>
      </c>
      <c r="P4" s="358"/>
      <c r="Q4" s="361" t="s">
        <v>126</v>
      </c>
      <c r="R4" s="360"/>
      <c r="S4" s="358" t="s">
        <v>127</v>
      </c>
      <c r="T4" s="358"/>
      <c r="U4" s="358" t="s">
        <v>324</v>
      </c>
      <c r="V4" s="358"/>
      <c r="W4" s="358" t="s">
        <v>25</v>
      </c>
      <c r="X4" s="358"/>
      <c r="Y4" s="359" t="s">
        <v>325</v>
      </c>
      <c r="Z4" s="360"/>
      <c r="AA4" s="358" t="s">
        <v>26</v>
      </c>
      <c r="AB4" s="358"/>
      <c r="AC4" s="358" t="s">
        <v>128</v>
      </c>
      <c r="AD4" s="358"/>
      <c r="AE4" s="361" t="s">
        <v>7</v>
      </c>
      <c r="AF4" s="362"/>
      <c r="AG4" s="360"/>
    </row>
    <row r="5" spans="1:33" ht="15.75" thickBot="1">
      <c r="A5" s="364"/>
      <c r="B5" s="366"/>
      <c r="C5" s="122" t="s">
        <v>29</v>
      </c>
      <c r="D5" s="123" t="s">
        <v>30</v>
      </c>
      <c r="E5" s="124" t="s">
        <v>29</v>
      </c>
      <c r="F5" s="125" t="s">
        <v>30</v>
      </c>
      <c r="G5" s="126" t="s">
        <v>29</v>
      </c>
      <c r="H5" s="123" t="s">
        <v>30</v>
      </c>
      <c r="I5" s="126" t="s">
        <v>29</v>
      </c>
      <c r="J5" s="123" t="s">
        <v>30</v>
      </c>
      <c r="K5" s="126" t="s">
        <v>29</v>
      </c>
      <c r="L5" s="123" t="s">
        <v>30</v>
      </c>
      <c r="M5" s="126" t="s">
        <v>29</v>
      </c>
      <c r="N5" s="123" t="s">
        <v>30</v>
      </c>
      <c r="O5" s="126" t="s">
        <v>29</v>
      </c>
      <c r="P5" s="123" t="s">
        <v>30</v>
      </c>
      <c r="Q5" s="127" t="s">
        <v>29</v>
      </c>
      <c r="R5" s="127" t="s">
        <v>30</v>
      </c>
      <c r="S5" s="126" t="s">
        <v>29</v>
      </c>
      <c r="T5" s="123" t="s">
        <v>30</v>
      </c>
      <c r="U5" s="126" t="s">
        <v>29</v>
      </c>
      <c r="V5" s="123" t="s">
        <v>30</v>
      </c>
      <c r="W5" s="126" t="s">
        <v>29</v>
      </c>
      <c r="X5" s="123" t="s">
        <v>30</v>
      </c>
      <c r="Y5" s="128" t="s">
        <v>29</v>
      </c>
      <c r="Z5" s="127" t="s">
        <v>30</v>
      </c>
      <c r="AA5" s="126" t="s">
        <v>29</v>
      </c>
      <c r="AB5" s="123" t="s">
        <v>30</v>
      </c>
      <c r="AC5" s="126" t="s">
        <v>29</v>
      </c>
      <c r="AD5" s="123" t="s">
        <v>30</v>
      </c>
      <c r="AE5" s="119" t="s">
        <v>29</v>
      </c>
      <c r="AF5" s="120" t="s">
        <v>30</v>
      </c>
      <c r="AG5" s="110" t="s">
        <v>31</v>
      </c>
    </row>
    <row r="6" spans="1:33" ht="15.75" thickBot="1">
      <c r="A6" s="130">
        <v>1</v>
      </c>
      <c r="B6" s="131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32">
        <f>SUM(Y6,AC6,AA6,W6,U6,S6,Q6,O6,M6,K6,I6,G6,E6,C6)</f>
        <v>0</v>
      </c>
      <c r="AF6" s="132">
        <f>SUM(Z6,AD6,AB6,X6,V6,T6,R6,P6,N6,L6,J6,H6,F6,D6)</f>
        <v>0</v>
      </c>
      <c r="AG6" s="133">
        <f>SUM(AE6,AF6)</f>
        <v>0</v>
      </c>
    </row>
    <row r="7" spans="1:33" ht="15.75" thickBot="1">
      <c r="A7" s="134">
        <v>2</v>
      </c>
      <c r="B7" s="163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32">
        <f t="shared" ref="AE7:AF25" si="0">SUM(Y7,AC7,AA7,W7,U7,S7,Q7,O7,M7,K7,I7,G7,E7,C7)</f>
        <v>0</v>
      </c>
      <c r="AF7" s="132">
        <f t="shared" si="0"/>
        <v>0</v>
      </c>
      <c r="AG7" s="133">
        <f t="shared" ref="AG7:AG25" si="1">SUM(AE7,AF7)</f>
        <v>0</v>
      </c>
    </row>
    <row r="8" spans="1:33" ht="15.75" thickBot="1">
      <c r="A8" s="130">
        <v>3</v>
      </c>
      <c r="B8" s="163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32">
        <f t="shared" si="0"/>
        <v>0</v>
      </c>
      <c r="AF8" s="132">
        <f t="shared" si="0"/>
        <v>0</v>
      </c>
      <c r="AG8" s="133">
        <f t="shared" si="1"/>
        <v>0</v>
      </c>
    </row>
    <row r="9" spans="1:33" ht="15.75" thickBot="1">
      <c r="A9" s="134">
        <v>4</v>
      </c>
      <c r="B9" s="163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32">
        <f t="shared" si="0"/>
        <v>0</v>
      </c>
      <c r="AF9" s="132">
        <f t="shared" si="0"/>
        <v>0</v>
      </c>
      <c r="AG9" s="133">
        <f t="shared" si="1"/>
        <v>0</v>
      </c>
    </row>
    <row r="10" spans="1:33" ht="15.75" thickBot="1">
      <c r="A10" s="130">
        <v>5</v>
      </c>
      <c r="B10" s="163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32">
        <f t="shared" si="0"/>
        <v>0</v>
      </c>
      <c r="AF10" s="132">
        <f t="shared" si="0"/>
        <v>0</v>
      </c>
      <c r="AG10" s="133">
        <f t="shared" si="1"/>
        <v>0</v>
      </c>
    </row>
    <row r="11" spans="1:33" ht="15.75" thickBot="1">
      <c r="A11" s="134">
        <v>6</v>
      </c>
      <c r="B11" s="163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32">
        <f t="shared" si="0"/>
        <v>0</v>
      </c>
      <c r="AF11" s="132">
        <f t="shared" si="0"/>
        <v>0</v>
      </c>
      <c r="AG11" s="133">
        <f t="shared" si="1"/>
        <v>0</v>
      </c>
    </row>
    <row r="12" spans="1:33" ht="15.75" thickBot="1">
      <c r="A12" s="130">
        <v>7</v>
      </c>
      <c r="B12" s="163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32">
        <f t="shared" si="0"/>
        <v>0</v>
      </c>
      <c r="AF12" s="132">
        <f t="shared" si="0"/>
        <v>0</v>
      </c>
      <c r="AG12" s="133">
        <f t="shared" si="1"/>
        <v>0</v>
      </c>
    </row>
    <row r="13" spans="1:33" ht="15.75" thickBot="1">
      <c r="A13" s="136">
        <v>8</v>
      </c>
      <c r="B13" s="163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32">
        <f t="shared" si="0"/>
        <v>0</v>
      </c>
      <c r="AF13" s="132">
        <f t="shared" si="0"/>
        <v>0</v>
      </c>
      <c r="AG13" s="133">
        <f t="shared" si="1"/>
        <v>0</v>
      </c>
    </row>
    <row r="14" spans="1:33" ht="15.75" thickBot="1">
      <c r="A14" s="134">
        <v>9</v>
      </c>
      <c r="B14" s="163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32">
        <f t="shared" si="0"/>
        <v>0</v>
      </c>
      <c r="AF14" s="132">
        <f t="shared" si="0"/>
        <v>0</v>
      </c>
      <c r="AG14" s="133">
        <f t="shared" si="1"/>
        <v>0</v>
      </c>
    </row>
    <row r="15" spans="1:33" ht="15.75" thickBot="1">
      <c r="A15" s="130">
        <v>10</v>
      </c>
      <c r="B15" s="131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32">
        <f t="shared" si="0"/>
        <v>0</v>
      </c>
      <c r="AF15" s="132">
        <f t="shared" si="0"/>
        <v>0</v>
      </c>
      <c r="AG15" s="133">
        <f t="shared" si="1"/>
        <v>0</v>
      </c>
    </row>
    <row r="16" spans="1:33" ht="15.75" thickBot="1">
      <c r="A16" s="134">
        <v>11</v>
      </c>
      <c r="B16" s="163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32">
        <f t="shared" si="0"/>
        <v>0</v>
      </c>
      <c r="AF16" s="132">
        <f t="shared" si="0"/>
        <v>0</v>
      </c>
      <c r="AG16" s="133">
        <f t="shared" si="1"/>
        <v>0</v>
      </c>
    </row>
    <row r="17" spans="1:36" ht="15.75" thickBot="1">
      <c r="A17" s="130">
        <v>12</v>
      </c>
      <c r="B17" s="163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32">
        <f t="shared" si="0"/>
        <v>0</v>
      </c>
      <c r="AF17" s="132">
        <f t="shared" si="0"/>
        <v>0</v>
      </c>
      <c r="AG17" s="133">
        <f t="shared" si="1"/>
        <v>0</v>
      </c>
    </row>
    <row r="18" spans="1:36" ht="15.75" thickBot="1">
      <c r="A18" s="134">
        <v>13</v>
      </c>
      <c r="B18" s="163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32">
        <f t="shared" si="0"/>
        <v>0</v>
      </c>
      <c r="AF18" s="132">
        <f t="shared" si="0"/>
        <v>0</v>
      </c>
      <c r="AG18" s="133">
        <f t="shared" si="1"/>
        <v>0</v>
      </c>
    </row>
    <row r="19" spans="1:36" ht="15.75" thickBot="1">
      <c r="A19" s="130">
        <v>14</v>
      </c>
      <c r="B19" s="163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32">
        <f t="shared" si="0"/>
        <v>0</v>
      </c>
      <c r="AF19" s="132">
        <f t="shared" si="0"/>
        <v>0</v>
      </c>
      <c r="AG19" s="133">
        <f t="shared" si="1"/>
        <v>0</v>
      </c>
    </row>
    <row r="20" spans="1:36" ht="15.75" thickBot="1">
      <c r="A20" s="134">
        <v>15</v>
      </c>
      <c r="B20" s="163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32">
        <f t="shared" si="0"/>
        <v>0</v>
      </c>
      <c r="AF20" s="132">
        <f t="shared" si="0"/>
        <v>0</v>
      </c>
      <c r="AG20" s="133">
        <f t="shared" si="1"/>
        <v>0</v>
      </c>
    </row>
    <row r="21" spans="1:36" ht="15.75" thickBot="1">
      <c r="A21" s="130">
        <v>16</v>
      </c>
      <c r="B21" s="163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32">
        <f t="shared" si="0"/>
        <v>0</v>
      </c>
      <c r="AF21" s="132">
        <f t="shared" si="0"/>
        <v>0</v>
      </c>
      <c r="AG21" s="133">
        <f t="shared" si="1"/>
        <v>0</v>
      </c>
    </row>
    <row r="22" spans="1:36" ht="15.75" thickBot="1">
      <c r="A22" s="136">
        <v>17</v>
      </c>
      <c r="B22" s="163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32">
        <f t="shared" si="0"/>
        <v>0</v>
      </c>
      <c r="AF22" s="132">
        <f t="shared" si="0"/>
        <v>0</v>
      </c>
      <c r="AG22" s="133">
        <f t="shared" si="1"/>
        <v>0</v>
      </c>
    </row>
    <row r="23" spans="1:36" ht="15.75" thickBot="1">
      <c r="A23" s="136">
        <v>18</v>
      </c>
      <c r="B23" s="163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32">
        <f t="shared" si="0"/>
        <v>0</v>
      </c>
      <c r="AF23" s="132">
        <f t="shared" si="0"/>
        <v>0</v>
      </c>
      <c r="AG23" s="133">
        <f t="shared" si="1"/>
        <v>0</v>
      </c>
    </row>
    <row r="24" spans="1:36" ht="15.75" thickBot="1">
      <c r="A24" s="136">
        <v>19</v>
      </c>
      <c r="B24" s="163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32">
        <f t="shared" si="0"/>
        <v>0</v>
      </c>
      <c r="AF24" s="132">
        <f t="shared" si="0"/>
        <v>0</v>
      </c>
      <c r="AG24" s="133">
        <f t="shared" si="1"/>
        <v>0</v>
      </c>
    </row>
    <row r="25" spans="1:36">
      <c r="A25" s="136">
        <v>20</v>
      </c>
      <c r="B25" s="163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32">
        <f t="shared" si="0"/>
        <v>0</v>
      </c>
      <c r="AF25" s="132">
        <f t="shared" si="0"/>
        <v>0</v>
      </c>
      <c r="AG25" s="133">
        <f t="shared" si="1"/>
        <v>0</v>
      </c>
    </row>
    <row r="26" spans="1:36" s="118" customFormat="1" ht="18" customHeight="1">
      <c r="A26" s="341" t="s">
        <v>13</v>
      </c>
      <c r="B26" s="342"/>
      <c r="C26" s="137">
        <f t="shared" ref="C26:AG26" si="2">SUM(C6:C25)</f>
        <v>0</v>
      </c>
      <c r="D26" s="137">
        <f t="shared" si="2"/>
        <v>0</v>
      </c>
      <c r="E26" s="137">
        <f t="shared" si="2"/>
        <v>0</v>
      </c>
      <c r="F26" s="137">
        <f t="shared" si="2"/>
        <v>0</v>
      </c>
      <c r="G26" s="137">
        <f t="shared" si="2"/>
        <v>0</v>
      </c>
      <c r="H26" s="137">
        <f t="shared" si="2"/>
        <v>0</v>
      </c>
      <c r="I26" s="137">
        <f t="shared" si="2"/>
        <v>0</v>
      </c>
      <c r="J26" s="137">
        <f t="shared" si="2"/>
        <v>0</v>
      </c>
      <c r="K26" s="137">
        <f t="shared" si="2"/>
        <v>0</v>
      </c>
      <c r="L26" s="137">
        <f t="shared" si="2"/>
        <v>0</v>
      </c>
      <c r="M26" s="137">
        <f t="shared" si="2"/>
        <v>0</v>
      </c>
      <c r="N26" s="137">
        <f t="shared" si="2"/>
        <v>0</v>
      </c>
      <c r="O26" s="137">
        <f t="shared" si="2"/>
        <v>0</v>
      </c>
      <c r="P26" s="137">
        <f t="shared" si="2"/>
        <v>0</v>
      </c>
      <c r="Q26" s="137">
        <f t="shared" si="2"/>
        <v>0</v>
      </c>
      <c r="R26" s="137">
        <f t="shared" si="2"/>
        <v>0</v>
      </c>
      <c r="S26" s="137">
        <f t="shared" si="2"/>
        <v>0</v>
      </c>
      <c r="T26" s="137">
        <f t="shared" si="2"/>
        <v>0</v>
      </c>
      <c r="U26" s="137">
        <f t="shared" si="2"/>
        <v>0</v>
      </c>
      <c r="V26" s="137">
        <f t="shared" si="2"/>
        <v>0</v>
      </c>
      <c r="W26" s="137">
        <f t="shared" si="2"/>
        <v>0</v>
      </c>
      <c r="X26" s="137">
        <f t="shared" si="2"/>
        <v>0</v>
      </c>
      <c r="Y26" s="137">
        <f t="shared" si="2"/>
        <v>0</v>
      </c>
      <c r="Z26" s="137">
        <f t="shared" si="2"/>
        <v>0</v>
      </c>
      <c r="AA26" s="137">
        <f t="shared" si="2"/>
        <v>0</v>
      </c>
      <c r="AB26" s="137">
        <f t="shared" si="2"/>
        <v>0</v>
      </c>
      <c r="AC26" s="137">
        <f t="shared" si="2"/>
        <v>0</v>
      </c>
      <c r="AD26" s="137">
        <f t="shared" si="2"/>
        <v>0</v>
      </c>
      <c r="AE26" s="137">
        <f t="shared" si="2"/>
        <v>0</v>
      </c>
      <c r="AF26" s="137">
        <f t="shared" si="2"/>
        <v>0</v>
      </c>
      <c r="AG26" s="137">
        <f t="shared" si="2"/>
        <v>0</v>
      </c>
    </row>
    <row r="27" spans="1:36" ht="20.25">
      <c r="B27" s="139"/>
      <c r="C27" s="140"/>
      <c r="D27" s="140"/>
      <c r="AD27" s="140"/>
      <c r="AE27" s="140"/>
      <c r="AI27" s="140"/>
      <c r="AJ27" s="140"/>
    </row>
    <row r="28" spans="1:36" ht="18">
      <c r="D28" s="223"/>
      <c r="E28" s="223"/>
      <c r="F28" s="223" t="s">
        <v>203</v>
      </c>
      <c r="G28" s="223"/>
      <c r="H28" s="223"/>
      <c r="I28" s="223"/>
      <c r="T28" s="224"/>
      <c r="U28" s="224"/>
      <c r="V28" s="224"/>
      <c r="W28" s="224" t="s">
        <v>204</v>
      </c>
      <c r="X28" s="225"/>
      <c r="Y28" s="225"/>
      <c r="Z28" s="221"/>
      <c r="AA28" s="221"/>
      <c r="AB28" s="221"/>
      <c r="AC28" s="221"/>
      <c r="AD28" s="221"/>
    </row>
  </sheetData>
  <mergeCells count="18">
    <mergeCell ref="S4:T4"/>
    <mergeCell ref="U4:V4"/>
    <mergeCell ref="A4:A5"/>
    <mergeCell ref="B4:B5"/>
    <mergeCell ref="C4:D4"/>
    <mergeCell ref="E4:F4"/>
    <mergeCell ref="G4:H4"/>
    <mergeCell ref="I4:J4"/>
    <mergeCell ref="A26:B26"/>
    <mergeCell ref="K4:L4"/>
    <mergeCell ref="M4:N4"/>
    <mergeCell ref="O4:P4"/>
    <mergeCell ref="Q4:R4"/>
    <mergeCell ref="W4:X4"/>
    <mergeCell ref="Y4:Z4"/>
    <mergeCell ref="AA4:AB4"/>
    <mergeCell ref="AC4:AD4"/>
    <mergeCell ref="AE4:AG4"/>
  </mergeCells>
  <printOptions horizontalCentered="1"/>
  <pageMargins left="0.59055118110236227" right="0.59055118110236227" top="1.2598425196850394" bottom="0.9055118110236221" header="0.31496062992125984" footer="0.51181102362204722"/>
  <pageSetup paperSize="9" scale="99" fitToHeight="0" orientation="landscape" r:id="rId1"/>
  <headerFooter>
    <oddHeader>&amp;C&amp;"-,غامق"بسم الله الرحمن الرحيم
&amp;G&amp;R    &amp;"-,غامق"الجهورية اليمنية
       محافظة تعز
  مكتب التربية والتعليم 
 ادارة التخطيط والاحصاء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ورقة2">
    <tabColor theme="0" tint="-0.14999847407452621"/>
    <pageSetUpPr fitToPage="1"/>
  </sheetPr>
  <dimension ref="A1:AK32"/>
  <sheetViews>
    <sheetView rightToLeft="1" zoomScaleNormal="100" zoomScaleSheetLayoutView="80" zoomScalePageLayoutView="70" workbookViewId="0">
      <pane xSplit="27660" topLeftCell="XEX1"/>
      <selection activeCell="D12" sqref="D12"/>
      <selection pane="topRight" activeCell="AE37" sqref="AE37"/>
    </sheetView>
  </sheetViews>
  <sheetFormatPr defaultColWidth="9" defaultRowHeight="14.25"/>
  <cols>
    <col min="1" max="1" width="2.875" style="3" customWidth="1"/>
    <col min="2" max="2" width="11" style="3" customWidth="1"/>
    <col min="3" max="3" width="4.125" style="3" customWidth="1"/>
    <col min="4" max="6" width="4.375" style="3" customWidth="1"/>
    <col min="7" max="7" width="3.875" style="3" customWidth="1"/>
    <col min="8" max="8" width="5" style="3" customWidth="1"/>
    <col min="9" max="9" width="6.125" style="3" customWidth="1"/>
    <col min="10" max="10" width="4.375" style="3" customWidth="1"/>
    <col min="11" max="11" width="4.75" style="3" customWidth="1"/>
    <col min="12" max="12" width="4.25" style="3" customWidth="1"/>
    <col min="13" max="13" width="3.875" style="3" customWidth="1"/>
    <col min="14" max="14" width="5.625" style="3" customWidth="1"/>
    <col min="15" max="15" width="5.875" style="3" customWidth="1"/>
    <col min="16" max="18" width="3.875" style="3" customWidth="1"/>
    <col min="19" max="19" width="4.375" style="3" customWidth="1"/>
    <col min="20" max="22" width="3.875" style="3" customWidth="1"/>
    <col min="23" max="24" width="5.375" style="3" customWidth="1"/>
    <col min="25" max="25" width="4.625" style="3" customWidth="1"/>
    <col min="26" max="26" width="4.75" style="3" customWidth="1"/>
    <col min="27" max="27" width="4.875" style="3" customWidth="1"/>
    <col min="28" max="29" width="3.875" style="3" customWidth="1"/>
    <col min="30" max="30" width="4.875" style="3" customWidth="1"/>
    <col min="31" max="31" width="7.125" style="105" customWidth="1"/>
    <col min="32" max="32" width="7.875" style="105" customWidth="1"/>
    <col min="33" max="33" width="8.125" style="105" customWidth="1"/>
    <col min="34" max="16384" width="9" style="3"/>
  </cols>
  <sheetData>
    <row r="1" spans="1:33" ht="86.25" customHeight="1"/>
    <row r="4" spans="1:33" ht="15" thickBot="1"/>
    <row r="5" spans="1:33" s="116" customFormat="1" ht="15">
      <c r="A5" s="376" t="s">
        <v>1</v>
      </c>
      <c r="B5" s="365" t="s">
        <v>207</v>
      </c>
      <c r="C5" s="369" t="s">
        <v>15</v>
      </c>
      <c r="D5" s="370"/>
      <c r="E5" s="369" t="s">
        <v>16</v>
      </c>
      <c r="F5" s="367"/>
      <c r="G5" s="370" t="s">
        <v>17</v>
      </c>
      <c r="H5" s="370"/>
      <c r="I5" s="370" t="s">
        <v>18</v>
      </c>
      <c r="J5" s="370"/>
      <c r="K5" s="370" t="s">
        <v>19</v>
      </c>
      <c r="L5" s="370"/>
      <c r="M5" s="370" t="s">
        <v>20</v>
      </c>
      <c r="N5" s="370"/>
      <c r="O5" s="370" t="s">
        <v>21</v>
      </c>
      <c r="P5" s="370"/>
      <c r="Q5" s="367" t="s">
        <v>22</v>
      </c>
      <c r="R5" s="369"/>
      <c r="S5" s="370" t="s">
        <v>23</v>
      </c>
      <c r="T5" s="370"/>
      <c r="U5" s="370" t="s">
        <v>24</v>
      </c>
      <c r="V5" s="370"/>
      <c r="W5" s="370" t="s">
        <v>25</v>
      </c>
      <c r="X5" s="370"/>
      <c r="Y5" s="371" t="s">
        <v>26</v>
      </c>
      <c r="Z5" s="369"/>
      <c r="AA5" s="370" t="s">
        <v>27</v>
      </c>
      <c r="AB5" s="370"/>
      <c r="AC5" s="370" t="s">
        <v>28</v>
      </c>
      <c r="AD5" s="370"/>
      <c r="AE5" s="367" t="s">
        <v>7</v>
      </c>
      <c r="AF5" s="368"/>
      <c r="AG5" s="369"/>
    </row>
    <row r="6" spans="1:33" s="116" customFormat="1" ht="15.75" thickBot="1">
      <c r="A6" s="377"/>
      <c r="B6" s="366"/>
      <c r="C6" s="109" t="s">
        <v>29</v>
      </c>
      <c r="D6" s="110" t="s">
        <v>30</v>
      </c>
      <c r="E6" s="111" t="s">
        <v>29</v>
      </c>
      <c r="F6" s="112" t="s">
        <v>30</v>
      </c>
      <c r="G6" s="113" t="s">
        <v>29</v>
      </c>
      <c r="H6" s="113" t="s">
        <v>30</v>
      </c>
      <c r="I6" s="114" t="s">
        <v>29</v>
      </c>
      <c r="J6" s="110" t="s">
        <v>30</v>
      </c>
      <c r="K6" s="114" t="s">
        <v>29</v>
      </c>
      <c r="L6" s="110" t="s">
        <v>30</v>
      </c>
      <c r="M6" s="114" t="s">
        <v>29</v>
      </c>
      <c r="N6" s="110" t="s">
        <v>30</v>
      </c>
      <c r="O6" s="114" t="s">
        <v>29</v>
      </c>
      <c r="P6" s="110" t="s">
        <v>30</v>
      </c>
      <c r="Q6" s="113" t="s">
        <v>29</v>
      </c>
      <c r="R6" s="113" t="s">
        <v>30</v>
      </c>
      <c r="S6" s="114" t="s">
        <v>29</v>
      </c>
      <c r="T6" s="110" t="s">
        <v>30</v>
      </c>
      <c r="U6" s="114" t="s">
        <v>29</v>
      </c>
      <c r="V6" s="110" t="s">
        <v>30</v>
      </c>
      <c r="W6" s="114" t="s">
        <v>29</v>
      </c>
      <c r="X6" s="110" t="s">
        <v>30</v>
      </c>
      <c r="Y6" s="113" t="s">
        <v>29</v>
      </c>
      <c r="Z6" s="113" t="s">
        <v>30</v>
      </c>
      <c r="AA6" s="114" t="s">
        <v>29</v>
      </c>
      <c r="AB6" s="110" t="s">
        <v>30</v>
      </c>
      <c r="AC6" s="114" t="s">
        <v>29</v>
      </c>
      <c r="AD6" s="110" t="s">
        <v>30</v>
      </c>
      <c r="AE6" s="109" t="s">
        <v>29</v>
      </c>
      <c r="AF6" s="115" t="s">
        <v>30</v>
      </c>
      <c r="AG6" s="110" t="s">
        <v>31</v>
      </c>
    </row>
    <row r="7" spans="1:33" ht="15.75" thickBot="1">
      <c r="A7" s="106">
        <v>1</v>
      </c>
      <c r="B7" s="10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103">
        <f>SUM(AC7,AA7,Y7,W7,U7,S7,Q7,M7,K7,I7,G7,E7,C7)</f>
        <v>0</v>
      </c>
      <c r="AF7" s="103">
        <f>SUM(AD7,AB7,Z7,X7,V7,T7,R7,N7,L7,J7,H7,F7,D7)</f>
        <v>0</v>
      </c>
      <c r="AG7" s="103">
        <f>SUM(AE7:AF7)</f>
        <v>0</v>
      </c>
    </row>
    <row r="8" spans="1:33" ht="15.75" thickBot="1">
      <c r="A8" s="107">
        <v>2</v>
      </c>
      <c r="B8" s="10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102"/>
      <c r="Z8" s="5"/>
      <c r="AA8" s="5"/>
      <c r="AB8" s="5"/>
      <c r="AC8" s="5"/>
      <c r="AD8" s="5"/>
      <c r="AE8" s="103">
        <f t="shared" ref="AE8:AE26" si="0">SUM(AC8,AA8,Y8,W8,U8,S8,Q8,M8,K8,I8,G8,E8,C8)</f>
        <v>0</v>
      </c>
      <c r="AF8" s="103">
        <f t="shared" ref="AF8:AF26" si="1">SUM(AD8,AB8,Z8,X8,V8,T8,R8,N8,L8,J8,H8,F8,D8)</f>
        <v>0</v>
      </c>
      <c r="AG8" s="103">
        <f t="shared" ref="AG8:AG26" si="2">SUM(AE8:AF8)</f>
        <v>0</v>
      </c>
    </row>
    <row r="9" spans="1:33" ht="15.75" thickBot="1">
      <c r="A9" s="106">
        <v>3</v>
      </c>
      <c r="B9" s="107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102"/>
      <c r="Z9" s="5"/>
      <c r="AA9" s="5"/>
      <c r="AB9" s="5"/>
      <c r="AC9" s="5"/>
      <c r="AD9" s="5"/>
      <c r="AE9" s="103">
        <f t="shared" si="0"/>
        <v>0</v>
      </c>
      <c r="AF9" s="103">
        <f t="shared" si="1"/>
        <v>0</v>
      </c>
      <c r="AG9" s="103">
        <f t="shared" si="2"/>
        <v>0</v>
      </c>
    </row>
    <row r="10" spans="1:33" ht="15.75" thickBot="1">
      <c r="A10" s="107">
        <v>4</v>
      </c>
      <c r="B10" s="107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02"/>
      <c r="Z10" s="5"/>
      <c r="AA10" s="5"/>
      <c r="AB10" s="5"/>
      <c r="AC10" s="5"/>
      <c r="AD10" s="5"/>
      <c r="AE10" s="103">
        <f t="shared" si="0"/>
        <v>0</v>
      </c>
      <c r="AF10" s="103">
        <f t="shared" si="1"/>
        <v>0</v>
      </c>
      <c r="AG10" s="103">
        <f t="shared" si="2"/>
        <v>0</v>
      </c>
    </row>
    <row r="11" spans="1:33" ht="15.75" thickBot="1">
      <c r="A11" s="106">
        <v>5</v>
      </c>
      <c r="B11" s="107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102"/>
      <c r="Z11" s="5"/>
      <c r="AA11" s="5"/>
      <c r="AB11" s="5"/>
      <c r="AC11" s="5"/>
      <c r="AD11" s="5"/>
      <c r="AE11" s="103">
        <f t="shared" si="0"/>
        <v>0</v>
      </c>
      <c r="AF11" s="103">
        <f t="shared" si="1"/>
        <v>0</v>
      </c>
      <c r="AG11" s="103">
        <f t="shared" si="2"/>
        <v>0</v>
      </c>
    </row>
    <row r="12" spans="1:33" ht="15.75" thickBot="1">
      <c r="A12" s="107">
        <v>6</v>
      </c>
      <c r="B12" s="10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102"/>
      <c r="Z12" s="5"/>
      <c r="AA12" s="5"/>
      <c r="AB12" s="5"/>
      <c r="AC12" s="5"/>
      <c r="AD12" s="5"/>
      <c r="AE12" s="103">
        <f t="shared" si="0"/>
        <v>0</v>
      </c>
      <c r="AF12" s="103">
        <f t="shared" si="1"/>
        <v>0</v>
      </c>
      <c r="AG12" s="103">
        <f t="shared" si="2"/>
        <v>0</v>
      </c>
    </row>
    <row r="13" spans="1:33" ht="15.75" thickBot="1">
      <c r="A13" s="106">
        <v>7</v>
      </c>
      <c r="B13" s="10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102"/>
      <c r="Z13" s="5"/>
      <c r="AA13" s="5"/>
      <c r="AB13" s="5"/>
      <c r="AC13" s="5"/>
      <c r="AD13" s="5"/>
      <c r="AE13" s="103">
        <f t="shared" si="0"/>
        <v>0</v>
      </c>
      <c r="AF13" s="103">
        <f t="shared" si="1"/>
        <v>0</v>
      </c>
      <c r="AG13" s="103">
        <f t="shared" si="2"/>
        <v>0</v>
      </c>
    </row>
    <row r="14" spans="1:33" ht="15.75" thickBot="1">
      <c r="A14" s="108">
        <v>8</v>
      </c>
      <c r="B14" s="10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02"/>
      <c r="Z14" s="5"/>
      <c r="AA14" s="5"/>
      <c r="AB14" s="5"/>
      <c r="AC14" s="5"/>
      <c r="AD14" s="5"/>
      <c r="AE14" s="103">
        <f t="shared" si="0"/>
        <v>0</v>
      </c>
      <c r="AF14" s="103">
        <f t="shared" si="1"/>
        <v>0</v>
      </c>
      <c r="AG14" s="103">
        <f t="shared" si="2"/>
        <v>0</v>
      </c>
    </row>
    <row r="15" spans="1:33" ht="15.75" thickBot="1">
      <c r="A15" s="107">
        <v>9</v>
      </c>
      <c r="B15" s="107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102"/>
      <c r="Z15" s="5"/>
      <c r="AA15" s="5"/>
      <c r="AB15" s="5"/>
      <c r="AC15" s="5"/>
      <c r="AD15" s="5"/>
      <c r="AE15" s="103">
        <f t="shared" si="0"/>
        <v>0</v>
      </c>
      <c r="AF15" s="103">
        <f t="shared" si="1"/>
        <v>0</v>
      </c>
      <c r="AG15" s="103">
        <f t="shared" si="2"/>
        <v>0</v>
      </c>
    </row>
    <row r="16" spans="1:33" ht="15.75" thickBot="1">
      <c r="A16" s="106">
        <v>10</v>
      </c>
      <c r="B16" s="10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102"/>
      <c r="Z16" s="5"/>
      <c r="AA16" s="5"/>
      <c r="AB16" s="5"/>
      <c r="AC16" s="5"/>
      <c r="AD16" s="5"/>
      <c r="AE16" s="103">
        <f t="shared" si="0"/>
        <v>0</v>
      </c>
      <c r="AF16" s="103">
        <f t="shared" si="1"/>
        <v>0</v>
      </c>
      <c r="AG16" s="103">
        <f t="shared" si="2"/>
        <v>0</v>
      </c>
    </row>
    <row r="17" spans="1:37" ht="15.75" thickBot="1">
      <c r="A17" s="107">
        <v>11</v>
      </c>
      <c r="B17" s="10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02"/>
      <c r="Z17" s="5"/>
      <c r="AA17" s="5"/>
      <c r="AB17" s="5"/>
      <c r="AC17" s="5"/>
      <c r="AD17" s="5"/>
      <c r="AE17" s="103">
        <f t="shared" si="0"/>
        <v>0</v>
      </c>
      <c r="AF17" s="103">
        <f t="shared" si="1"/>
        <v>0</v>
      </c>
      <c r="AG17" s="103">
        <f t="shared" si="2"/>
        <v>0</v>
      </c>
    </row>
    <row r="18" spans="1:37" ht="15.75" thickBot="1">
      <c r="A18" s="106">
        <v>12</v>
      </c>
      <c r="B18" s="107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02"/>
      <c r="Z18" s="5"/>
      <c r="AA18" s="5"/>
      <c r="AB18" s="5"/>
      <c r="AC18" s="5"/>
      <c r="AD18" s="5"/>
      <c r="AE18" s="103">
        <f t="shared" si="0"/>
        <v>0</v>
      </c>
      <c r="AF18" s="103">
        <f t="shared" si="1"/>
        <v>0</v>
      </c>
      <c r="AG18" s="103">
        <f t="shared" si="2"/>
        <v>0</v>
      </c>
    </row>
    <row r="19" spans="1:37" ht="15.75" thickBot="1">
      <c r="A19" s="107">
        <v>13</v>
      </c>
      <c r="B19" s="107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02"/>
      <c r="Z19" s="5"/>
      <c r="AA19" s="5"/>
      <c r="AB19" s="5"/>
      <c r="AC19" s="5"/>
      <c r="AD19" s="5"/>
      <c r="AE19" s="103">
        <f t="shared" si="0"/>
        <v>0</v>
      </c>
      <c r="AF19" s="103">
        <f t="shared" si="1"/>
        <v>0</v>
      </c>
      <c r="AG19" s="103">
        <f t="shared" si="2"/>
        <v>0</v>
      </c>
    </row>
    <row r="20" spans="1:37" ht="15.75" thickBot="1">
      <c r="A20" s="106">
        <v>14</v>
      </c>
      <c r="B20" s="107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102"/>
      <c r="Z20" s="5"/>
      <c r="AA20" s="5"/>
      <c r="AB20" s="5"/>
      <c r="AC20" s="5"/>
      <c r="AD20" s="5"/>
      <c r="AE20" s="103">
        <f t="shared" si="0"/>
        <v>0</v>
      </c>
      <c r="AF20" s="103">
        <f t="shared" si="1"/>
        <v>0</v>
      </c>
      <c r="AG20" s="103">
        <f t="shared" si="2"/>
        <v>0</v>
      </c>
    </row>
    <row r="21" spans="1:37" ht="15.75" thickBot="1">
      <c r="A21" s="107">
        <v>15</v>
      </c>
      <c r="B21" s="107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102"/>
      <c r="Z21" s="5"/>
      <c r="AA21" s="5"/>
      <c r="AB21" s="5"/>
      <c r="AC21" s="5"/>
      <c r="AD21" s="5"/>
      <c r="AE21" s="103">
        <f t="shared" si="0"/>
        <v>0</v>
      </c>
      <c r="AF21" s="103">
        <f t="shared" si="1"/>
        <v>0</v>
      </c>
      <c r="AG21" s="103">
        <f t="shared" si="2"/>
        <v>0</v>
      </c>
    </row>
    <row r="22" spans="1:37" ht="15.75" thickBot="1">
      <c r="A22" s="106">
        <v>16</v>
      </c>
      <c r="B22" s="10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102"/>
      <c r="Z22" s="5"/>
      <c r="AA22" s="5"/>
      <c r="AB22" s="5"/>
      <c r="AC22" s="5"/>
      <c r="AD22" s="5"/>
      <c r="AE22" s="103">
        <f t="shared" si="0"/>
        <v>0</v>
      </c>
      <c r="AF22" s="103">
        <f t="shared" si="1"/>
        <v>0</v>
      </c>
      <c r="AG22" s="103">
        <f t="shared" si="2"/>
        <v>0</v>
      </c>
    </row>
    <row r="23" spans="1:37" ht="15.75" thickBot="1">
      <c r="A23" s="108">
        <v>17</v>
      </c>
      <c r="B23" s="107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102"/>
      <c r="Z23" s="5"/>
      <c r="AA23" s="5"/>
      <c r="AB23" s="5"/>
      <c r="AC23" s="5"/>
      <c r="AD23" s="5"/>
      <c r="AE23" s="103">
        <f t="shared" si="0"/>
        <v>0</v>
      </c>
      <c r="AF23" s="103">
        <f t="shared" si="1"/>
        <v>0</v>
      </c>
      <c r="AG23" s="103">
        <f t="shared" si="2"/>
        <v>0</v>
      </c>
    </row>
    <row r="24" spans="1:37" ht="15.75" thickBot="1">
      <c r="A24" s="108">
        <v>18</v>
      </c>
      <c r="B24" s="107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102"/>
      <c r="Z24" s="5"/>
      <c r="AA24" s="5"/>
      <c r="AB24" s="5"/>
      <c r="AC24" s="5"/>
      <c r="AD24" s="5"/>
      <c r="AE24" s="103">
        <f t="shared" si="0"/>
        <v>0</v>
      </c>
      <c r="AF24" s="103">
        <f t="shared" si="1"/>
        <v>0</v>
      </c>
      <c r="AG24" s="103">
        <f t="shared" si="2"/>
        <v>0</v>
      </c>
    </row>
    <row r="25" spans="1:37" ht="15.75" thickBot="1">
      <c r="A25" s="108">
        <v>19</v>
      </c>
      <c r="B25" s="107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102"/>
      <c r="Z25" s="5"/>
      <c r="AA25" s="5"/>
      <c r="AB25" s="5"/>
      <c r="AC25" s="5"/>
      <c r="AD25" s="5"/>
      <c r="AE25" s="103">
        <f t="shared" si="0"/>
        <v>0</v>
      </c>
      <c r="AF25" s="103">
        <f t="shared" si="1"/>
        <v>0</v>
      </c>
      <c r="AG25" s="103">
        <f t="shared" si="2"/>
        <v>0</v>
      </c>
    </row>
    <row r="26" spans="1:37" ht="15">
      <c r="A26" s="108">
        <v>20</v>
      </c>
      <c r="B26" s="107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102"/>
      <c r="Z26" s="5"/>
      <c r="AA26" s="5"/>
      <c r="AB26" s="5"/>
      <c r="AC26" s="5"/>
      <c r="AD26" s="5"/>
      <c r="AE26" s="103">
        <f t="shared" si="0"/>
        <v>0</v>
      </c>
      <c r="AF26" s="103">
        <f t="shared" si="1"/>
        <v>0</v>
      </c>
      <c r="AG26" s="103">
        <f t="shared" si="2"/>
        <v>0</v>
      </c>
    </row>
    <row r="27" spans="1:37" s="105" customFormat="1" ht="15.75" thickBot="1">
      <c r="A27" s="374" t="s">
        <v>7</v>
      </c>
      <c r="B27" s="375"/>
      <c r="C27" s="104">
        <f t="shared" ref="C27:AG27" si="3">SUM(C7:C26)</f>
        <v>0</v>
      </c>
      <c r="D27" s="104">
        <f t="shared" si="3"/>
        <v>0</v>
      </c>
      <c r="E27" s="104">
        <f t="shared" si="3"/>
        <v>0</v>
      </c>
      <c r="F27" s="104">
        <f t="shared" si="3"/>
        <v>0</v>
      </c>
      <c r="G27" s="104">
        <f t="shared" si="3"/>
        <v>0</v>
      </c>
      <c r="H27" s="104">
        <f t="shared" si="3"/>
        <v>0</v>
      </c>
      <c r="I27" s="104">
        <f t="shared" si="3"/>
        <v>0</v>
      </c>
      <c r="J27" s="104">
        <f t="shared" si="3"/>
        <v>0</v>
      </c>
      <c r="K27" s="104">
        <f t="shared" si="3"/>
        <v>0</v>
      </c>
      <c r="L27" s="104">
        <f t="shared" si="3"/>
        <v>0</v>
      </c>
      <c r="M27" s="104">
        <f t="shared" si="3"/>
        <v>0</v>
      </c>
      <c r="N27" s="104">
        <f t="shared" si="3"/>
        <v>0</v>
      </c>
      <c r="O27" s="104">
        <f t="shared" si="3"/>
        <v>0</v>
      </c>
      <c r="P27" s="104">
        <f t="shared" si="3"/>
        <v>0</v>
      </c>
      <c r="Q27" s="104">
        <f t="shared" si="3"/>
        <v>0</v>
      </c>
      <c r="R27" s="104">
        <f t="shared" si="3"/>
        <v>0</v>
      </c>
      <c r="S27" s="104">
        <f t="shared" si="3"/>
        <v>0</v>
      </c>
      <c r="T27" s="104">
        <f t="shared" si="3"/>
        <v>0</v>
      </c>
      <c r="U27" s="104">
        <f t="shared" si="3"/>
        <v>0</v>
      </c>
      <c r="V27" s="104">
        <f t="shared" si="3"/>
        <v>0</v>
      </c>
      <c r="W27" s="104">
        <f t="shared" si="3"/>
        <v>0</v>
      </c>
      <c r="X27" s="104">
        <f t="shared" si="3"/>
        <v>0</v>
      </c>
      <c r="Y27" s="104">
        <f t="shared" si="3"/>
        <v>0</v>
      </c>
      <c r="Z27" s="104">
        <f t="shared" si="3"/>
        <v>0</v>
      </c>
      <c r="AA27" s="104">
        <f t="shared" si="3"/>
        <v>0</v>
      </c>
      <c r="AB27" s="104">
        <f t="shared" si="3"/>
        <v>0</v>
      </c>
      <c r="AC27" s="104">
        <f t="shared" si="3"/>
        <v>0</v>
      </c>
      <c r="AD27" s="104">
        <f t="shared" si="3"/>
        <v>0</v>
      </c>
      <c r="AE27" s="104">
        <f t="shared" si="3"/>
        <v>0</v>
      </c>
      <c r="AF27" s="104">
        <f t="shared" si="3"/>
        <v>0</v>
      </c>
      <c r="AG27" s="104">
        <f t="shared" si="3"/>
        <v>0</v>
      </c>
    </row>
    <row r="28" spans="1:37">
      <c r="I28" s="7"/>
      <c r="J28" s="7"/>
    </row>
    <row r="29" spans="1:37" ht="18">
      <c r="B29" s="27"/>
      <c r="C29" s="27"/>
      <c r="D29" s="27"/>
      <c r="AC29" s="27"/>
    </row>
    <row r="30" spans="1:37" ht="18">
      <c r="B30" s="27"/>
      <c r="C30" s="27"/>
      <c r="D30" s="27"/>
      <c r="F30" s="372" t="s">
        <v>203</v>
      </c>
      <c r="G30" s="373"/>
      <c r="H30" s="373"/>
      <c r="I30" s="373"/>
      <c r="J30" s="373"/>
      <c r="K30" s="373"/>
      <c r="V30" s="372" t="s">
        <v>204</v>
      </c>
      <c r="W30" s="373"/>
      <c r="X30" s="373"/>
      <c r="Y30" s="373"/>
      <c r="Z30" s="373"/>
      <c r="AA30" s="373"/>
      <c r="AB30" s="373"/>
      <c r="AC30" s="373"/>
      <c r="AD30" s="373"/>
    </row>
    <row r="31" spans="1:37" ht="18">
      <c r="AK31" s="27"/>
    </row>
    <row r="32" spans="1:37" ht="18">
      <c r="AK32" s="27"/>
    </row>
  </sheetData>
  <mergeCells count="20">
    <mergeCell ref="A27:B27"/>
    <mergeCell ref="K5:L5"/>
    <mergeCell ref="M5:N5"/>
    <mergeCell ref="O5:P5"/>
    <mergeCell ref="Q5:R5"/>
    <mergeCell ref="A5:A6"/>
    <mergeCell ref="B5:B6"/>
    <mergeCell ref="C5:D5"/>
    <mergeCell ref="E5:F5"/>
    <mergeCell ref="G5:H5"/>
    <mergeCell ref="I5:J5"/>
    <mergeCell ref="AE5:AG5"/>
    <mergeCell ref="S5:T5"/>
    <mergeCell ref="U5:V5"/>
    <mergeCell ref="Y5:Z5"/>
    <mergeCell ref="F30:K30"/>
    <mergeCell ref="V30:AD30"/>
    <mergeCell ref="W5:X5"/>
    <mergeCell ref="AA5:AB5"/>
    <mergeCell ref="AC5:AD5"/>
  </mergeCells>
  <pageMargins left="0" right="0" top="1.299212598425197" bottom="1.0236220472440944" header="0.31496062992125984" footer="0.51181102362204722"/>
  <pageSetup paperSize="9" scale="77" orientation="landscape" r:id="rId1"/>
  <headerFooter scaleWithDoc="0">
    <oddHeader>&amp;C&amp;G</oddHead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ورقة11">
    <tabColor theme="9" tint="-0.249977111117893"/>
  </sheetPr>
  <dimension ref="A7:E30"/>
  <sheetViews>
    <sheetView rightToLeft="1" view="pageBreakPreview" zoomScaleNormal="100" zoomScaleSheetLayoutView="100" workbookViewId="0">
      <selection activeCell="C25" sqref="C25"/>
    </sheetView>
  </sheetViews>
  <sheetFormatPr defaultRowHeight="14.25"/>
  <cols>
    <col min="1" max="1" width="4.75" customWidth="1"/>
    <col min="2" max="4" width="19.375" customWidth="1"/>
    <col min="5" max="5" width="17.875" customWidth="1"/>
    <col min="6" max="6" width="16.375" customWidth="1"/>
  </cols>
  <sheetData>
    <row r="7" spans="1:5" ht="19.5" customHeight="1" thickBot="1"/>
    <row r="8" spans="1:5" ht="24.75" customHeight="1">
      <c r="A8" s="381" t="s">
        <v>1</v>
      </c>
      <c r="B8" s="383" t="s">
        <v>207</v>
      </c>
      <c r="C8" s="379" t="s">
        <v>9</v>
      </c>
      <c r="D8" s="379" t="s">
        <v>6</v>
      </c>
      <c r="E8" s="379" t="s">
        <v>13</v>
      </c>
    </row>
    <row r="9" spans="1:5" ht="8.25" customHeight="1" thickBot="1">
      <c r="A9" s="382"/>
      <c r="B9" s="384"/>
      <c r="C9" s="380"/>
      <c r="D9" s="380"/>
      <c r="E9" s="380"/>
    </row>
    <row r="10" spans="1:5" ht="22.5" customHeight="1">
      <c r="A10" s="106">
        <v>1</v>
      </c>
      <c r="B10" s="106"/>
      <c r="C10" s="30">
        <f>'قوى عاملة تحفيظ أولي وتكميلي'!G6</f>
        <v>0</v>
      </c>
      <c r="D10" s="30">
        <f>'قوى عاملة تحفيظ أولي وتكميلي'!H6</f>
        <v>0</v>
      </c>
      <c r="E10" s="143">
        <f>SUM(C10:D10)</f>
        <v>0</v>
      </c>
    </row>
    <row r="11" spans="1:5" ht="22.5" customHeight="1" thickBot="1">
      <c r="A11" s="107">
        <v>2</v>
      </c>
      <c r="B11" s="107"/>
      <c r="C11" s="30">
        <f>'قوى عاملة تحفيظ أولي وتكميلي'!G7</f>
        <v>0</v>
      </c>
      <c r="D11" s="30">
        <f>'قوى عاملة تحفيظ أولي وتكميلي'!H7</f>
        <v>0</v>
      </c>
      <c r="E11" s="143">
        <f t="shared" ref="E11:E29" si="0">SUM(C11:D11)</f>
        <v>0</v>
      </c>
    </row>
    <row r="12" spans="1:5" ht="22.5" customHeight="1">
      <c r="A12" s="106">
        <v>3</v>
      </c>
      <c r="B12" s="107"/>
      <c r="C12" s="30">
        <f>'قوى عاملة تحفيظ أولي وتكميلي'!G8</f>
        <v>0</v>
      </c>
      <c r="D12" s="30">
        <f>'قوى عاملة تحفيظ أولي وتكميلي'!H8</f>
        <v>0</v>
      </c>
      <c r="E12" s="143">
        <f t="shared" si="0"/>
        <v>0</v>
      </c>
    </row>
    <row r="13" spans="1:5" ht="22.5" customHeight="1" thickBot="1">
      <c r="A13" s="107">
        <v>4</v>
      </c>
      <c r="B13" s="107"/>
      <c r="C13" s="30">
        <f>'قوى عاملة تحفيظ أولي وتكميلي'!G9</f>
        <v>0</v>
      </c>
      <c r="D13" s="30">
        <f>'قوى عاملة تحفيظ أولي وتكميلي'!H9</f>
        <v>0</v>
      </c>
      <c r="E13" s="143">
        <f t="shared" si="0"/>
        <v>0</v>
      </c>
    </row>
    <row r="14" spans="1:5" ht="22.5" customHeight="1">
      <c r="A14" s="106">
        <v>5</v>
      </c>
      <c r="B14" s="107"/>
      <c r="C14" s="30">
        <f>'قوى عاملة تحفيظ أولي وتكميلي'!G10</f>
        <v>0</v>
      </c>
      <c r="D14" s="30">
        <f>'قوى عاملة تحفيظ أولي وتكميلي'!H10</f>
        <v>0</v>
      </c>
      <c r="E14" s="143">
        <f t="shared" si="0"/>
        <v>0</v>
      </c>
    </row>
    <row r="15" spans="1:5" ht="22.5" customHeight="1" thickBot="1">
      <c r="A15" s="107">
        <v>6</v>
      </c>
      <c r="B15" s="107"/>
      <c r="C15" s="30">
        <f>'قوى عاملة تحفيظ أولي وتكميلي'!G11</f>
        <v>0</v>
      </c>
      <c r="D15" s="30">
        <f>'قوى عاملة تحفيظ أولي وتكميلي'!H11</f>
        <v>0</v>
      </c>
      <c r="E15" s="143">
        <f t="shared" si="0"/>
        <v>0</v>
      </c>
    </row>
    <row r="16" spans="1:5" ht="22.5" customHeight="1">
      <c r="A16" s="106">
        <v>7</v>
      </c>
      <c r="B16" s="107"/>
      <c r="C16" s="30">
        <f>'قوى عاملة تحفيظ أولي وتكميلي'!G12</f>
        <v>0</v>
      </c>
      <c r="D16" s="30">
        <f>'قوى عاملة تحفيظ أولي وتكميلي'!H12</f>
        <v>0</v>
      </c>
      <c r="E16" s="143">
        <f t="shared" si="0"/>
        <v>0</v>
      </c>
    </row>
    <row r="17" spans="1:5" ht="22.5" customHeight="1">
      <c r="A17" s="108">
        <v>8</v>
      </c>
      <c r="B17" s="107"/>
      <c r="C17" s="30">
        <f>'قوى عاملة تحفيظ أولي وتكميلي'!G13</f>
        <v>0</v>
      </c>
      <c r="D17" s="30">
        <f>'قوى عاملة تحفيظ أولي وتكميلي'!H13</f>
        <v>0</v>
      </c>
      <c r="E17" s="143">
        <f t="shared" si="0"/>
        <v>0</v>
      </c>
    </row>
    <row r="18" spans="1:5" ht="22.5" customHeight="1" thickBot="1">
      <c r="A18" s="107">
        <v>9</v>
      </c>
      <c r="B18" s="107"/>
      <c r="C18" s="30">
        <f>'قوى عاملة تحفيظ أولي وتكميلي'!G14</f>
        <v>0</v>
      </c>
      <c r="D18" s="30">
        <f>'قوى عاملة تحفيظ أولي وتكميلي'!H14</f>
        <v>0</v>
      </c>
      <c r="E18" s="143">
        <f t="shared" si="0"/>
        <v>0</v>
      </c>
    </row>
    <row r="19" spans="1:5" ht="22.5" customHeight="1">
      <c r="A19" s="106">
        <v>10</v>
      </c>
      <c r="B19" s="106"/>
      <c r="C19" s="30">
        <f>'قوى عاملة تحفيظ أولي وتكميلي'!G15</f>
        <v>0</v>
      </c>
      <c r="D19" s="30">
        <f>'قوى عاملة تحفيظ أولي وتكميلي'!H15</f>
        <v>0</v>
      </c>
      <c r="E19" s="143">
        <f t="shared" si="0"/>
        <v>0</v>
      </c>
    </row>
    <row r="20" spans="1:5" ht="22.5" customHeight="1" thickBot="1">
      <c r="A20" s="107">
        <v>11</v>
      </c>
      <c r="B20" s="107"/>
      <c r="C20" s="30">
        <f>'قوى عاملة تحفيظ أولي وتكميلي'!G16</f>
        <v>0</v>
      </c>
      <c r="D20" s="30">
        <f>'قوى عاملة تحفيظ أولي وتكميلي'!H16</f>
        <v>0</v>
      </c>
      <c r="E20" s="143">
        <f t="shared" si="0"/>
        <v>0</v>
      </c>
    </row>
    <row r="21" spans="1:5" ht="22.5" customHeight="1">
      <c r="A21" s="106">
        <v>12</v>
      </c>
      <c r="B21" s="107"/>
      <c r="C21" s="30">
        <f>'قوى عاملة تحفيظ أولي وتكميلي'!G17</f>
        <v>0</v>
      </c>
      <c r="D21" s="30">
        <f>'قوى عاملة تحفيظ أولي وتكميلي'!H17</f>
        <v>0</v>
      </c>
      <c r="E21" s="143">
        <f t="shared" si="0"/>
        <v>0</v>
      </c>
    </row>
    <row r="22" spans="1:5" ht="22.5" customHeight="1" thickBot="1">
      <c r="A22" s="107">
        <v>13</v>
      </c>
      <c r="B22" s="107"/>
      <c r="C22" s="30">
        <f>'قوى عاملة تحفيظ أولي وتكميلي'!G18</f>
        <v>0</v>
      </c>
      <c r="D22" s="30">
        <f>'قوى عاملة تحفيظ أولي وتكميلي'!H18</f>
        <v>0</v>
      </c>
      <c r="E22" s="143">
        <f t="shared" si="0"/>
        <v>0</v>
      </c>
    </row>
    <row r="23" spans="1:5" ht="22.5" customHeight="1">
      <c r="A23" s="106">
        <v>14</v>
      </c>
      <c r="B23" s="107"/>
      <c r="C23" s="30">
        <f>'قوى عاملة تحفيظ أولي وتكميلي'!G19</f>
        <v>0</v>
      </c>
      <c r="D23" s="30">
        <f>'قوى عاملة تحفيظ أولي وتكميلي'!H19</f>
        <v>0</v>
      </c>
      <c r="E23" s="143">
        <f t="shared" si="0"/>
        <v>0</v>
      </c>
    </row>
    <row r="24" spans="1:5" ht="22.5" customHeight="1" thickBot="1">
      <c r="A24" s="107">
        <v>15</v>
      </c>
      <c r="B24" s="107"/>
      <c r="C24" s="30">
        <f>'قوى عاملة تحفيظ أولي وتكميلي'!G25</f>
        <v>0</v>
      </c>
      <c r="D24" s="30">
        <f>'قوى عاملة تحفيظ أولي وتكميلي'!H25</f>
        <v>0</v>
      </c>
      <c r="E24" s="143">
        <f t="shared" si="0"/>
        <v>0</v>
      </c>
    </row>
    <row r="25" spans="1:5" ht="22.5" customHeight="1">
      <c r="A25" s="106">
        <v>16</v>
      </c>
      <c r="B25" s="107"/>
      <c r="C25" s="30"/>
      <c r="D25" s="30"/>
      <c r="E25" s="143">
        <f t="shared" si="0"/>
        <v>0</v>
      </c>
    </row>
    <row r="26" spans="1:5" ht="22.5" customHeight="1">
      <c r="A26" s="108">
        <v>17</v>
      </c>
      <c r="B26" s="107"/>
      <c r="C26" s="30"/>
      <c r="D26" s="30"/>
      <c r="E26" s="143">
        <f t="shared" si="0"/>
        <v>0</v>
      </c>
    </row>
    <row r="27" spans="1:5" ht="22.5" customHeight="1">
      <c r="A27" s="108">
        <v>18</v>
      </c>
      <c r="B27" s="107"/>
      <c r="C27" s="30"/>
      <c r="D27" s="30"/>
      <c r="E27" s="143">
        <f t="shared" si="0"/>
        <v>0</v>
      </c>
    </row>
    <row r="28" spans="1:5" ht="22.5" customHeight="1">
      <c r="A28" s="108">
        <v>19</v>
      </c>
      <c r="B28" s="107"/>
      <c r="C28" s="30"/>
      <c r="D28" s="30"/>
      <c r="E28" s="143">
        <f t="shared" si="0"/>
        <v>0</v>
      </c>
    </row>
    <row r="29" spans="1:5" ht="22.5" customHeight="1">
      <c r="A29" s="108">
        <v>20</v>
      </c>
      <c r="B29" s="107"/>
      <c r="C29" s="30"/>
      <c r="D29" s="30"/>
      <c r="E29" s="143">
        <f t="shared" si="0"/>
        <v>0</v>
      </c>
    </row>
    <row r="30" spans="1:5" ht="22.5" customHeight="1">
      <c r="A30" s="378" t="s">
        <v>13</v>
      </c>
      <c r="B30" s="375"/>
      <c r="C30" s="143">
        <f>SUM(C10:C29)</f>
        <v>0</v>
      </c>
      <c r="D30" s="143">
        <f>SUM(D10:D29)</f>
        <v>0</v>
      </c>
      <c r="E30" s="143">
        <f>SUM(E10:E29)</f>
        <v>0</v>
      </c>
    </row>
  </sheetData>
  <mergeCells count="6">
    <mergeCell ref="A30:B30"/>
    <mergeCell ref="E8:E9"/>
    <mergeCell ref="A8:A9"/>
    <mergeCell ref="B8:B9"/>
    <mergeCell ref="C8:C9"/>
    <mergeCell ref="D8:D9"/>
  </mergeCells>
  <pageMargins left="0.39370078740157483" right="0.70866141732283472" top="1.1811023622047245" bottom="1.7322834645669292" header="0.31496062992125984" footer="1.0236220472440944"/>
  <pageSetup paperSize="9" orientation="portrait" r:id="rId1"/>
  <headerFooter scaleWithDoc="0" alignWithMargins="0">
    <oddFooter xml:space="preserve">&amp;L&amp;"-,غامق"&amp;14&amp;Xمدير إدارة التربية والتعليم&amp;X
 &amp;R&amp;"-,غامق"&amp;14رئيس قسم التخطيط والاحصاء
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-0.249977111117893"/>
  </sheetPr>
  <dimension ref="A8:E31"/>
  <sheetViews>
    <sheetView rightToLeft="1" view="pageBreakPreview" zoomScaleNormal="100" zoomScaleSheetLayoutView="100" workbookViewId="0">
      <selection activeCell="C26" sqref="C26:E29"/>
    </sheetView>
  </sheetViews>
  <sheetFormatPr defaultRowHeight="14.25"/>
  <cols>
    <col min="1" max="1" width="4.75" customWidth="1"/>
    <col min="2" max="4" width="19.375" customWidth="1"/>
    <col min="5" max="5" width="17.875" customWidth="1"/>
    <col min="6" max="6" width="16.375" customWidth="1"/>
  </cols>
  <sheetData>
    <row r="8" spans="1:5" ht="19.5" customHeight="1" thickBot="1"/>
    <row r="9" spans="1:5" ht="24.75" customHeight="1">
      <c r="A9" s="381" t="s">
        <v>1</v>
      </c>
      <c r="B9" s="383" t="s">
        <v>207</v>
      </c>
      <c r="C9" s="379" t="s">
        <v>9</v>
      </c>
      <c r="D9" s="379" t="s">
        <v>6</v>
      </c>
      <c r="E9" s="379" t="s">
        <v>13</v>
      </c>
    </row>
    <row r="10" spans="1:5" ht="15" customHeight="1" thickBot="1">
      <c r="A10" s="382"/>
      <c r="B10" s="384"/>
      <c r="C10" s="380"/>
      <c r="D10" s="380"/>
      <c r="E10" s="380"/>
    </row>
    <row r="11" spans="1:5" ht="22.5" customHeight="1">
      <c r="A11" s="106">
        <v>1</v>
      </c>
      <c r="B11" s="106"/>
      <c r="C11" s="30">
        <f>'قوى عاملة تحفيظ أولي وتكميلي'!G6</f>
        <v>0</v>
      </c>
      <c r="D11" s="30">
        <f>'قوى عاملة تحفيظ أولي وتكميلي'!H6</f>
        <v>0</v>
      </c>
      <c r="E11" s="143">
        <f>SUM(C11:D11)</f>
        <v>0</v>
      </c>
    </row>
    <row r="12" spans="1:5" ht="22.5" customHeight="1" thickBot="1">
      <c r="A12" s="107">
        <v>2</v>
      </c>
      <c r="B12" s="107"/>
      <c r="C12" s="30">
        <f>'قوى عاملة تحفيظ أولي وتكميلي'!G7</f>
        <v>0</v>
      </c>
      <c r="D12" s="30">
        <f>'قوى عاملة تحفيظ أولي وتكميلي'!H7</f>
        <v>0</v>
      </c>
      <c r="E12" s="143">
        <f t="shared" ref="E12:E30" si="0">SUM(C12:D12)</f>
        <v>0</v>
      </c>
    </row>
    <row r="13" spans="1:5" ht="22.5" customHeight="1">
      <c r="A13" s="106">
        <v>3</v>
      </c>
      <c r="B13" s="107"/>
      <c r="C13" s="30">
        <f>'قوى عاملة تحفيظ أولي وتكميلي'!G8</f>
        <v>0</v>
      </c>
      <c r="D13" s="30">
        <f>'قوى عاملة تحفيظ أولي وتكميلي'!H8</f>
        <v>0</v>
      </c>
      <c r="E13" s="143">
        <f t="shared" si="0"/>
        <v>0</v>
      </c>
    </row>
    <row r="14" spans="1:5" ht="22.5" customHeight="1" thickBot="1">
      <c r="A14" s="107">
        <v>4</v>
      </c>
      <c r="B14" s="107"/>
      <c r="C14" s="30">
        <f>'قوى عاملة تحفيظ أولي وتكميلي'!G9</f>
        <v>0</v>
      </c>
      <c r="D14" s="30">
        <f>'قوى عاملة تحفيظ أولي وتكميلي'!H9</f>
        <v>0</v>
      </c>
      <c r="E14" s="143">
        <f t="shared" si="0"/>
        <v>0</v>
      </c>
    </row>
    <row r="15" spans="1:5" ht="22.5" customHeight="1">
      <c r="A15" s="106">
        <v>5</v>
      </c>
      <c r="B15" s="107"/>
      <c r="C15" s="30">
        <f>'قوى عاملة تحفيظ أولي وتكميلي'!G10</f>
        <v>0</v>
      </c>
      <c r="D15" s="30">
        <f>'قوى عاملة تحفيظ أولي وتكميلي'!H10</f>
        <v>0</v>
      </c>
      <c r="E15" s="143">
        <f t="shared" si="0"/>
        <v>0</v>
      </c>
    </row>
    <row r="16" spans="1:5" ht="22.5" customHeight="1" thickBot="1">
      <c r="A16" s="107">
        <v>6</v>
      </c>
      <c r="B16" s="107"/>
      <c r="C16" s="30">
        <f>'قوى عاملة تحفيظ أولي وتكميلي'!G11</f>
        <v>0</v>
      </c>
      <c r="D16" s="30">
        <f>'قوى عاملة تحفيظ أولي وتكميلي'!H11</f>
        <v>0</v>
      </c>
      <c r="E16" s="143">
        <f t="shared" si="0"/>
        <v>0</v>
      </c>
    </row>
    <row r="17" spans="1:5" ht="22.5" customHeight="1">
      <c r="A17" s="106">
        <v>7</v>
      </c>
      <c r="B17" s="107"/>
      <c r="C17" s="30">
        <f>'قوى عاملة تحفيظ أولي وتكميلي'!G12</f>
        <v>0</v>
      </c>
      <c r="D17" s="30">
        <f>'قوى عاملة تحفيظ أولي وتكميلي'!H12</f>
        <v>0</v>
      </c>
      <c r="E17" s="143">
        <f t="shared" si="0"/>
        <v>0</v>
      </c>
    </row>
    <row r="18" spans="1:5" ht="22.5" customHeight="1">
      <c r="A18" s="108">
        <v>8</v>
      </c>
      <c r="B18" s="107"/>
      <c r="C18" s="30">
        <f>'قوى عاملة تحفيظ أولي وتكميلي'!G13</f>
        <v>0</v>
      </c>
      <c r="D18" s="30">
        <f>'قوى عاملة تحفيظ أولي وتكميلي'!H13</f>
        <v>0</v>
      </c>
      <c r="E18" s="143">
        <f t="shared" si="0"/>
        <v>0</v>
      </c>
    </row>
    <row r="19" spans="1:5" ht="22.5" customHeight="1" thickBot="1">
      <c r="A19" s="107">
        <v>9</v>
      </c>
      <c r="B19" s="107"/>
      <c r="C19" s="30">
        <f>'قوى عاملة تحفيظ أولي وتكميلي'!G14</f>
        <v>0</v>
      </c>
      <c r="D19" s="30">
        <f>'قوى عاملة تحفيظ أولي وتكميلي'!H14</f>
        <v>0</v>
      </c>
      <c r="E19" s="143">
        <f t="shared" si="0"/>
        <v>0</v>
      </c>
    </row>
    <row r="20" spans="1:5" ht="22.5" customHeight="1">
      <c r="A20" s="106">
        <v>10</v>
      </c>
      <c r="B20" s="106"/>
      <c r="C20" s="30">
        <f>'قوى عاملة تحفيظ أولي وتكميلي'!G15</f>
        <v>0</v>
      </c>
      <c r="D20" s="30">
        <f>'قوى عاملة تحفيظ أولي وتكميلي'!H15</f>
        <v>0</v>
      </c>
      <c r="E20" s="143">
        <f t="shared" si="0"/>
        <v>0</v>
      </c>
    </row>
    <row r="21" spans="1:5" ht="22.5" customHeight="1" thickBot="1">
      <c r="A21" s="107">
        <v>11</v>
      </c>
      <c r="B21" s="107"/>
      <c r="C21" s="30">
        <f>'قوى عاملة تحفيظ أولي وتكميلي'!G16</f>
        <v>0</v>
      </c>
      <c r="D21" s="30">
        <f>'قوى عاملة تحفيظ أولي وتكميلي'!H16</f>
        <v>0</v>
      </c>
      <c r="E21" s="143">
        <f t="shared" si="0"/>
        <v>0</v>
      </c>
    </row>
    <row r="22" spans="1:5" ht="22.5" customHeight="1">
      <c r="A22" s="106">
        <v>12</v>
      </c>
      <c r="B22" s="107"/>
      <c r="C22" s="30">
        <f>'قوى عاملة تحفيظ أولي وتكميلي'!G17</f>
        <v>0</v>
      </c>
      <c r="D22" s="30">
        <f>'قوى عاملة تحفيظ أولي وتكميلي'!H17</f>
        <v>0</v>
      </c>
      <c r="E22" s="143">
        <f t="shared" si="0"/>
        <v>0</v>
      </c>
    </row>
    <row r="23" spans="1:5" ht="22.5" customHeight="1" thickBot="1">
      <c r="A23" s="107">
        <v>13</v>
      </c>
      <c r="B23" s="107"/>
      <c r="C23" s="30">
        <f>'قوى عاملة تحفيظ أولي وتكميلي'!G18</f>
        <v>0</v>
      </c>
      <c r="D23" s="30">
        <f>'قوى عاملة تحفيظ أولي وتكميلي'!H18</f>
        <v>0</v>
      </c>
      <c r="E23" s="143">
        <f t="shared" si="0"/>
        <v>0</v>
      </c>
    </row>
    <row r="24" spans="1:5" ht="22.5" customHeight="1">
      <c r="A24" s="106">
        <v>14</v>
      </c>
      <c r="B24" s="107"/>
      <c r="C24" s="30">
        <f>'قوى عاملة تحفيظ أولي وتكميلي'!G19</f>
        <v>0</v>
      </c>
      <c r="D24" s="30">
        <f>'قوى عاملة تحفيظ أولي وتكميلي'!H19</f>
        <v>0</v>
      </c>
      <c r="E24" s="143">
        <f t="shared" si="0"/>
        <v>0</v>
      </c>
    </row>
    <row r="25" spans="1:5" ht="22.5" customHeight="1" thickBot="1">
      <c r="A25" s="107">
        <v>15</v>
      </c>
      <c r="B25" s="107"/>
      <c r="C25" s="30">
        <f>'قوى عاملة تحفيظ أولي وتكميلي'!G25</f>
        <v>0</v>
      </c>
      <c r="D25" s="30">
        <f>'قوى عاملة تحفيظ أولي وتكميلي'!H25</f>
        <v>0</v>
      </c>
      <c r="E25" s="143">
        <f t="shared" si="0"/>
        <v>0</v>
      </c>
    </row>
    <row r="26" spans="1:5" ht="22.5" customHeight="1">
      <c r="A26" s="106">
        <v>16</v>
      </c>
      <c r="B26" s="107"/>
      <c r="C26" s="30" t="e">
        <f>'قوى عاملة تحفيظ أولي وتكميلي'!#REF!</f>
        <v>#REF!</v>
      </c>
      <c r="D26" s="30" t="e">
        <f>'قوى عاملة تحفيظ أولي وتكميلي'!#REF!</f>
        <v>#REF!</v>
      </c>
      <c r="E26" s="143" t="e">
        <f t="shared" si="0"/>
        <v>#REF!</v>
      </c>
    </row>
    <row r="27" spans="1:5" ht="22.5" customHeight="1">
      <c r="A27" s="108">
        <v>17</v>
      </c>
      <c r="B27" s="107"/>
      <c r="C27" s="30" t="e">
        <f>'قوى عاملة تحفيظ أولي وتكميلي'!#REF!</f>
        <v>#REF!</v>
      </c>
      <c r="D27" s="30" t="e">
        <f>'قوى عاملة تحفيظ أولي وتكميلي'!#REF!</f>
        <v>#REF!</v>
      </c>
      <c r="E27" s="143" t="e">
        <f t="shared" si="0"/>
        <v>#REF!</v>
      </c>
    </row>
    <row r="28" spans="1:5" ht="22.5" customHeight="1">
      <c r="A28" s="108">
        <v>18</v>
      </c>
      <c r="B28" s="107"/>
      <c r="C28" s="30" t="e">
        <f>'قوى عاملة تحفيظ أولي وتكميلي'!#REF!</f>
        <v>#REF!</v>
      </c>
      <c r="D28" s="30" t="e">
        <f>'قوى عاملة تحفيظ أولي وتكميلي'!#REF!</f>
        <v>#REF!</v>
      </c>
      <c r="E28" s="143" t="e">
        <f t="shared" si="0"/>
        <v>#REF!</v>
      </c>
    </row>
    <row r="29" spans="1:5" ht="22.5" customHeight="1">
      <c r="A29" s="108">
        <v>19</v>
      </c>
      <c r="B29" s="107"/>
      <c r="C29" s="30" t="e">
        <f>'قوى عاملة تحفيظ أولي وتكميلي'!#REF!</f>
        <v>#REF!</v>
      </c>
      <c r="D29" s="30" t="e">
        <f>'قوى عاملة تحفيظ أولي وتكميلي'!#REF!</f>
        <v>#REF!</v>
      </c>
      <c r="E29" s="143" t="e">
        <f t="shared" si="0"/>
        <v>#REF!</v>
      </c>
    </row>
    <row r="30" spans="1:5" ht="22.5" customHeight="1">
      <c r="A30" s="108">
        <v>20</v>
      </c>
      <c r="B30" s="107"/>
      <c r="C30" s="30" t="e">
        <f>'قوى عاملة تحفيظ أولي وتكميلي'!#REF!</f>
        <v>#REF!</v>
      </c>
      <c r="D30" s="30" t="e">
        <f>'قوى عاملة تحفيظ أولي وتكميلي'!#REF!</f>
        <v>#REF!</v>
      </c>
      <c r="E30" s="143" t="e">
        <f t="shared" si="0"/>
        <v>#REF!</v>
      </c>
    </row>
    <row r="31" spans="1:5" ht="22.5" customHeight="1">
      <c r="A31" s="378" t="s">
        <v>13</v>
      </c>
      <c r="B31" s="375"/>
      <c r="C31" s="143" t="e">
        <f>SUM(C11:C30)</f>
        <v>#REF!</v>
      </c>
      <c r="D31" s="143" t="e">
        <f>SUM(D11:D30)</f>
        <v>#REF!</v>
      </c>
      <c r="E31" s="143" t="e">
        <f>SUM(E11:E30)</f>
        <v>#REF!</v>
      </c>
    </row>
  </sheetData>
  <mergeCells count="6">
    <mergeCell ref="E9:E10"/>
    <mergeCell ref="A31:B31"/>
    <mergeCell ref="A9:A10"/>
    <mergeCell ref="B9:B10"/>
    <mergeCell ref="C9:C10"/>
    <mergeCell ref="D9:D10"/>
  </mergeCells>
  <pageMargins left="0.39370078740157483" right="0.70866141732283472" top="1.7716535433070868" bottom="1.7322834645669292" header="0" footer="1.0236220472440944"/>
  <pageSetup paperSize="9" orientation="portrait" r:id="rId1"/>
  <headerFooter scaleWithDoc="0" alignWithMargins="0">
    <oddFooter xml:space="preserve">&amp;L&amp;"-,غامق"&amp;14مدير إدارة التربية والتعليم
 &amp;R&amp;"-,غامق"&amp;14
رئيس قسم التخطيط والاحصاء
   </oddFoot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-0.249977111117893"/>
  </sheetPr>
  <dimension ref="A1:E35"/>
  <sheetViews>
    <sheetView rightToLeft="1" showRuler="0" topLeftCell="A4" zoomScaleNormal="100" workbookViewId="0">
      <selection activeCell="C1" sqref="C1"/>
    </sheetView>
  </sheetViews>
  <sheetFormatPr defaultRowHeight="14.25"/>
  <cols>
    <col min="1" max="1" width="4.75" customWidth="1"/>
    <col min="2" max="4" width="19.375" customWidth="1"/>
    <col min="5" max="5" width="17.875" customWidth="1"/>
    <col min="6" max="6" width="16.375" customWidth="1"/>
  </cols>
  <sheetData>
    <row r="1" spans="1:5" ht="89.25" customHeight="1"/>
    <row r="3" spans="1:5" ht="19.5" customHeight="1" thickBot="1"/>
    <row r="4" spans="1:5" ht="24.75" customHeight="1">
      <c r="A4" s="389" t="s">
        <v>1</v>
      </c>
      <c r="B4" s="391" t="s">
        <v>237</v>
      </c>
      <c r="C4" s="385" t="s">
        <v>9</v>
      </c>
      <c r="D4" s="385" t="s">
        <v>6</v>
      </c>
      <c r="E4" s="385" t="s">
        <v>13</v>
      </c>
    </row>
    <row r="5" spans="1:5" ht="15" customHeight="1" thickBot="1">
      <c r="A5" s="390"/>
      <c r="B5" s="392"/>
      <c r="C5" s="386"/>
      <c r="D5" s="386"/>
      <c r="E5" s="386"/>
    </row>
    <row r="6" spans="1:5" ht="22.5" customHeight="1">
      <c r="A6" s="242">
        <v>1</v>
      </c>
      <c r="B6" s="242" t="s">
        <v>238</v>
      </c>
      <c r="C6" s="243"/>
      <c r="D6" s="243"/>
      <c r="E6" s="244">
        <f>SUM(C6:D6)</f>
        <v>0</v>
      </c>
    </row>
    <row r="7" spans="1:5" ht="22.5" customHeight="1" thickBot="1">
      <c r="A7" s="245">
        <v>2</v>
      </c>
      <c r="B7" s="245" t="s">
        <v>239</v>
      </c>
      <c r="C7" s="243"/>
      <c r="D7" s="243"/>
      <c r="E7" s="244">
        <f t="shared" ref="E7:E30" si="0">SUM(C7:D7)</f>
        <v>0</v>
      </c>
    </row>
    <row r="8" spans="1:5" ht="22.5" customHeight="1">
      <c r="A8" s="242">
        <v>3</v>
      </c>
      <c r="B8" s="245" t="s">
        <v>240</v>
      </c>
      <c r="C8" s="243"/>
      <c r="D8" s="243"/>
      <c r="E8" s="244">
        <f t="shared" si="0"/>
        <v>0</v>
      </c>
    </row>
    <row r="9" spans="1:5" ht="22.5" customHeight="1" thickBot="1">
      <c r="A9" s="245">
        <v>4</v>
      </c>
      <c r="B9" s="245" t="s">
        <v>241</v>
      </c>
      <c r="C9" s="243"/>
      <c r="D9" s="243"/>
      <c r="E9" s="244">
        <f t="shared" si="0"/>
        <v>0</v>
      </c>
    </row>
    <row r="10" spans="1:5" ht="22.5" customHeight="1">
      <c r="A10" s="242">
        <v>5</v>
      </c>
      <c r="B10" s="245" t="s">
        <v>242</v>
      </c>
      <c r="C10" s="243"/>
      <c r="D10" s="243"/>
      <c r="E10" s="244">
        <f t="shared" si="0"/>
        <v>0</v>
      </c>
    </row>
    <row r="11" spans="1:5" ht="22.5" customHeight="1" thickBot="1">
      <c r="A11" s="245">
        <v>6</v>
      </c>
      <c r="B11" s="245" t="s">
        <v>265</v>
      </c>
      <c r="C11" s="243"/>
      <c r="D11" s="243"/>
      <c r="E11" s="244">
        <f t="shared" si="0"/>
        <v>0</v>
      </c>
    </row>
    <row r="12" spans="1:5" ht="22.5" customHeight="1">
      <c r="A12" s="242">
        <v>7</v>
      </c>
      <c r="B12" s="245" t="s">
        <v>264</v>
      </c>
      <c r="C12" s="243"/>
      <c r="D12" s="243"/>
      <c r="E12" s="244">
        <f t="shared" si="0"/>
        <v>0</v>
      </c>
    </row>
    <row r="13" spans="1:5" ht="22.5" customHeight="1">
      <c r="A13" s="246">
        <v>8</v>
      </c>
      <c r="B13" s="245" t="s">
        <v>243</v>
      </c>
      <c r="C13" s="243"/>
      <c r="D13" s="243"/>
      <c r="E13" s="244">
        <f t="shared" si="0"/>
        <v>0</v>
      </c>
    </row>
    <row r="14" spans="1:5" ht="22.5" customHeight="1" thickBot="1">
      <c r="A14" s="245">
        <v>9</v>
      </c>
      <c r="B14" s="245" t="s">
        <v>244</v>
      </c>
      <c r="C14" s="243"/>
      <c r="D14" s="243"/>
      <c r="E14" s="244">
        <f t="shared" si="0"/>
        <v>0</v>
      </c>
    </row>
    <row r="15" spans="1:5" ht="22.5" customHeight="1" thickBot="1">
      <c r="A15" s="242">
        <v>10</v>
      </c>
      <c r="B15" s="245" t="s">
        <v>245</v>
      </c>
      <c r="C15" s="243"/>
      <c r="D15" s="243"/>
      <c r="E15" s="244">
        <f t="shared" si="0"/>
        <v>0</v>
      </c>
    </row>
    <row r="16" spans="1:5" ht="22.5" customHeight="1" thickBot="1">
      <c r="A16" s="245">
        <v>11</v>
      </c>
      <c r="B16" s="242" t="s">
        <v>246</v>
      </c>
      <c r="C16" s="243"/>
      <c r="D16" s="243"/>
      <c r="E16" s="244">
        <f t="shared" si="0"/>
        <v>0</v>
      </c>
    </row>
    <row r="17" spans="1:5" ht="22.5" customHeight="1">
      <c r="A17" s="242">
        <v>12</v>
      </c>
      <c r="B17" s="245" t="s">
        <v>247</v>
      </c>
      <c r="C17" s="243"/>
      <c r="D17" s="243"/>
      <c r="E17" s="244">
        <f t="shared" si="0"/>
        <v>0</v>
      </c>
    </row>
    <row r="18" spans="1:5" ht="22.5" customHeight="1" thickBot="1">
      <c r="A18" s="245">
        <v>13</v>
      </c>
      <c r="B18" s="245" t="s">
        <v>248</v>
      </c>
      <c r="C18" s="243"/>
      <c r="D18" s="243"/>
      <c r="E18" s="244">
        <f t="shared" si="0"/>
        <v>0</v>
      </c>
    </row>
    <row r="19" spans="1:5" ht="22.5" customHeight="1">
      <c r="A19" s="242">
        <v>14</v>
      </c>
      <c r="B19" s="245" t="s">
        <v>249</v>
      </c>
      <c r="C19" s="243"/>
      <c r="D19" s="243"/>
      <c r="E19" s="244">
        <f t="shared" si="0"/>
        <v>0</v>
      </c>
    </row>
    <row r="20" spans="1:5" ht="22.5" customHeight="1" thickBot="1">
      <c r="A20" s="245">
        <v>15</v>
      </c>
      <c r="B20" s="245" t="s">
        <v>250</v>
      </c>
      <c r="C20" s="243"/>
      <c r="D20" s="243"/>
      <c r="E20" s="244">
        <f t="shared" si="0"/>
        <v>0</v>
      </c>
    </row>
    <row r="21" spans="1:5" ht="22.5" customHeight="1">
      <c r="A21" s="242">
        <v>16</v>
      </c>
      <c r="B21" s="245" t="s">
        <v>251</v>
      </c>
      <c r="C21" s="243"/>
      <c r="D21" s="243"/>
      <c r="E21" s="244">
        <f t="shared" si="0"/>
        <v>0</v>
      </c>
    </row>
    <row r="22" spans="1:5" ht="22.5" customHeight="1">
      <c r="A22" s="246">
        <v>17</v>
      </c>
      <c r="B22" s="245" t="s">
        <v>252</v>
      </c>
      <c r="C22" s="243"/>
      <c r="D22" s="243"/>
      <c r="E22" s="244">
        <f t="shared" si="0"/>
        <v>0</v>
      </c>
    </row>
    <row r="23" spans="1:5" ht="22.5" customHeight="1">
      <c r="A23" s="246">
        <v>18</v>
      </c>
      <c r="B23" s="245" t="s">
        <v>253</v>
      </c>
      <c r="C23" s="243"/>
      <c r="D23" s="243"/>
      <c r="E23" s="244">
        <f t="shared" si="0"/>
        <v>0</v>
      </c>
    </row>
    <row r="24" spans="1:5" ht="22.5" customHeight="1">
      <c r="A24" s="246">
        <v>19</v>
      </c>
      <c r="B24" s="245" t="s">
        <v>254</v>
      </c>
      <c r="C24" s="243"/>
      <c r="D24" s="243"/>
      <c r="E24" s="244">
        <f t="shared" si="0"/>
        <v>0</v>
      </c>
    </row>
    <row r="25" spans="1:5" ht="22.5" customHeight="1">
      <c r="A25" s="246">
        <v>20</v>
      </c>
      <c r="B25" s="245" t="s">
        <v>255</v>
      </c>
      <c r="C25" s="243"/>
      <c r="D25" s="243"/>
      <c r="E25" s="244">
        <f t="shared" si="0"/>
        <v>0</v>
      </c>
    </row>
    <row r="26" spans="1:5" ht="22.5" customHeight="1">
      <c r="A26" s="249">
        <v>21</v>
      </c>
      <c r="B26" s="249" t="s">
        <v>256</v>
      </c>
      <c r="C26" s="243"/>
      <c r="D26" s="243"/>
      <c r="E26" s="244">
        <f t="shared" si="0"/>
        <v>0</v>
      </c>
    </row>
    <row r="27" spans="1:5" ht="22.5" customHeight="1">
      <c r="A27" s="250">
        <v>22</v>
      </c>
      <c r="B27" s="249" t="s">
        <v>257</v>
      </c>
      <c r="C27" s="243"/>
      <c r="D27" s="243"/>
      <c r="E27" s="244">
        <f t="shared" si="0"/>
        <v>0</v>
      </c>
    </row>
    <row r="28" spans="1:5" ht="22.5" customHeight="1">
      <c r="A28" s="250">
        <v>23</v>
      </c>
      <c r="B28" s="249" t="s">
        <v>258</v>
      </c>
      <c r="C28" s="243"/>
      <c r="D28" s="243"/>
      <c r="E28" s="244">
        <f t="shared" si="0"/>
        <v>0</v>
      </c>
    </row>
    <row r="29" spans="1:5" ht="22.5" customHeight="1">
      <c r="A29" s="250">
        <v>24</v>
      </c>
      <c r="B29" s="249" t="s">
        <v>259</v>
      </c>
      <c r="C29" s="243"/>
      <c r="D29" s="243"/>
      <c r="E29" s="244">
        <f t="shared" si="0"/>
        <v>0</v>
      </c>
    </row>
    <row r="30" spans="1:5" ht="22.5" customHeight="1">
      <c r="A30" s="250"/>
      <c r="B30" s="249"/>
      <c r="C30" s="243"/>
      <c r="D30" s="243"/>
      <c r="E30" s="244">
        <f t="shared" si="0"/>
        <v>0</v>
      </c>
    </row>
    <row r="31" spans="1:5" ht="22.5" customHeight="1">
      <c r="A31" s="387" t="s">
        <v>13</v>
      </c>
      <c r="B31" s="388"/>
      <c r="C31" s="244">
        <f>SUM(C6:C30)</f>
        <v>0</v>
      </c>
      <c r="D31" s="244">
        <f t="shared" ref="D31" si="1">SUM(D6:D30)</f>
        <v>0</v>
      </c>
      <c r="E31" s="244">
        <f>SUM(E6:E30)</f>
        <v>0</v>
      </c>
    </row>
    <row r="35" spans="2:4" ht="20.25">
      <c r="B35" s="251" t="s">
        <v>266</v>
      </c>
      <c r="D35" s="251" t="s">
        <v>268</v>
      </c>
    </row>
  </sheetData>
  <mergeCells count="6">
    <mergeCell ref="E4:E5"/>
    <mergeCell ref="A31:B31"/>
    <mergeCell ref="A4:A5"/>
    <mergeCell ref="B4:B5"/>
    <mergeCell ref="C4:C5"/>
    <mergeCell ref="D4:D5"/>
  </mergeCells>
  <pageMargins left="0.39370078740157483" right="0.70866141732283472" top="1.1811023622047245" bottom="0" header="0.31496062992125984" footer="0"/>
  <pageSetup paperSize="9" orientation="portrait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14999847407452621"/>
  </sheetPr>
  <dimension ref="A1:L8"/>
  <sheetViews>
    <sheetView rightToLeft="1" zoomScaleNormal="100" zoomScaleSheetLayoutView="85" workbookViewId="0">
      <selection activeCell="B4" sqref="A4:XFD4"/>
    </sheetView>
  </sheetViews>
  <sheetFormatPr defaultColWidth="9" defaultRowHeight="14.25"/>
  <cols>
    <col min="1" max="1" width="16.375" style="33" customWidth="1"/>
    <col min="2" max="2" width="10.375" style="33" customWidth="1"/>
    <col min="3" max="3" width="10.25" style="33" bestFit="1" customWidth="1"/>
    <col min="4" max="4" width="9.5" style="33" customWidth="1"/>
    <col min="5" max="5" width="10.25" style="33" bestFit="1" customWidth="1"/>
    <col min="6" max="6" width="10.375" style="33" customWidth="1"/>
    <col min="7" max="7" width="10.25" style="33" bestFit="1" customWidth="1"/>
    <col min="8" max="8" width="11" style="33" bestFit="1" customWidth="1"/>
    <col min="9" max="9" width="10.25" style="33" bestFit="1" customWidth="1"/>
    <col min="10" max="10" width="8.5" style="33" customWidth="1"/>
    <col min="11" max="11" width="7.375" style="33" customWidth="1"/>
    <col min="12" max="12" width="7.75" style="33" bestFit="1" customWidth="1"/>
    <col min="13" max="16384" width="9" style="33"/>
  </cols>
  <sheetData>
    <row r="1" spans="1:12" ht="60" customHeight="1" thickTop="1">
      <c r="A1" s="144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 ht="49.5" customHeight="1"/>
    <row r="3" spans="1:12" ht="60" customHeight="1">
      <c r="A3" s="393" t="s">
        <v>78</v>
      </c>
      <c r="B3" s="396" t="s">
        <v>235</v>
      </c>
      <c r="C3" s="397"/>
      <c r="D3" s="396" t="s">
        <v>116</v>
      </c>
      <c r="E3" s="397"/>
      <c r="F3" s="396" t="s">
        <v>115</v>
      </c>
      <c r="G3" s="397"/>
      <c r="H3" s="396" t="s">
        <v>129</v>
      </c>
      <c r="I3" s="397"/>
      <c r="J3" s="396" t="s">
        <v>10</v>
      </c>
      <c r="K3" s="397"/>
      <c r="L3" s="395" t="s">
        <v>292</v>
      </c>
    </row>
    <row r="4" spans="1:12" ht="60" customHeight="1">
      <c r="A4" s="394"/>
      <c r="B4" s="141" t="s">
        <v>9</v>
      </c>
      <c r="C4" s="142" t="s">
        <v>6</v>
      </c>
      <c r="D4" s="141" t="s">
        <v>9</v>
      </c>
      <c r="E4" s="142" t="s">
        <v>6</v>
      </c>
      <c r="F4" s="141" t="s">
        <v>9</v>
      </c>
      <c r="G4" s="142" t="s">
        <v>6</v>
      </c>
      <c r="H4" s="141" t="s">
        <v>9</v>
      </c>
      <c r="I4" s="142" t="s">
        <v>6</v>
      </c>
      <c r="J4" s="141" t="s">
        <v>9</v>
      </c>
      <c r="K4" s="142" t="s">
        <v>6</v>
      </c>
      <c r="L4" s="395"/>
    </row>
    <row r="5" spans="1:12" ht="60" customHeight="1">
      <c r="A5" s="155"/>
      <c r="B5" s="141"/>
      <c r="C5" s="142"/>
      <c r="D5" s="141"/>
      <c r="E5" s="142"/>
      <c r="F5" s="141"/>
      <c r="G5" s="142"/>
      <c r="H5" s="141"/>
      <c r="I5" s="142"/>
      <c r="J5" s="141"/>
      <c r="K5" s="142"/>
      <c r="L5" s="152"/>
    </row>
    <row r="8" spans="1:12" ht="18">
      <c r="B8" s="252" t="s">
        <v>203</v>
      </c>
      <c r="I8" s="252" t="s">
        <v>267</v>
      </c>
    </row>
  </sheetData>
  <mergeCells count="7">
    <mergeCell ref="A3:A4"/>
    <mergeCell ref="L3:L4"/>
    <mergeCell ref="B3:C3"/>
    <mergeCell ref="D3:E3"/>
    <mergeCell ref="F3:G3"/>
    <mergeCell ref="H3:I3"/>
    <mergeCell ref="J3:K3"/>
  </mergeCells>
  <pageMargins left="0.70866141732283472" right="0.70866141732283472" top="1.5354330708661419" bottom="1.1417322834645669" header="0.19685039370078741" footer="0.51181102362204722"/>
  <pageSetup paperSize="9" scale="83" fitToHeight="0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85B5-4C10-40E7-91F4-310967DABCE9}">
  <sheetPr>
    <tabColor theme="6" tint="0.39997558519241921"/>
  </sheetPr>
  <dimension ref="B1:I31"/>
  <sheetViews>
    <sheetView rightToLeft="1" workbookViewId="0">
      <selection activeCell="C8" sqref="C8"/>
    </sheetView>
  </sheetViews>
  <sheetFormatPr defaultRowHeight="14.25"/>
  <cols>
    <col min="2" max="2" width="4.75" customWidth="1"/>
    <col min="3" max="3" width="19.375" customWidth="1"/>
    <col min="4" max="4" width="8" customWidth="1"/>
    <col min="5" max="5" width="7.5" customWidth="1"/>
    <col min="6" max="6" width="8.75" customWidth="1"/>
    <col min="7" max="8" width="8.125" customWidth="1"/>
    <col min="9" max="9" width="8.75" customWidth="1"/>
    <col min="10" max="10" width="16.375" customWidth="1"/>
  </cols>
  <sheetData>
    <row r="1" spans="2:9" ht="72" customHeight="1"/>
    <row r="4" spans="2:9" ht="15" thickBot="1"/>
    <row r="5" spans="2:9" ht="30.75" customHeight="1" thickBot="1">
      <c r="B5" s="487" t="s">
        <v>1</v>
      </c>
      <c r="C5" s="477" t="s">
        <v>262</v>
      </c>
      <c r="D5" s="482" t="s">
        <v>351</v>
      </c>
      <c r="E5" s="482"/>
      <c r="F5" s="483" t="s">
        <v>354</v>
      </c>
      <c r="G5" s="485" t="s">
        <v>353</v>
      </c>
      <c r="H5" s="485"/>
      <c r="I5" s="483" t="s">
        <v>352</v>
      </c>
    </row>
    <row r="6" spans="2:9" ht="12" customHeight="1" thickBot="1">
      <c r="B6" s="488"/>
      <c r="C6" s="478"/>
      <c r="D6" s="484" t="s">
        <v>9</v>
      </c>
      <c r="E6" s="484" t="s">
        <v>6</v>
      </c>
      <c r="F6" s="483"/>
      <c r="G6" s="484" t="s">
        <v>9</v>
      </c>
      <c r="H6" s="484" t="s">
        <v>6</v>
      </c>
      <c r="I6" s="483"/>
    </row>
    <row r="7" spans="2:9" ht="11.25" customHeight="1" thickBot="1">
      <c r="B7" s="489"/>
      <c r="C7" s="479"/>
      <c r="D7" s="484"/>
      <c r="E7" s="484"/>
      <c r="F7" s="483"/>
      <c r="G7" s="484"/>
      <c r="H7" s="484"/>
      <c r="I7" s="483"/>
    </row>
    <row r="8" spans="2:9" ht="18">
      <c r="B8" s="4">
        <v>1</v>
      </c>
      <c r="C8" s="31"/>
      <c r="D8" s="481"/>
      <c r="E8" s="32"/>
      <c r="F8" s="486">
        <f>D8+E8</f>
        <v>0</v>
      </c>
      <c r="G8" s="32"/>
      <c r="H8" s="32"/>
      <c r="I8" s="480">
        <f>G8+H8</f>
        <v>0</v>
      </c>
    </row>
    <row r="9" spans="2:9" ht="18.75" thickBot="1">
      <c r="B9" s="6">
        <v>2</v>
      </c>
      <c r="C9" s="70"/>
      <c r="D9" s="71"/>
      <c r="E9" s="32"/>
      <c r="F9" s="486">
        <f t="shared" ref="F9:F27" si="0">D9+E9</f>
        <v>0</v>
      </c>
      <c r="G9" s="32"/>
      <c r="H9" s="32"/>
      <c r="I9" s="480">
        <f t="shared" ref="I9:I27" si="1">G9+H9</f>
        <v>0</v>
      </c>
    </row>
    <row r="10" spans="2:9" ht="18">
      <c r="B10" s="4">
        <v>3</v>
      </c>
      <c r="C10" s="70"/>
      <c r="D10" s="71"/>
      <c r="E10" s="32"/>
      <c r="F10" s="486">
        <f t="shared" si="0"/>
        <v>0</v>
      </c>
      <c r="G10" s="32"/>
      <c r="H10" s="32"/>
      <c r="I10" s="480">
        <f t="shared" si="1"/>
        <v>0</v>
      </c>
    </row>
    <row r="11" spans="2:9" ht="18.75" thickBot="1">
      <c r="B11" s="6">
        <v>4</v>
      </c>
      <c r="C11" s="70"/>
      <c r="D11" s="71"/>
      <c r="E11" s="32"/>
      <c r="F11" s="486">
        <f t="shared" si="0"/>
        <v>0</v>
      </c>
      <c r="G11" s="32"/>
      <c r="H11" s="32"/>
      <c r="I11" s="480">
        <f t="shared" si="1"/>
        <v>0</v>
      </c>
    </row>
    <row r="12" spans="2:9" ht="18">
      <c r="B12" s="4">
        <v>5</v>
      </c>
      <c r="C12" s="70"/>
      <c r="D12" s="71"/>
      <c r="E12" s="32"/>
      <c r="F12" s="486">
        <f t="shared" si="0"/>
        <v>0</v>
      </c>
      <c r="G12" s="32"/>
      <c r="H12" s="32"/>
      <c r="I12" s="480">
        <f t="shared" si="1"/>
        <v>0</v>
      </c>
    </row>
    <row r="13" spans="2:9" ht="18.75" thickBot="1">
      <c r="B13" s="6">
        <v>6</v>
      </c>
      <c r="C13" s="70"/>
      <c r="D13" s="71"/>
      <c r="E13" s="32"/>
      <c r="F13" s="486">
        <f t="shared" si="0"/>
        <v>0</v>
      </c>
      <c r="G13" s="32"/>
      <c r="H13" s="32"/>
      <c r="I13" s="480">
        <f t="shared" si="1"/>
        <v>0</v>
      </c>
    </row>
    <row r="14" spans="2:9" ht="18">
      <c r="B14" s="4">
        <v>7</v>
      </c>
      <c r="C14" s="70"/>
      <c r="D14" s="71"/>
      <c r="E14" s="32"/>
      <c r="F14" s="486">
        <f t="shared" si="0"/>
        <v>0</v>
      </c>
      <c r="G14" s="32"/>
      <c r="H14" s="32"/>
      <c r="I14" s="480">
        <f t="shared" si="1"/>
        <v>0</v>
      </c>
    </row>
    <row r="15" spans="2:9" ht="18">
      <c r="B15" s="26">
        <v>8</v>
      </c>
      <c r="C15" s="70"/>
      <c r="D15" s="71"/>
      <c r="E15" s="32"/>
      <c r="F15" s="486">
        <f t="shared" si="0"/>
        <v>0</v>
      </c>
      <c r="G15" s="32"/>
      <c r="H15" s="32"/>
      <c r="I15" s="480">
        <f t="shared" si="1"/>
        <v>0</v>
      </c>
    </row>
    <row r="16" spans="2:9" ht="18.75" thickBot="1">
      <c r="B16" s="6">
        <v>9</v>
      </c>
      <c r="C16" s="70"/>
      <c r="D16" s="71"/>
      <c r="E16" s="32"/>
      <c r="F16" s="486">
        <f t="shared" si="0"/>
        <v>0</v>
      </c>
      <c r="G16" s="32"/>
      <c r="H16" s="32"/>
      <c r="I16" s="480">
        <f t="shared" si="1"/>
        <v>0</v>
      </c>
    </row>
    <row r="17" spans="2:9" ht="18">
      <c r="B17" s="4">
        <v>10</v>
      </c>
      <c r="C17" s="31"/>
      <c r="D17" s="71"/>
      <c r="E17" s="32"/>
      <c r="F17" s="486">
        <f t="shared" si="0"/>
        <v>0</v>
      </c>
      <c r="G17" s="32"/>
      <c r="H17" s="32"/>
      <c r="I17" s="480">
        <f t="shared" si="1"/>
        <v>0</v>
      </c>
    </row>
    <row r="18" spans="2:9" ht="18.75" thickBot="1">
      <c r="B18" s="6">
        <v>11</v>
      </c>
      <c r="C18" s="70"/>
      <c r="D18" s="71"/>
      <c r="E18" s="32"/>
      <c r="F18" s="486">
        <f t="shared" si="0"/>
        <v>0</v>
      </c>
      <c r="G18" s="32"/>
      <c r="H18" s="32"/>
      <c r="I18" s="480">
        <f t="shared" si="1"/>
        <v>0</v>
      </c>
    </row>
    <row r="19" spans="2:9" ht="18">
      <c r="B19" s="4">
        <v>12</v>
      </c>
      <c r="C19" s="70"/>
      <c r="D19" s="71"/>
      <c r="E19" s="32"/>
      <c r="F19" s="486">
        <f t="shared" si="0"/>
        <v>0</v>
      </c>
      <c r="G19" s="32"/>
      <c r="H19" s="32"/>
      <c r="I19" s="480">
        <f t="shared" si="1"/>
        <v>0</v>
      </c>
    </row>
    <row r="20" spans="2:9" ht="18.75" thickBot="1">
      <c r="B20" s="6">
        <v>13</v>
      </c>
      <c r="C20" s="70"/>
      <c r="D20" s="71"/>
      <c r="E20" s="32"/>
      <c r="F20" s="486">
        <f t="shared" si="0"/>
        <v>0</v>
      </c>
      <c r="G20" s="32"/>
      <c r="H20" s="32"/>
      <c r="I20" s="480">
        <f t="shared" si="1"/>
        <v>0</v>
      </c>
    </row>
    <row r="21" spans="2:9" ht="18">
      <c r="B21" s="4">
        <v>14</v>
      </c>
      <c r="C21" s="70"/>
      <c r="D21" s="71"/>
      <c r="E21" s="32"/>
      <c r="F21" s="486">
        <f t="shared" si="0"/>
        <v>0</v>
      </c>
      <c r="G21" s="32"/>
      <c r="H21" s="32"/>
      <c r="I21" s="480">
        <f t="shared" si="1"/>
        <v>0</v>
      </c>
    </row>
    <row r="22" spans="2:9" ht="18.75" thickBot="1">
      <c r="B22" s="6">
        <v>15</v>
      </c>
      <c r="C22" s="70"/>
      <c r="D22" s="71"/>
      <c r="E22" s="32"/>
      <c r="F22" s="486">
        <f t="shared" si="0"/>
        <v>0</v>
      </c>
      <c r="G22" s="32"/>
      <c r="H22" s="32"/>
      <c r="I22" s="480">
        <f t="shared" si="1"/>
        <v>0</v>
      </c>
    </row>
    <row r="23" spans="2:9" ht="18">
      <c r="B23" s="4">
        <v>16</v>
      </c>
      <c r="C23" s="70"/>
      <c r="D23" s="71"/>
      <c r="E23" s="32"/>
      <c r="F23" s="486">
        <f t="shared" si="0"/>
        <v>0</v>
      </c>
      <c r="G23" s="32"/>
      <c r="H23" s="32"/>
      <c r="I23" s="480">
        <f t="shared" si="1"/>
        <v>0</v>
      </c>
    </row>
    <row r="24" spans="2:9" ht="18">
      <c r="B24" s="26">
        <v>17</v>
      </c>
      <c r="C24" s="70"/>
      <c r="D24" s="71"/>
      <c r="E24" s="32"/>
      <c r="F24" s="486">
        <f t="shared" si="0"/>
        <v>0</v>
      </c>
      <c r="G24" s="32"/>
      <c r="H24" s="32"/>
      <c r="I24" s="480">
        <f t="shared" si="1"/>
        <v>0</v>
      </c>
    </row>
    <row r="25" spans="2:9" ht="18">
      <c r="B25" s="26">
        <v>18</v>
      </c>
      <c r="C25" s="70"/>
      <c r="D25" s="71"/>
      <c r="E25" s="32"/>
      <c r="F25" s="486">
        <f t="shared" si="0"/>
        <v>0</v>
      </c>
      <c r="G25" s="32"/>
      <c r="H25" s="32"/>
      <c r="I25" s="480">
        <f t="shared" si="1"/>
        <v>0</v>
      </c>
    </row>
    <row r="26" spans="2:9" ht="18">
      <c r="B26" s="26">
        <v>19</v>
      </c>
      <c r="C26" s="70"/>
      <c r="D26" s="71"/>
      <c r="E26" s="32"/>
      <c r="F26" s="486">
        <f t="shared" si="0"/>
        <v>0</v>
      </c>
      <c r="G26" s="32"/>
      <c r="H26" s="32"/>
      <c r="I26" s="480">
        <f t="shared" si="1"/>
        <v>0</v>
      </c>
    </row>
    <row r="27" spans="2:9" ht="18">
      <c r="B27" s="26">
        <v>20</v>
      </c>
      <c r="C27" s="70"/>
      <c r="D27" s="71"/>
      <c r="E27" s="32"/>
      <c r="F27" s="486">
        <f t="shared" si="0"/>
        <v>0</v>
      </c>
      <c r="G27" s="32"/>
      <c r="H27" s="32"/>
      <c r="I27" s="480">
        <f t="shared" si="1"/>
        <v>0</v>
      </c>
    </row>
    <row r="28" spans="2:9" ht="19.5" customHeight="1">
      <c r="B28" s="398" t="s">
        <v>13</v>
      </c>
      <c r="C28" s="399"/>
      <c r="D28" s="2">
        <f>SUM(D8:D27)</f>
        <v>0</v>
      </c>
      <c r="E28" s="2">
        <f>SUM(E8:E27)</f>
        <v>0</v>
      </c>
      <c r="F28" s="480">
        <f>D28+E28</f>
        <v>0</v>
      </c>
      <c r="G28" s="480">
        <f>SUM(G8:G27)</f>
        <v>0</v>
      </c>
      <c r="H28" s="480">
        <f>SUM(H8:H27)</f>
        <v>0</v>
      </c>
      <c r="I28" s="480">
        <f>SUM(I8:I27)</f>
        <v>0</v>
      </c>
    </row>
    <row r="30" spans="2:9" ht="18">
      <c r="B30" s="320" t="s">
        <v>203</v>
      </c>
      <c r="C30" s="320"/>
      <c r="D30" s="28"/>
      <c r="E30" s="320" t="s">
        <v>204</v>
      </c>
      <c r="F30" s="320"/>
      <c r="G30" s="320"/>
      <c r="H30" s="320"/>
      <c r="I30" s="320"/>
    </row>
    <row r="31" spans="2:9" ht="18">
      <c r="B31" s="28"/>
      <c r="C31" s="28"/>
      <c r="D31" s="28"/>
      <c r="I31" s="28"/>
    </row>
  </sheetData>
  <mergeCells count="13">
    <mergeCell ref="B28:C28"/>
    <mergeCell ref="B30:C30"/>
    <mergeCell ref="E30:I30"/>
    <mergeCell ref="B5:B7"/>
    <mergeCell ref="C5:C7"/>
    <mergeCell ref="D5:E5"/>
    <mergeCell ref="F5:F7"/>
    <mergeCell ref="G5:H5"/>
    <mergeCell ref="I5:I7"/>
    <mergeCell ref="D6:D7"/>
    <mergeCell ref="E6:E7"/>
    <mergeCell ref="G6:G7"/>
    <mergeCell ref="H6:H7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E2BE-AD11-4C76-A34F-FCB82FD5F189}">
  <sheetPr>
    <tabColor theme="6" tint="0.39997558519241921"/>
  </sheetPr>
  <dimension ref="B1:I31"/>
  <sheetViews>
    <sheetView rightToLeft="1" tabSelected="1" workbookViewId="0">
      <selection activeCell="H13" sqref="H13"/>
    </sheetView>
  </sheetViews>
  <sheetFormatPr defaultRowHeight="14.25"/>
  <cols>
    <col min="2" max="2" width="4.75" customWidth="1"/>
    <col min="3" max="3" width="19.375" customWidth="1"/>
    <col min="4" max="4" width="8" customWidth="1"/>
    <col min="5" max="5" width="7.5" customWidth="1"/>
    <col min="6" max="6" width="8.75" customWidth="1"/>
    <col min="7" max="8" width="8.125" customWidth="1"/>
    <col min="9" max="9" width="8.75" customWidth="1"/>
    <col min="10" max="10" width="16.375" customWidth="1"/>
  </cols>
  <sheetData>
    <row r="1" spans="2:9" ht="72" customHeight="1"/>
    <row r="4" spans="2:9" ht="15" thickBot="1"/>
    <row r="5" spans="2:9" ht="30.75" customHeight="1" thickBot="1">
      <c r="B5" s="487" t="s">
        <v>1</v>
      </c>
      <c r="C5" s="477" t="s">
        <v>262</v>
      </c>
      <c r="D5" s="482" t="s">
        <v>351</v>
      </c>
      <c r="E5" s="482"/>
      <c r="F5" s="483" t="s">
        <v>354</v>
      </c>
      <c r="G5" s="485" t="s">
        <v>353</v>
      </c>
      <c r="H5" s="485"/>
      <c r="I5" s="483" t="s">
        <v>352</v>
      </c>
    </row>
    <row r="6" spans="2:9" ht="12" customHeight="1" thickBot="1">
      <c r="B6" s="488"/>
      <c r="C6" s="478"/>
      <c r="D6" s="484" t="s">
        <v>9</v>
      </c>
      <c r="E6" s="484" t="s">
        <v>6</v>
      </c>
      <c r="F6" s="483"/>
      <c r="G6" s="484" t="s">
        <v>9</v>
      </c>
      <c r="H6" s="484" t="s">
        <v>6</v>
      </c>
      <c r="I6" s="483"/>
    </row>
    <row r="7" spans="2:9" ht="11.25" customHeight="1" thickBot="1">
      <c r="B7" s="489"/>
      <c r="C7" s="479"/>
      <c r="D7" s="484"/>
      <c r="E7" s="484"/>
      <c r="F7" s="483"/>
      <c r="G7" s="484"/>
      <c r="H7" s="484"/>
      <c r="I7" s="483"/>
    </row>
    <row r="8" spans="2:9" ht="18">
      <c r="B8" s="4">
        <v>1</v>
      </c>
      <c r="C8" s="31"/>
      <c r="D8" s="481"/>
      <c r="E8" s="32"/>
      <c r="F8" s="486">
        <f>D8+E8</f>
        <v>0</v>
      </c>
      <c r="G8" s="32"/>
      <c r="H8" s="32"/>
      <c r="I8" s="480">
        <f>G8+H8</f>
        <v>0</v>
      </c>
    </row>
    <row r="9" spans="2:9" ht="18.75" thickBot="1">
      <c r="B9" s="6">
        <v>2</v>
      </c>
      <c r="C9" s="70"/>
      <c r="D9" s="71"/>
      <c r="E9" s="32"/>
      <c r="F9" s="486">
        <f t="shared" ref="F9:F27" si="0">D9+E9</f>
        <v>0</v>
      </c>
      <c r="G9" s="32"/>
      <c r="H9" s="32"/>
      <c r="I9" s="480">
        <f t="shared" ref="I9:I27" si="1">G9+H9</f>
        <v>0</v>
      </c>
    </row>
    <row r="10" spans="2:9" ht="18">
      <c r="B10" s="4">
        <v>3</v>
      </c>
      <c r="C10" s="70"/>
      <c r="D10" s="71"/>
      <c r="E10" s="32"/>
      <c r="F10" s="486">
        <f t="shared" si="0"/>
        <v>0</v>
      </c>
      <c r="G10" s="32"/>
      <c r="H10" s="32"/>
      <c r="I10" s="480">
        <f t="shared" si="1"/>
        <v>0</v>
      </c>
    </row>
    <row r="11" spans="2:9" ht="18.75" thickBot="1">
      <c r="B11" s="6">
        <v>4</v>
      </c>
      <c r="C11" s="70"/>
      <c r="D11" s="71"/>
      <c r="E11" s="32"/>
      <c r="F11" s="486">
        <f t="shared" si="0"/>
        <v>0</v>
      </c>
      <c r="G11" s="32"/>
      <c r="H11" s="32"/>
      <c r="I11" s="480">
        <f t="shared" si="1"/>
        <v>0</v>
      </c>
    </row>
    <row r="12" spans="2:9" ht="18">
      <c r="B12" s="4">
        <v>5</v>
      </c>
      <c r="C12" s="70"/>
      <c r="D12" s="71"/>
      <c r="E12" s="32"/>
      <c r="F12" s="486">
        <f t="shared" si="0"/>
        <v>0</v>
      </c>
      <c r="G12" s="32"/>
      <c r="H12" s="32"/>
      <c r="I12" s="480">
        <f t="shared" si="1"/>
        <v>0</v>
      </c>
    </row>
    <row r="13" spans="2:9" ht="18.75" thickBot="1">
      <c r="B13" s="6">
        <v>6</v>
      </c>
      <c r="C13" s="70"/>
      <c r="D13" s="71"/>
      <c r="E13" s="32"/>
      <c r="F13" s="486">
        <f t="shared" si="0"/>
        <v>0</v>
      </c>
      <c r="G13" s="32"/>
      <c r="H13" s="32"/>
      <c r="I13" s="480">
        <f t="shared" si="1"/>
        <v>0</v>
      </c>
    </row>
    <row r="14" spans="2:9" ht="18">
      <c r="B14" s="4">
        <v>7</v>
      </c>
      <c r="C14" s="70"/>
      <c r="D14" s="71"/>
      <c r="E14" s="32"/>
      <c r="F14" s="486">
        <f t="shared" si="0"/>
        <v>0</v>
      </c>
      <c r="G14" s="32"/>
      <c r="H14" s="32"/>
      <c r="I14" s="480">
        <f t="shared" si="1"/>
        <v>0</v>
      </c>
    </row>
    <row r="15" spans="2:9" ht="18">
      <c r="B15" s="26">
        <v>8</v>
      </c>
      <c r="C15" s="70"/>
      <c r="D15" s="71"/>
      <c r="E15" s="32"/>
      <c r="F15" s="486">
        <f t="shared" si="0"/>
        <v>0</v>
      </c>
      <c r="G15" s="32"/>
      <c r="H15" s="32"/>
      <c r="I15" s="480">
        <f t="shared" si="1"/>
        <v>0</v>
      </c>
    </row>
    <row r="16" spans="2:9" ht="18.75" thickBot="1">
      <c r="B16" s="6">
        <v>9</v>
      </c>
      <c r="C16" s="70"/>
      <c r="D16" s="71"/>
      <c r="E16" s="32"/>
      <c r="F16" s="486">
        <f t="shared" si="0"/>
        <v>0</v>
      </c>
      <c r="G16" s="32"/>
      <c r="H16" s="32"/>
      <c r="I16" s="480">
        <f t="shared" si="1"/>
        <v>0</v>
      </c>
    </row>
    <row r="17" spans="2:9" ht="18">
      <c r="B17" s="4">
        <v>10</v>
      </c>
      <c r="C17" s="31"/>
      <c r="D17" s="71"/>
      <c r="E17" s="32"/>
      <c r="F17" s="486">
        <f t="shared" si="0"/>
        <v>0</v>
      </c>
      <c r="G17" s="32"/>
      <c r="H17" s="32"/>
      <c r="I17" s="480">
        <f t="shared" si="1"/>
        <v>0</v>
      </c>
    </row>
    <row r="18" spans="2:9" ht="18.75" thickBot="1">
      <c r="B18" s="6">
        <v>11</v>
      </c>
      <c r="C18" s="70"/>
      <c r="D18" s="71"/>
      <c r="E18" s="32"/>
      <c r="F18" s="486">
        <f t="shared" si="0"/>
        <v>0</v>
      </c>
      <c r="G18" s="32"/>
      <c r="H18" s="32"/>
      <c r="I18" s="480">
        <f t="shared" si="1"/>
        <v>0</v>
      </c>
    </row>
    <row r="19" spans="2:9" ht="18">
      <c r="B19" s="4">
        <v>12</v>
      </c>
      <c r="C19" s="70"/>
      <c r="D19" s="71"/>
      <c r="E19" s="32"/>
      <c r="F19" s="486">
        <f t="shared" si="0"/>
        <v>0</v>
      </c>
      <c r="G19" s="32"/>
      <c r="H19" s="32"/>
      <c r="I19" s="480">
        <f t="shared" si="1"/>
        <v>0</v>
      </c>
    </row>
    <row r="20" spans="2:9" ht="18.75" thickBot="1">
      <c r="B20" s="6">
        <v>13</v>
      </c>
      <c r="C20" s="70"/>
      <c r="D20" s="71"/>
      <c r="E20" s="32"/>
      <c r="F20" s="486">
        <f t="shared" si="0"/>
        <v>0</v>
      </c>
      <c r="G20" s="32"/>
      <c r="H20" s="32"/>
      <c r="I20" s="480">
        <f t="shared" si="1"/>
        <v>0</v>
      </c>
    </row>
    <row r="21" spans="2:9" ht="18">
      <c r="B21" s="4">
        <v>14</v>
      </c>
      <c r="C21" s="70"/>
      <c r="D21" s="71"/>
      <c r="E21" s="32"/>
      <c r="F21" s="486">
        <f t="shared" si="0"/>
        <v>0</v>
      </c>
      <c r="G21" s="32"/>
      <c r="H21" s="32"/>
      <c r="I21" s="480">
        <f t="shared" si="1"/>
        <v>0</v>
      </c>
    </row>
    <row r="22" spans="2:9" ht="18.75" thickBot="1">
      <c r="B22" s="6">
        <v>15</v>
      </c>
      <c r="C22" s="70"/>
      <c r="D22" s="71"/>
      <c r="E22" s="32"/>
      <c r="F22" s="486">
        <f t="shared" si="0"/>
        <v>0</v>
      </c>
      <c r="G22" s="32"/>
      <c r="H22" s="32"/>
      <c r="I22" s="480">
        <f t="shared" si="1"/>
        <v>0</v>
      </c>
    </row>
    <row r="23" spans="2:9" ht="18">
      <c r="B23" s="4">
        <v>16</v>
      </c>
      <c r="C23" s="70"/>
      <c r="D23" s="71"/>
      <c r="E23" s="32"/>
      <c r="F23" s="486">
        <f t="shared" si="0"/>
        <v>0</v>
      </c>
      <c r="G23" s="32"/>
      <c r="H23" s="32"/>
      <c r="I23" s="480">
        <f t="shared" si="1"/>
        <v>0</v>
      </c>
    </row>
    <row r="24" spans="2:9" ht="18">
      <c r="B24" s="26">
        <v>17</v>
      </c>
      <c r="C24" s="70"/>
      <c r="D24" s="71"/>
      <c r="E24" s="32"/>
      <c r="F24" s="486">
        <f t="shared" si="0"/>
        <v>0</v>
      </c>
      <c r="G24" s="32"/>
      <c r="H24" s="32"/>
      <c r="I24" s="480">
        <f t="shared" si="1"/>
        <v>0</v>
      </c>
    </row>
    <row r="25" spans="2:9" ht="18">
      <c r="B25" s="26">
        <v>18</v>
      </c>
      <c r="C25" s="70"/>
      <c r="D25" s="71"/>
      <c r="E25" s="32"/>
      <c r="F25" s="486">
        <f t="shared" si="0"/>
        <v>0</v>
      </c>
      <c r="G25" s="32"/>
      <c r="H25" s="32"/>
      <c r="I25" s="480">
        <f t="shared" si="1"/>
        <v>0</v>
      </c>
    </row>
    <row r="26" spans="2:9" ht="18">
      <c r="B26" s="26">
        <v>19</v>
      </c>
      <c r="C26" s="70"/>
      <c r="D26" s="71"/>
      <c r="E26" s="32"/>
      <c r="F26" s="486">
        <f t="shared" si="0"/>
        <v>0</v>
      </c>
      <c r="G26" s="32"/>
      <c r="H26" s="32"/>
      <c r="I26" s="480">
        <f t="shared" si="1"/>
        <v>0</v>
      </c>
    </row>
    <row r="27" spans="2:9" ht="18">
      <c r="B27" s="26">
        <v>20</v>
      </c>
      <c r="C27" s="70"/>
      <c r="D27" s="71"/>
      <c r="E27" s="32"/>
      <c r="F27" s="486">
        <f t="shared" si="0"/>
        <v>0</v>
      </c>
      <c r="G27" s="32"/>
      <c r="H27" s="32"/>
      <c r="I27" s="480">
        <f t="shared" si="1"/>
        <v>0</v>
      </c>
    </row>
    <row r="28" spans="2:9" ht="19.5" customHeight="1">
      <c r="B28" s="398" t="s">
        <v>13</v>
      </c>
      <c r="C28" s="399"/>
      <c r="D28" s="2">
        <f>SUM(D8:D27)</f>
        <v>0</v>
      </c>
      <c r="E28" s="2">
        <f>SUM(E8:E27)</f>
        <v>0</v>
      </c>
      <c r="F28" s="480">
        <f>D28+E28</f>
        <v>0</v>
      </c>
      <c r="G28" s="480">
        <f>SUM(G8:G27)</f>
        <v>0</v>
      </c>
      <c r="H28" s="480">
        <f>SUM(H8:H27)</f>
        <v>0</v>
      </c>
      <c r="I28" s="480">
        <f>SUM(I8:I27)</f>
        <v>0</v>
      </c>
    </row>
    <row r="30" spans="2:9" ht="18">
      <c r="B30" s="320" t="s">
        <v>203</v>
      </c>
      <c r="C30" s="320"/>
      <c r="D30" s="28"/>
      <c r="E30" s="320" t="s">
        <v>204</v>
      </c>
      <c r="F30" s="320"/>
      <c r="G30" s="320"/>
      <c r="H30" s="320"/>
      <c r="I30" s="320"/>
    </row>
    <row r="31" spans="2:9" ht="18">
      <c r="B31" s="28"/>
      <c r="C31" s="28"/>
      <c r="D31" s="28"/>
      <c r="I31" s="28"/>
    </row>
  </sheetData>
  <mergeCells count="13">
    <mergeCell ref="B30:C30"/>
    <mergeCell ref="E30:I30"/>
    <mergeCell ref="D5:E5"/>
    <mergeCell ref="I5:I7"/>
    <mergeCell ref="C5:C7"/>
    <mergeCell ref="B5:B7"/>
    <mergeCell ref="F5:F7"/>
    <mergeCell ref="G5:H5"/>
    <mergeCell ref="G6:G7"/>
    <mergeCell ref="H6:H7"/>
    <mergeCell ref="D6:D7"/>
    <mergeCell ref="E6:E7"/>
    <mergeCell ref="B28:C28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1C6F-012A-4AA7-A62E-BDCBF3F1E840}">
  <dimension ref="A7:AC18"/>
  <sheetViews>
    <sheetView rightToLeft="1" workbookViewId="0">
      <selection activeCell="K6" sqref="K6"/>
    </sheetView>
  </sheetViews>
  <sheetFormatPr defaultRowHeight="14.25"/>
  <cols>
    <col min="1" max="1" width="6.5" customWidth="1"/>
    <col min="2" max="2" width="4.5" customWidth="1"/>
    <col min="3" max="3" width="5.25" customWidth="1"/>
    <col min="4" max="6" width="5.375" customWidth="1"/>
    <col min="7" max="7" width="4" customWidth="1"/>
    <col min="8" max="8" width="4.25" customWidth="1"/>
    <col min="9" max="9" width="3.75" customWidth="1"/>
    <col min="10" max="10" width="5.25" customWidth="1"/>
    <col min="11" max="11" width="5.125" customWidth="1"/>
    <col min="12" max="12" width="4.875" customWidth="1"/>
    <col min="13" max="13" width="5" customWidth="1"/>
    <col min="14" max="14" width="5.25" customWidth="1"/>
    <col min="15" max="15" width="4.875" customWidth="1"/>
    <col min="16" max="16" width="5.125" customWidth="1"/>
    <col min="17" max="17" width="4.75" customWidth="1"/>
    <col min="18" max="18" width="5.125" customWidth="1"/>
    <col min="19" max="19" width="5.5" customWidth="1"/>
    <col min="20" max="20" width="5.375" customWidth="1"/>
    <col min="21" max="21" width="4.875" customWidth="1"/>
    <col min="22" max="22" width="4.625" customWidth="1"/>
    <col min="23" max="23" width="4.375" customWidth="1"/>
    <col min="24" max="24" width="5" customWidth="1"/>
    <col min="25" max="25" width="5.375" customWidth="1"/>
    <col min="26" max="26" width="4.75" customWidth="1"/>
    <col min="27" max="27" width="5.375" customWidth="1"/>
    <col min="28" max="28" width="4.75" customWidth="1"/>
    <col min="29" max="29" width="18" customWidth="1"/>
  </cols>
  <sheetData>
    <row r="7" spans="1:29" ht="26.25">
      <c r="A7" s="400" t="s">
        <v>327</v>
      </c>
      <c r="B7" s="400"/>
      <c r="C7" s="400"/>
      <c r="D7" s="400"/>
      <c r="E7" s="400"/>
      <c r="F7" s="400"/>
      <c r="G7" s="400"/>
      <c r="H7" s="400"/>
      <c r="I7" s="400"/>
      <c r="J7" s="400"/>
      <c r="K7" s="400"/>
      <c r="L7" s="400"/>
      <c r="M7" s="400"/>
      <c r="N7" s="400"/>
      <c r="O7" s="400"/>
      <c r="P7" s="400"/>
      <c r="Q7" s="400"/>
      <c r="R7" s="400"/>
      <c r="S7" s="400"/>
      <c r="T7" s="400"/>
      <c r="U7" s="400"/>
      <c r="V7" s="400"/>
      <c r="W7" s="400"/>
      <c r="X7" s="400"/>
      <c r="Y7" s="400"/>
      <c r="Z7" s="400"/>
      <c r="AA7" s="400"/>
      <c r="AB7" s="400"/>
      <c r="AC7" s="400"/>
    </row>
    <row r="8" spans="1:29" ht="26.25">
      <c r="A8" s="400" t="s">
        <v>263</v>
      </c>
      <c r="B8" s="400"/>
      <c r="C8" s="400"/>
      <c r="D8" s="400"/>
      <c r="E8" s="400"/>
      <c r="F8" s="400"/>
      <c r="G8" s="400"/>
      <c r="H8" s="400"/>
      <c r="I8" s="400"/>
      <c r="J8" s="400"/>
      <c r="K8" s="400"/>
      <c r="L8" s="400"/>
      <c r="M8" s="400"/>
      <c r="N8" s="400"/>
      <c r="O8" s="400"/>
      <c r="P8" s="400"/>
      <c r="Q8" s="400"/>
      <c r="R8" s="400"/>
      <c r="S8" s="400"/>
      <c r="T8" s="400"/>
      <c r="U8" s="400"/>
      <c r="V8" s="400"/>
      <c r="W8" s="400"/>
      <c r="X8" s="400"/>
      <c r="Y8" s="400"/>
      <c r="Z8" s="400"/>
      <c r="AA8" s="400"/>
      <c r="AB8" s="400"/>
      <c r="AC8" s="400"/>
    </row>
    <row r="9" spans="1:29" ht="21.75" customHeight="1" thickBot="1">
      <c r="A9" s="404" t="s">
        <v>326</v>
      </c>
      <c r="B9" s="405"/>
      <c r="C9" s="405"/>
      <c r="D9" s="405"/>
      <c r="E9" s="405"/>
      <c r="F9" s="405"/>
      <c r="G9" s="405"/>
      <c r="H9" s="405"/>
      <c r="I9" s="405"/>
      <c r="J9" s="405"/>
      <c r="K9" s="405"/>
      <c r="L9" s="405"/>
      <c r="M9" s="405"/>
      <c r="N9" s="405"/>
      <c r="O9" s="405"/>
      <c r="P9" s="405"/>
      <c r="Q9" s="405"/>
      <c r="R9" s="405"/>
      <c r="S9" s="405"/>
      <c r="T9" s="405"/>
      <c r="U9" s="405"/>
      <c r="V9" s="405"/>
      <c r="W9" s="405"/>
      <c r="X9" s="405"/>
      <c r="Y9" s="405"/>
      <c r="Z9" s="405"/>
      <c r="AA9" s="405"/>
      <c r="AB9" s="405"/>
      <c r="AC9" s="406"/>
    </row>
    <row r="10" spans="1:29" ht="42" customHeight="1">
      <c r="A10" s="455" t="s">
        <v>305</v>
      </c>
      <c r="B10" s="455" t="s">
        <v>168</v>
      </c>
      <c r="C10" s="457" t="s">
        <v>272</v>
      </c>
      <c r="D10" s="410" t="s">
        <v>306</v>
      </c>
      <c r="E10" s="411"/>
      <c r="F10" s="412"/>
      <c r="G10" s="401" t="s">
        <v>170</v>
      </c>
      <c r="H10" s="402"/>
      <c r="I10" s="413"/>
      <c r="J10" s="414" t="s">
        <v>307</v>
      </c>
      <c r="K10" s="401" t="s">
        <v>308</v>
      </c>
      <c r="L10" s="413"/>
      <c r="M10" s="401" t="s">
        <v>175</v>
      </c>
      <c r="N10" s="413"/>
      <c r="O10" s="401" t="s">
        <v>309</v>
      </c>
      <c r="P10" s="413"/>
      <c r="Q10" s="401" t="s">
        <v>310</v>
      </c>
      <c r="R10" s="402"/>
      <c r="S10" s="407" t="s">
        <v>315</v>
      </c>
      <c r="T10" s="407"/>
      <c r="U10" s="408" t="s">
        <v>312</v>
      </c>
      <c r="V10" s="409"/>
      <c r="W10" s="407" t="s">
        <v>313</v>
      </c>
      <c r="X10" s="407"/>
      <c r="Y10" s="407" t="s">
        <v>314</v>
      </c>
      <c r="Z10" s="407"/>
      <c r="AA10" s="407" t="s">
        <v>182</v>
      </c>
      <c r="AB10" s="407"/>
      <c r="AC10" s="403" t="s">
        <v>75</v>
      </c>
    </row>
    <row r="11" spans="1:29" ht="51.75" customHeight="1">
      <c r="A11" s="456"/>
      <c r="B11" s="456"/>
      <c r="C11" s="458"/>
      <c r="D11" s="265" t="s">
        <v>11</v>
      </c>
      <c r="E11" s="263" t="s">
        <v>12</v>
      </c>
      <c r="F11" s="260" t="s">
        <v>10</v>
      </c>
      <c r="G11" s="260" t="s">
        <v>177</v>
      </c>
      <c r="H11" s="260" t="s">
        <v>178</v>
      </c>
      <c r="I11" s="260" t="s">
        <v>179</v>
      </c>
      <c r="J11" s="415"/>
      <c r="K11" s="260" t="s">
        <v>180</v>
      </c>
      <c r="L11" s="260" t="s">
        <v>181</v>
      </c>
      <c r="M11" s="260" t="s">
        <v>180</v>
      </c>
      <c r="N11" s="260" t="s">
        <v>181</v>
      </c>
      <c r="O11" s="260" t="s">
        <v>180</v>
      </c>
      <c r="P11" s="260" t="s">
        <v>181</v>
      </c>
      <c r="Q11" s="260" t="s">
        <v>311</v>
      </c>
      <c r="R11" s="260" t="s">
        <v>282</v>
      </c>
      <c r="S11" s="261" t="s">
        <v>180</v>
      </c>
      <c r="T11" s="261" t="s">
        <v>181</v>
      </c>
      <c r="U11" s="260" t="s">
        <v>300</v>
      </c>
      <c r="V11" s="262" t="s">
        <v>273</v>
      </c>
      <c r="W11" s="265" t="s">
        <v>180</v>
      </c>
      <c r="X11" s="265" t="s">
        <v>181</v>
      </c>
      <c r="Y11" s="265" t="s">
        <v>180</v>
      </c>
      <c r="Z11" s="265" t="s">
        <v>181</v>
      </c>
      <c r="AA11" s="265" t="s">
        <v>180</v>
      </c>
      <c r="AB11" s="265" t="s">
        <v>181</v>
      </c>
      <c r="AC11" s="403"/>
    </row>
    <row r="12" spans="1:29" ht="21">
      <c r="A12" s="22"/>
      <c r="B12" s="22"/>
      <c r="C12" s="22"/>
      <c r="D12" s="264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66"/>
      <c r="W12" s="268"/>
      <c r="X12" s="268"/>
      <c r="Y12" s="268"/>
      <c r="Z12" s="268"/>
      <c r="AA12" s="272"/>
      <c r="AB12" s="272"/>
      <c r="AC12" s="272"/>
    </row>
    <row r="13" spans="1:29" ht="2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66"/>
      <c r="W13" s="268"/>
      <c r="X13" s="268"/>
      <c r="Y13" s="268"/>
      <c r="Z13" s="268"/>
      <c r="AA13" s="272"/>
      <c r="AB13" s="273"/>
      <c r="AC13" s="273"/>
    </row>
    <row r="14" spans="1:29" ht="2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66"/>
      <c r="W14" s="268"/>
      <c r="X14" s="268"/>
      <c r="Y14" s="268"/>
      <c r="Z14" s="268"/>
      <c r="AA14" s="272"/>
      <c r="AB14" s="273"/>
      <c r="AC14" s="273"/>
    </row>
    <row r="15" spans="1:29" ht="2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4"/>
      <c r="U15" s="23"/>
      <c r="V15" s="267"/>
      <c r="W15" s="270"/>
      <c r="X15" s="270"/>
      <c r="Y15" s="270"/>
      <c r="Z15" s="270"/>
      <c r="AA15" s="269"/>
      <c r="AB15" s="271"/>
      <c r="AC15" s="271"/>
    </row>
    <row r="17" spans="1:26" ht="15.75">
      <c r="A17" t="s">
        <v>328</v>
      </c>
      <c r="B17" s="195" t="s">
        <v>317</v>
      </c>
      <c r="C17" s="184"/>
      <c r="D17" s="184"/>
      <c r="E17" s="184"/>
      <c r="F17" s="184"/>
      <c r="G17" s="195"/>
      <c r="H17" s="195"/>
      <c r="I17" s="195"/>
      <c r="J17" s="195"/>
      <c r="K17" s="195"/>
      <c r="L17" s="184" t="s">
        <v>203</v>
      </c>
      <c r="M17" s="195"/>
      <c r="N17" s="195"/>
      <c r="O17" s="195"/>
      <c r="P17" s="195"/>
      <c r="Q17" s="195"/>
      <c r="R17" s="195"/>
      <c r="S17" s="195"/>
      <c r="T17" s="195"/>
      <c r="U17" s="195"/>
      <c r="V17" s="317" t="s">
        <v>204</v>
      </c>
      <c r="W17" s="317"/>
      <c r="X17" s="317"/>
      <c r="Y17" s="317"/>
      <c r="Z17" s="317"/>
    </row>
    <row r="18" spans="1:26" ht="15.75">
      <c r="B18" s="184"/>
      <c r="C18" s="184"/>
      <c r="D18" s="184"/>
      <c r="E18" s="184"/>
      <c r="F18" s="184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248"/>
      <c r="W18" s="248"/>
      <c r="X18" s="248"/>
      <c r="Y18" s="248"/>
      <c r="Z18" s="248"/>
    </row>
  </sheetData>
  <mergeCells count="20">
    <mergeCell ref="A7:AC7"/>
    <mergeCell ref="A8:AC8"/>
    <mergeCell ref="V17:Z17"/>
    <mergeCell ref="A10:A11"/>
    <mergeCell ref="B10:B11"/>
    <mergeCell ref="C10:C11"/>
    <mergeCell ref="AC10:AC11"/>
    <mergeCell ref="A9:AC9"/>
    <mergeCell ref="Q10:R10"/>
    <mergeCell ref="S10:T10"/>
    <mergeCell ref="U10:V10"/>
    <mergeCell ref="W10:X10"/>
    <mergeCell ref="Y10:Z10"/>
    <mergeCell ref="AA10:AB10"/>
    <mergeCell ref="D10:F10"/>
    <mergeCell ref="G10:I10"/>
    <mergeCell ref="J10:J11"/>
    <mergeCell ref="K10:L10"/>
    <mergeCell ref="M10:N10"/>
    <mergeCell ref="O10:P10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AP35"/>
  <sheetViews>
    <sheetView rightToLeft="1" topLeftCell="A11" workbookViewId="0">
      <selection activeCell="B1" sqref="B1:Y32"/>
    </sheetView>
  </sheetViews>
  <sheetFormatPr defaultColWidth="9" defaultRowHeight="12.75"/>
  <cols>
    <col min="1" max="1" width="1.25" style="35" customWidth="1"/>
    <col min="2" max="2" width="3.375" style="35" customWidth="1"/>
    <col min="3" max="3" width="15.125" style="35" customWidth="1"/>
    <col min="4" max="4" width="5.875" style="35" customWidth="1"/>
    <col min="5" max="25" width="4.875" style="35" customWidth="1"/>
    <col min="26" max="26" width="5.75" style="35" customWidth="1"/>
    <col min="27" max="16384" width="9" style="35"/>
  </cols>
  <sheetData>
    <row r="1" spans="2:25">
      <c r="C1" s="416" t="s">
        <v>32</v>
      </c>
      <c r="D1" s="416"/>
      <c r="E1" s="416"/>
      <c r="F1" s="416"/>
    </row>
    <row r="2" spans="2:25">
      <c r="C2" s="416" t="s">
        <v>34</v>
      </c>
      <c r="D2" s="416"/>
      <c r="E2" s="416"/>
      <c r="F2" s="416"/>
    </row>
    <row r="3" spans="2:25">
      <c r="C3" s="416" t="s">
        <v>33</v>
      </c>
      <c r="D3" s="416"/>
      <c r="E3" s="416"/>
      <c r="F3" s="416"/>
      <c r="V3" s="35" t="s">
        <v>0</v>
      </c>
    </row>
    <row r="4" spans="2:25">
      <c r="C4" s="416"/>
      <c r="D4" s="416"/>
      <c r="E4" s="416"/>
      <c r="F4" s="416"/>
    </row>
    <row r="6" spans="2:25" ht="13.5" thickBot="1"/>
    <row r="7" spans="2:25" ht="16.5" thickBot="1">
      <c r="B7" s="417" t="s">
        <v>1</v>
      </c>
      <c r="C7" s="417" t="s">
        <v>75</v>
      </c>
      <c r="D7" s="49" t="s">
        <v>2</v>
      </c>
      <c r="E7" s="49" t="s">
        <v>2</v>
      </c>
      <c r="F7" s="419" t="s">
        <v>104</v>
      </c>
      <c r="G7" s="419"/>
      <c r="H7" s="419"/>
      <c r="I7" s="420"/>
      <c r="J7" s="422" t="s">
        <v>105</v>
      </c>
      <c r="K7" s="419"/>
      <c r="L7" s="419"/>
      <c r="M7" s="420"/>
      <c r="N7" s="422" t="s">
        <v>106</v>
      </c>
      <c r="O7" s="419"/>
      <c r="P7" s="419"/>
      <c r="Q7" s="420"/>
      <c r="R7" s="422" t="s">
        <v>107</v>
      </c>
      <c r="S7" s="419"/>
      <c r="T7" s="419"/>
      <c r="U7" s="420"/>
      <c r="V7" s="422" t="s">
        <v>108</v>
      </c>
      <c r="W7" s="419"/>
      <c r="X7" s="419"/>
      <c r="Y7" s="420"/>
    </row>
    <row r="8" spans="2:25" ht="16.5" thickBot="1">
      <c r="B8" s="418"/>
      <c r="C8" s="418"/>
      <c r="D8" s="49" t="s">
        <v>3</v>
      </c>
      <c r="E8" s="49" t="s">
        <v>35</v>
      </c>
      <c r="F8" s="37" t="s">
        <v>4</v>
      </c>
      <c r="G8" s="38" t="s">
        <v>5</v>
      </c>
      <c r="H8" s="38" t="s">
        <v>6</v>
      </c>
      <c r="I8" s="39" t="s">
        <v>7</v>
      </c>
      <c r="J8" s="50" t="s">
        <v>4</v>
      </c>
      <c r="K8" s="38" t="s">
        <v>5</v>
      </c>
      <c r="L8" s="38" t="s">
        <v>6</v>
      </c>
      <c r="M8" s="39" t="s">
        <v>7</v>
      </c>
      <c r="N8" s="37" t="s">
        <v>4</v>
      </c>
      <c r="O8" s="38" t="s">
        <v>5</v>
      </c>
      <c r="P8" s="38" t="s">
        <v>6</v>
      </c>
      <c r="Q8" s="39" t="s">
        <v>7</v>
      </c>
      <c r="R8" s="37" t="s">
        <v>4</v>
      </c>
      <c r="S8" s="38" t="s">
        <v>5</v>
      </c>
      <c r="T8" s="38" t="s">
        <v>6</v>
      </c>
      <c r="U8" s="39" t="s">
        <v>7</v>
      </c>
      <c r="V8" s="37" t="s">
        <v>4</v>
      </c>
      <c r="W8" s="38" t="s">
        <v>5</v>
      </c>
      <c r="X8" s="38" t="s">
        <v>6</v>
      </c>
      <c r="Y8" s="39" t="s">
        <v>7</v>
      </c>
    </row>
    <row r="9" spans="2:25" s="34" customFormat="1">
      <c r="B9" s="40">
        <v>1</v>
      </c>
      <c r="C9" s="40" t="s">
        <v>79</v>
      </c>
      <c r="D9" s="51"/>
      <c r="E9" s="52"/>
      <c r="F9" s="52"/>
      <c r="G9" s="52"/>
      <c r="H9" s="52"/>
      <c r="I9" s="52">
        <f>SUM(G9:H9)</f>
        <v>0</v>
      </c>
      <c r="J9" s="52"/>
      <c r="K9" s="52"/>
      <c r="L9" s="52"/>
      <c r="M9" s="52">
        <f>SUM(K9:L9)</f>
        <v>0</v>
      </c>
      <c r="N9" s="52"/>
      <c r="O9" s="52"/>
      <c r="P9" s="52"/>
      <c r="Q9" s="52">
        <f>SUM(O9:P9)</f>
        <v>0</v>
      </c>
      <c r="R9" s="52"/>
      <c r="S9" s="52"/>
      <c r="T9" s="52"/>
      <c r="U9" s="52">
        <f>SUM(S9:T9)</f>
        <v>0</v>
      </c>
      <c r="V9" s="52"/>
      <c r="W9" s="52"/>
      <c r="X9" s="52"/>
      <c r="Y9" s="53">
        <f>SUM(W9:X9)</f>
        <v>0</v>
      </c>
    </row>
    <row r="10" spans="2:25" s="34" customFormat="1" ht="13.5" thickBot="1">
      <c r="B10" s="43">
        <v>2</v>
      </c>
      <c r="C10" s="43" t="s">
        <v>80</v>
      </c>
      <c r="D10" s="51"/>
      <c r="E10" s="51"/>
      <c r="F10" s="52"/>
      <c r="G10" s="52"/>
      <c r="H10" s="52"/>
      <c r="I10" s="52">
        <f t="shared" ref="I10:I31" si="0">SUM(G10:H10)</f>
        <v>0</v>
      </c>
      <c r="J10" s="52"/>
      <c r="K10" s="52"/>
      <c r="L10" s="52"/>
      <c r="M10" s="52">
        <f t="shared" ref="M10:M31" si="1">SUM(K10:L10)</f>
        <v>0</v>
      </c>
      <c r="N10" s="52"/>
      <c r="O10" s="52"/>
      <c r="P10" s="52"/>
      <c r="Q10" s="52">
        <f t="shared" ref="Q10:Q31" si="2">SUM(O10:P10)</f>
        <v>0</v>
      </c>
      <c r="R10" s="52"/>
      <c r="S10" s="52"/>
      <c r="T10" s="52"/>
      <c r="U10" s="52">
        <f t="shared" ref="U10:U31" si="3">SUM(S10:T10)</f>
        <v>0</v>
      </c>
      <c r="V10" s="52"/>
      <c r="W10" s="52"/>
      <c r="X10" s="52"/>
      <c r="Y10" s="53">
        <f t="shared" ref="Y10:Y31" si="4">SUM(W10:X10)</f>
        <v>0</v>
      </c>
    </row>
    <row r="11" spans="2:25" s="34" customFormat="1">
      <c r="B11" s="40">
        <v>3</v>
      </c>
      <c r="C11" s="43" t="s">
        <v>81</v>
      </c>
      <c r="D11" s="52"/>
      <c r="E11" s="52"/>
      <c r="F11" s="52"/>
      <c r="G11" s="52"/>
      <c r="H11" s="52"/>
      <c r="I11" s="52">
        <f t="shared" si="0"/>
        <v>0</v>
      </c>
      <c r="J11" s="52"/>
      <c r="K11" s="52"/>
      <c r="L11" s="52"/>
      <c r="M11" s="52">
        <f t="shared" si="1"/>
        <v>0</v>
      </c>
      <c r="N11" s="52"/>
      <c r="O11" s="52"/>
      <c r="P11" s="52"/>
      <c r="Q11" s="52">
        <f t="shared" si="2"/>
        <v>0</v>
      </c>
      <c r="R11" s="52"/>
      <c r="S11" s="52"/>
      <c r="T11" s="52"/>
      <c r="U11" s="52">
        <f t="shared" si="3"/>
        <v>0</v>
      </c>
      <c r="V11" s="52"/>
      <c r="W11" s="52"/>
      <c r="X11" s="52"/>
      <c r="Y11" s="53">
        <f t="shared" si="4"/>
        <v>0</v>
      </c>
    </row>
    <row r="12" spans="2:25" s="34" customFormat="1" ht="13.5" thickBot="1">
      <c r="B12" s="43">
        <v>4</v>
      </c>
      <c r="C12" s="43" t="s">
        <v>82</v>
      </c>
      <c r="D12" s="52"/>
      <c r="E12" s="52"/>
      <c r="F12" s="52"/>
      <c r="G12" s="52"/>
      <c r="H12" s="52"/>
      <c r="I12" s="52">
        <f t="shared" si="0"/>
        <v>0</v>
      </c>
      <c r="J12" s="52"/>
      <c r="K12" s="52"/>
      <c r="L12" s="52"/>
      <c r="M12" s="52">
        <f t="shared" si="1"/>
        <v>0</v>
      </c>
      <c r="N12" s="52"/>
      <c r="O12" s="52"/>
      <c r="P12" s="52"/>
      <c r="Q12" s="52">
        <f t="shared" si="2"/>
        <v>0</v>
      </c>
      <c r="R12" s="52"/>
      <c r="S12" s="52"/>
      <c r="T12" s="52"/>
      <c r="U12" s="52">
        <f t="shared" si="3"/>
        <v>0</v>
      </c>
      <c r="V12" s="52"/>
      <c r="W12" s="52"/>
      <c r="X12" s="52"/>
      <c r="Y12" s="53">
        <f t="shared" si="4"/>
        <v>0</v>
      </c>
    </row>
    <row r="13" spans="2:25" s="34" customFormat="1">
      <c r="B13" s="40">
        <v>5</v>
      </c>
      <c r="C13" s="43" t="s">
        <v>83</v>
      </c>
      <c r="D13" s="51"/>
      <c r="E13" s="52"/>
      <c r="F13" s="52"/>
      <c r="G13" s="52"/>
      <c r="H13" s="52"/>
      <c r="I13" s="52">
        <f t="shared" si="0"/>
        <v>0</v>
      </c>
      <c r="J13" s="52"/>
      <c r="K13" s="52"/>
      <c r="L13" s="52"/>
      <c r="M13" s="52">
        <f t="shared" si="1"/>
        <v>0</v>
      </c>
      <c r="N13" s="52"/>
      <c r="O13" s="52"/>
      <c r="P13" s="52"/>
      <c r="Q13" s="52">
        <f t="shared" si="2"/>
        <v>0</v>
      </c>
      <c r="R13" s="52"/>
      <c r="S13" s="52"/>
      <c r="T13" s="52"/>
      <c r="U13" s="52">
        <f t="shared" si="3"/>
        <v>0</v>
      </c>
      <c r="V13" s="52"/>
      <c r="W13" s="52"/>
      <c r="X13" s="52"/>
      <c r="Y13" s="53">
        <f t="shared" si="4"/>
        <v>0</v>
      </c>
    </row>
    <row r="14" spans="2:25" s="34" customFormat="1" ht="13.5" thickBot="1">
      <c r="B14" s="43">
        <v>6</v>
      </c>
      <c r="C14" s="43" t="s">
        <v>84</v>
      </c>
      <c r="D14" s="54"/>
      <c r="E14" s="54"/>
      <c r="F14" s="52"/>
      <c r="G14" s="52"/>
      <c r="H14" s="52"/>
      <c r="I14" s="52">
        <f t="shared" si="0"/>
        <v>0</v>
      </c>
      <c r="J14" s="52"/>
      <c r="K14" s="52"/>
      <c r="L14" s="52"/>
      <c r="M14" s="52">
        <f t="shared" si="1"/>
        <v>0</v>
      </c>
      <c r="N14" s="52"/>
      <c r="O14" s="52"/>
      <c r="P14" s="52"/>
      <c r="Q14" s="52">
        <f t="shared" si="2"/>
        <v>0</v>
      </c>
      <c r="R14" s="52"/>
      <c r="S14" s="52"/>
      <c r="T14" s="52"/>
      <c r="U14" s="52">
        <f t="shared" si="3"/>
        <v>0</v>
      </c>
      <c r="V14" s="52"/>
      <c r="W14" s="52"/>
      <c r="X14" s="52"/>
      <c r="Y14" s="53">
        <f t="shared" si="4"/>
        <v>0</v>
      </c>
    </row>
    <row r="15" spans="2:25" s="34" customFormat="1">
      <c r="B15" s="40">
        <v>7</v>
      </c>
      <c r="C15" s="43" t="s">
        <v>85</v>
      </c>
      <c r="D15" s="51"/>
      <c r="E15" s="51"/>
      <c r="F15" s="52"/>
      <c r="G15" s="52"/>
      <c r="H15" s="52"/>
      <c r="I15" s="52">
        <f t="shared" si="0"/>
        <v>0</v>
      </c>
      <c r="J15" s="52"/>
      <c r="K15" s="52"/>
      <c r="L15" s="52"/>
      <c r="M15" s="52">
        <f t="shared" si="1"/>
        <v>0</v>
      </c>
      <c r="N15" s="52"/>
      <c r="O15" s="52"/>
      <c r="P15" s="52"/>
      <c r="Q15" s="52">
        <f t="shared" si="2"/>
        <v>0</v>
      </c>
      <c r="R15" s="52"/>
      <c r="S15" s="52"/>
      <c r="T15" s="52"/>
      <c r="U15" s="52">
        <f t="shared" si="3"/>
        <v>0</v>
      </c>
      <c r="V15" s="52"/>
      <c r="W15" s="52"/>
      <c r="X15" s="52"/>
      <c r="Y15" s="53">
        <f t="shared" si="4"/>
        <v>0</v>
      </c>
    </row>
    <row r="16" spans="2:25" s="34" customFormat="1">
      <c r="B16" s="45">
        <v>8</v>
      </c>
      <c r="C16" s="43" t="s">
        <v>86</v>
      </c>
      <c r="D16" s="52"/>
      <c r="E16" s="52"/>
      <c r="F16" s="52"/>
      <c r="G16" s="52"/>
      <c r="H16" s="52"/>
      <c r="I16" s="52">
        <f t="shared" si="0"/>
        <v>0</v>
      </c>
      <c r="J16" s="52"/>
      <c r="K16" s="52"/>
      <c r="L16" s="52"/>
      <c r="M16" s="52">
        <f t="shared" si="1"/>
        <v>0</v>
      </c>
      <c r="N16" s="52"/>
      <c r="O16" s="52"/>
      <c r="P16" s="52"/>
      <c r="Q16" s="52">
        <f t="shared" si="2"/>
        <v>0</v>
      </c>
      <c r="R16" s="52"/>
      <c r="S16" s="52"/>
      <c r="T16" s="52"/>
      <c r="U16" s="52">
        <f t="shared" si="3"/>
        <v>0</v>
      </c>
      <c r="V16" s="52"/>
      <c r="W16" s="52"/>
      <c r="X16" s="52"/>
      <c r="Y16" s="53">
        <f t="shared" si="4"/>
        <v>0</v>
      </c>
    </row>
    <row r="17" spans="2:42" s="34" customFormat="1" ht="13.5" thickBot="1">
      <c r="B17" s="43">
        <v>9</v>
      </c>
      <c r="C17" s="43" t="s">
        <v>87</v>
      </c>
      <c r="D17" s="52"/>
      <c r="E17" s="52"/>
      <c r="F17" s="52"/>
      <c r="G17" s="52"/>
      <c r="H17" s="52"/>
      <c r="I17" s="52">
        <f t="shared" si="0"/>
        <v>0</v>
      </c>
      <c r="J17" s="52"/>
      <c r="K17" s="52"/>
      <c r="L17" s="52"/>
      <c r="M17" s="52">
        <f t="shared" si="1"/>
        <v>0</v>
      </c>
      <c r="N17" s="52"/>
      <c r="O17" s="52"/>
      <c r="P17" s="52"/>
      <c r="Q17" s="52">
        <f t="shared" si="2"/>
        <v>0</v>
      </c>
      <c r="R17" s="52"/>
      <c r="S17" s="52"/>
      <c r="T17" s="52"/>
      <c r="U17" s="52">
        <f t="shared" si="3"/>
        <v>0</v>
      </c>
      <c r="V17" s="52"/>
      <c r="W17" s="52"/>
      <c r="X17" s="52"/>
      <c r="Y17" s="53">
        <f t="shared" si="4"/>
        <v>0</v>
      </c>
    </row>
    <row r="18" spans="2:42" s="34" customFormat="1">
      <c r="B18" s="40">
        <v>10</v>
      </c>
      <c r="C18" s="40" t="s">
        <v>88</v>
      </c>
      <c r="D18" s="52"/>
      <c r="E18" s="52"/>
      <c r="F18" s="52"/>
      <c r="G18" s="52"/>
      <c r="H18" s="52"/>
      <c r="I18" s="52">
        <f t="shared" si="0"/>
        <v>0</v>
      </c>
      <c r="J18" s="52"/>
      <c r="K18" s="52"/>
      <c r="L18" s="52"/>
      <c r="M18" s="52">
        <f t="shared" si="1"/>
        <v>0</v>
      </c>
      <c r="N18" s="52"/>
      <c r="O18" s="52"/>
      <c r="P18" s="52"/>
      <c r="Q18" s="52">
        <f t="shared" si="2"/>
        <v>0</v>
      </c>
      <c r="R18" s="52"/>
      <c r="S18" s="52"/>
      <c r="T18" s="52"/>
      <c r="U18" s="52">
        <f t="shared" si="3"/>
        <v>0</v>
      </c>
      <c r="V18" s="52"/>
      <c r="W18" s="52"/>
      <c r="X18" s="52"/>
      <c r="Y18" s="53">
        <f t="shared" si="4"/>
        <v>0</v>
      </c>
    </row>
    <row r="19" spans="2:42" s="34" customFormat="1" ht="13.5" thickBot="1">
      <c r="B19" s="43">
        <v>11</v>
      </c>
      <c r="C19" s="43" t="s">
        <v>89</v>
      </c>
      <c r="D19" s="51"/>
      <c r="E19" s="52"/>
      <c r="F19" s="52"/>
      <c r="G19" s="52"/>
      <c r="H19" s="52"/>
      <c r="I19" s="52">
        <f t="shared" si="0"/>
        <v>0</v>
      </c>
      <c r="J19" s="52"/>
      <c r="K19" s="52"/>
      <c r="L19" s="52"/>
      <c r="M19" s="52">
        <f t="shared" si="1"/>
        <v>0</v>
      </c>
      <c r="N19" s="52"/>
      <c r="O19" s="52"/>
      <c r="P19" s="52"/>
      <c r="Q19" s="52">
        <f t="shared" si="2"/>
        <v>0</v>
      </c>
      <c r="R19" s="52"/>
      <c r="S19" s="52"/>
      <c r="T19" s="52"/>
      <c r="U19" s="52">
        <f t="shared" si="3"/>
        <v>0</v>
      </c>
      <c r="V19" s="52"/>
      <c r="W19" s="52"/>
      <c r="X19" s="52"/>
      <c r="Y19" s="53">
        <f t="shared" si="4"/>
        <v>0</v>
      </c>
    </row>
    <row r="20" spans="2:42" s="34" customFormat="1">
      <c r="B20" s="40">
        <v>12</v>
      </c>
      <c r="C20" s="43" t="s">
        <v>90</v>
      </c>
      <c r="D20" s="52"/>
      <c r="E20" s="52"/>
      <c r="F20" s="52"/>
      <c r="G20" s="52"/>
      <c r="H20" s="52"/>
      <c r="I20" s="52">
        <f t="shared" si="0"/>
        <v>0</v>
      </c>
      <c r="J20" s="52"/>
      <c r="K20" s="52"/>
      <c r="L20" s="52"/>
      <c r="M20" s="52">
        <f t="shared" si="1"/>
        <v>0</v>
      </c>
      <c r="N20" s="52"/>
      <c r="O20" s="52"/>
      <c r="P20" s="52"/>
      <c r="Q20" s="52">
        <f t="shared" si="2"/>
        <v>0</v>
      </c>
      <c r="R20" s="52"/>
      <c r="S20" s="52"/>
      <c r="T20" s="52"/>
      <c r="U20" s="52">
        <f t="shared" si="3"/>
        <v>0</v>
      </c>
      <c r="V20" s="52"/>
      <c r="W20" s="52"/>
      <c r="X20" s="52"/>
      <c r="Y20" s="53">
        <f t="shared" si="4"/>
        <v>0</v>
      </c>
    </row>
    <row r="21" spans="2:42" s="34" customFormat="1" ht="13.5" thickBot="1">
      <c r="B21" s="43">
        <v>13</v>
      </c>
      <c r="C21" s="43" t="s">
        <v>91</v>
      </c>
      <c r="D21" s="52"/>
      <c r="E21" s="52"/>
      <c r="F21" s="52"/>
      <c r="G21" s="52"/>
      <c r="H21" s="52"/>
      <c r="I21" s="52">
        <f t="shared" si="0"/>
        <v>0</v>
      </c>
      <c r="J21" s="52"/>
      <c r="K21" s="52"/>
      <c r="L21" s="52"/>
      <c r="M21" s="52">
        <f t="shared" si="1"/>
        <v>0</v>
      </c>
      <c r="N21" s="52"/>
      <c r="O21" s="52"/>
      <c r="P21" s="52"/>
      <c r="Q21" s="52">
        <f t="shared" si="2"/>
        <v>0</v>
      </c>
      <c r="R21" s="52"/>
      <c r="S21" s="52"/>
      <c r="T21" s="52"/>
      <c r="U21" s="52">
        <f t="shared" si="3"/>
        <v>0</v>
      </c>
      <c r="V21" s="52"/>
      <c r="W21" s="52"/>
      <c r="X21" s="52"/>
      <c r="Y21" s="53">
        <f t="shared" si="4"/>
        <v>0</v>
      </c>
    </row>
    <row r="22" spans="2:42" s="34" customFormat="1">
      <c r="B22" s="40">
        <v>14</v>
      </c>
      <c r="C22" s="43" t="s">
        <v>92</v>
      </c>
      <c r="D22" s="51"/>
      <c r="E22" s="52"/>
      <c r="F22" s="52"/>
      <c r="G22" s="52"/>
      <c r="H22" s="52"/>
      <c r="I22" s="52">
        <f t="shared" si="0"/>
        <v>0</v>
      </c>
      <c r="J22" s="52"/>
      <c r="K22" s="52"/>
      <c r="L22" s="52"/>
      <c r="M22" s="52">
        <f t="shared" si="1"/>
        <v>0</v>
      </c>
      <c r="N22" s="52"/>
      <c r="O22" s="52"/>
      <c r="P22" s="52"/>
      <c r="Q22" s="52">
        <f t="shared" si="2"/>
        <v>0</v>
      </c>
      <c r="R22" s="52"/>
      <c r="S22" s="52"/>
      <c r="T22" s="52"/>
      <c r="U22" s="52">
        <f t="shared" si="3"/>
        <v>0</v>
      </c>
      <c r="V22" s="52"/>
      <c r="W22" s="52"/>
      <c r="X22" s="52"/>
      <c r="Y22" s="53">
        <f t="shared" si="4"/>
        <v>0</v>
      </c>
    </row>
    <row r="23" spans="2:42" s="34" customFormat="1" ht="13.5" thickBot="1">
      <c r="B23" s="43">
        <v>15</v>
      </c>
      <c r="C23" s="43" t="s">
        <v>93</v>
      </c>
      <c r="D23" s="51"/>
      <c r="E23" s="51"/>
      <c r="F23" s="52"/>
      <c r="G23" s="52"/>
      <c r="H23" s="52"/>
      <c r="I23" s="52">
        <f t="shared" si="0"/>
        <v>0</v>
      </c>
      <c r="J23" s="52"/>
      <c r="K23" s="52"/>
      <c r="L23" s="52"/>
      <c r="M23" s="52">
        <f t="shared" si="1"/>
        <v>0</v>
      </c>
      <c r="N23" s="52"/>
      <c r="O23" s="52"/>
      <c r="P23" s="52"/>
      <c r="Q23" s="52">
        <f t="shared" si="2"/>
        <v>0</v>
      </c>
      <c r="R23" s="52"/>
      <c r="S23" s="52"/>
      <c r="T23" s="52"/>
      <c r="U23" s="52">
        <f t="shared" si="3"/>
        <v>0</v>
      </c>
      <c r="V23" s="52"/>
      <c r="W23" s="52"/>
      <c r="X23" s="52"/>
      <c r="Y23" s="53">
        <f t="shared" si="4"/>
        <v>0</v>
      </c>
    </row>
    <row r="24" spans="2:42" s="34" customFormat="1">
      <c r="B24" s="40">
        <v>16</v>
      </c>
      <c r="C24" s="43" t="s">
        <v>94</v>
      </c>
      <c r="D24" s="52"/>
      <c r="E24" s="52"/>
      <c r="F24" s="52"/>
      <c r="G24" s="52"/>
      <c r="H24" s="52"/>
      <c r="I24" s="52">
        <f t="shared" si="0"/>
        <v>0</v>
      </c>
      <c r="J24" s="52"/>
      <c r="K24" s="52"/>
      <c r="L24" s="52"/>
      <c r="M24" s="52">
        <f t="shared" si="1"/>
        <v>0</v>
      </c>
      <c r="N24" s="52"/>
      <c r="O24" s="52"/>
      <c r="P24" s="52"/>
      <c r="Q24" s="52">
        <f t="shared" si="2"/>
        <v>0</v>
      </c>
      <c r="R24" s="52"/>
      <c r="S24" s="52"/>
      <c r="T24" s="52"/>
      <c r="U24" s="52">
        <f t="shared" si="3"/>
        <v>0</v>
      </c>
      <c r="V24" s="52"/>
      <c r="W24" s="52"/>
      <c r="X24" s="52"/>
      <c r="Y24" s="53">
        <f t="shared" si="4"/>
        <v>0</v>
      </c>
    </row>
    <row r="25" spans="2:42" s="34" customFormat="1">
      <c r="B25" s="45">
        <v>17</v>
      </c>
      <c r="C25" s="43" t="s">
        <v>95</v>
      </c>
      <c r="D25" s="52"/>
      <c r="E25" s="52"/>
      <c r="F25" s="52"/>
      <c r="G25" s="52"/>
      <c r="H25" s="52"/>
      <c r="I25" s="52">
        <f t="shared" si="0"/>
        <v>0</v>
      </c>
      <c r="J25" s="52"/>
      <c r="K25" s="52"/>
      <c r="L25" s="52"/>
      <c r="M25" s="52">
        <f t="shared" si="1"/>
        <v>0</v>
      </c>
      <c r="N25" s="52"/>
      <c r="O25" s="52"/>
      <c r="P25" s="52"/>
      <c r="Q25" s="52">
        <f t="shared" si="2"/>
        <v>0</v>
      </c>
      <c r="R25" s="52"/>
      <c r="S25" s="52"/>
      <c r="T25" s="52"/>
      <c r="U25" s="52">
        <f t="shared" si="3"/>
        <v>0</v>
      </c>
      <c r="V25" s="52"/>
      <c r="W25" s="52"/>
      <c r="X25" s="52"/>
      <c r="Y25" s="53">
        <f t="shared" si="4"/>
        <v>0</v>
      </c>
    </row>
    <row r="26" spans="2:42" s="34" customFormat="1">
      <c r="B26" s="45">
        <v>18</v>
      </c>
      <c r="C26" s="43" t="s">
        <v>96</v>
      </c>
      <c r="D26" s="51"/>
      <c r="E26" s="52"/>
      <c r="F26" s="52"/>
      <c r="G26" s="52"/>
      <c r="H26" s="52"/>
      <c r="I26" s="52">
        <f t="shared" si="0"/>
        <v>0</v>
      </c>
      <c r="J26" s="52"/>
      <c r="K26" s="52"/>
      <c r="L26" s="52"/>
      <c r="M26" s="52">
        <f t="shared" si="1"/>
        <v>0</v>
      </c>
      <c r="N26" s="52"/>
      <c r="O26" s="52"/>
      <c r="P26" s="52"/>
      <c r="Q26" s="52">
        <f t="shared" si="2"/>
        <v>0</v>
      </c>
      <c r="R26" s="52"/>
      <c r="S26" s="52"/>
      <c r="T26" s="52"/>
      <c r="U26" s="52">
        <f t="shared" si="3"/>
        <v>0</v>
      </c>
      <c r="V26" s="52"/>
      <c r="W26" s="52"/>
      <c r="X26" s="52"/>
      <c r="Y26" s="53">
        <f t="shared" si="4"/>
        <v>0</v>
      </c>
    </row>
    <row r="27" spans="2:42" s="34" customFormat="1">
      <c r="B27" s="45">
        <v>19</v>
      </c>
      <c r="C27" s="43" t="s">
        <v>97</v>
      </c>
      <c r="D27" s="54"/>
      <c r="E27" s="54"/>
      <c r="F27" s="52"/>
      <c r="G27" s="52">
        <v>1056</v>
      </c>
      <c r="H27" s="52">
        <v>991</v>
      </c>
      <c r="I27" s="52">
        <f t="shared" si="0"/>
        <v>2047</v>
      </c>
      <c r="J27" s="52"/>
      <c r="K27" s="52">
        <v>1101</v>
      </c>
      <c r="L27" s="52">
        <v>952</v>
      </c>
      <c r="M27" s="52">
        <f t="shared" si="1"/>
        <v>2053</v>
      </c>
      <c r="N27" s="52"/>
      <c r="O27" s="52">
        <v>986</v>
      </c>
      <c r="P27" s="52">
        <v>839</v>
      </c>
      <c r="Q27" s="52">
        <f t="shared" si="2"/>
        <v>1825</v>
      </c>
      <c r="R27" s="52"/>
      <c r="S27" s="52">
        <v>836</v>
      </c>
      <c r="T27" s="52">
        <v>810</v>
      </c>
      <c r="U27" s="52">
        <f t="shared" si="3"/>
        <v>1646</v>
      </c>
      <c r="V27" s="52"/>
      <c r="W27" s="52">
        <v>1157</v>
      </c>
      <c r="X27" s="52">
        <v>995</v>
      </c>
      <c r="Y27" s="53">
        <f t="shared" si="4"/>
        <v>2152</v>
      </c>
    </row>
    <row r="28" spans="2:42" s="56" customFormat="1">
      <c r="B28" s="45">
        <v>20</v>
      </c>
      <c r="C28" s="43" t="s">
        <v>98</v>
      </c>
      <c r="D28" s="52"/>
      <c r="E28" s="52"/>
      <c r="F28" s="52"/>
      <c r="G28" s="52"/>
      <c r="H28" s="52"/>
      <c r="I28" s="52">
        <f t="shared" si="0"/>
        <v>0</v>
      </c>
      <c r="J28" s="52"/>
      <c r="K28" s="52"/>
      <c r="L28" s="52"/>
      <c r="M28" s="52">
        <f t="shared" si="1"/>
        <v>0</v>
      </c>
      <c r="N28" s="52"/>
      <c r="O28" s="52"/>
      <c r="P28" s="52"/>
      <c r="Q28" s="52">
        <f t="shared" si="2"/>
        <v>0</v>
      </c>
      <c r="R28" s="52"/>
      <c r="S28" s="52"/>
      <c r="T28" s="52"/>
      <c r="U28" s="52">
        <f t="shared" si="3"/>
        <v>0</v>
      </c>
      <c r="V28" s="52"/>
      <c r="W28" s="52"/>
      <c r="X28" s="52"/>
      <c r="Y28" s="53">
        <f t="shared" si="4"/>
        <v>0</v>
      </c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</row>
    <row r="29" spans="2:42" s="56" customFormat="1">
      <c r="B29" s="45">
        <v>21</v>
      </c>
      <c r="C29" s="43" t="s">
        <v>99</v>
      </c>
      <c r="D29" s="51"/>
      <c r="E29" s="51"/>
      <c r="F29" s="52"/>
      <c r="G29" s="52"/>
      <c r="H29" s="52"/>
      <c r="I29" s="52">
        <f t="shared" si="0"/>
        <v>0</v>
      </c>
      <c r="J29" s="52"/>
      <c r="K29" s="52"/>
      <c r="L29" s="52"/>
      <c r="M29" s="52">
        <f t="shared" si="1"/>
        <v>0</v>
      </c>
      <c r="N29" s="52"/>
      <c r="O29" s="52"/>
      <c r="P29" s="52"/>
      <c r="Q29" s="52">
        <f t="shared" si="2"/>
        <v>0</v>
      </c>
      <c r="R29" s="52"/>
      <c r="S29" s="52"/>
      <c r="T29" s="52"/>
      <c r="U29" s="52">
        <f t="shared" si="3"/>
        <v>0</v>
      </c>
      <c r="V29" s="52"/>
      <c r="W29" s="52"/>
      <c r="X29" s="52"/>
      <c r="Y29" s="53">
        <f t="shared" si="4"/>
        <v>0</v>
      </c>
    </row>
    <row r="30" spans="2:42" s="56" customFormat="1">
      <c r="B30" s="45">
        <v>22</v>
      </c>
      <c r="C30" s="43" t="s">
        <v>100</v>
      </c>
      <c r="D30" s="52"/>
      <c r="E30" s="52"/>
      <c r="F30" s="52"/>
      <c r="G30" s="52"/>
      <c r="H30" s="52"/>
      <c r="I30" s="52">
        <f t="shared" si="0"/>
        <v>0</v>
      </c>
      <c r="J30" s="52"/>
      <c r="K30" s="52"/>
      <c r="L30" s="52"/>
      <c r="M30" s="52">
        <f t="shared" si="1"/>
        <v>0</v>
      </c>
      <c r="N30" s="52"/>
      <c r="O30" s="52"/>
      <c r="P30" s="52"/>
      <c r="Q30" s="52">
        <f t="shared" si="2"/>
        <v>0</v>
      </c>
      <c r="R30" s="52"/>
      <c r="S30" s="52"/>
      <c r="T30" s="52"/>
      <c r="U30" s="52">
        <f t="shared" si="3"/>
        <v>0</v>
      </c>
      <c r="V30" s="52"/>
      <c r="W30" s="52"/>
      <c r="X30" s="52"/>
      <c r="Y30" s="53">
        <f t="shared" si="4"/>
        <v>0</v>
      </c>
    </row>
    <row r="31" spans="2:42" s="56" customFormat="1" ht="13.5" thickBot="1">
      <c r="B31" s="45">
        <v>23</v>
      </c>
      <c r="C31" s="43" t="s">
        <v>101</v>
      </c>
      <c r="D31" s="52"/>
      <c r="E31" s="52"/>
      <c r="F31" s="52"/>
      <c r="G31" s="52"/>
      <c r="H31" s="52"/>
      <c r="I31" s="52">
        <f t="shared" si="0"/>
        <v>0</v>
      </c>
      <c r="J31" s="52"/>
      <c r="K31" s="52"/>
      <c r="L31" s="52"/>
      <c r="M31" s="52">
        <f t="shared" si="1"/>
        <v>0</v>
      </c>
      <c r="N31" s="52"/>
      <c r="O31" s="52"/>
      <c r="P31" s="52"/>
      <c r="Q31" s="52">
        <f t="shared" si="2"/>
        <v>0</v>
      </c>
      <c r="R31" s="52"/>
      <c r="S31" s="52"/>
      <c r="T31" s="52"/>
      <c r="U31" s="52">
        <f t="shared" si="3"/>
        <v>0</v>
      </c>
      <c r="V31" s="52"/>
      <c r="W31" s="52"/>
      <c r="X31" s="52"/>
      <c r="Y31" s="53">
        <f t="shared" si="4"/>
        <v>0</v>
      </c>
    </row>
    <row r="32" spans="2:42" ht="16.5" thickBot="1">
      <c r="B32" s="423" t="s">
        <v>7</v>
      </c>
      <c r="C32" s="424"/>
      <c r="D32" s="57">
        <f t="shared" ref="D32:Y32" si="5">SUM(D9:D31)</f>
        <v>0</v>
      </c>
      <c r="E32" s="57">
        <f t="shared" si="5"/>
        <v>0</v>
      </c>
      <c r="F32" s="57">
        <f t="shared" si="5"/>
        <v>0</v>
      </c>
      <c r="G32" s="57">
        <f t="shared" si="5"/>
        <v>1056</v>
      </c>
      <c r="H32" s="57">
        <f t="shared" si="5"/>
        <v>991</v>
      </c>
      <c r="I32" s="57">
        <f t="shared" si="5"/>
        <v>2047</v>
      </c>
      <c r="J32" s="57">
        <f t="shared" si="5"/>
        <v>0</v>
      </c>
      <c r="K32" s="57">
        <f t="shared" si="5"/>
        <v>1101</v>
      </c>
      <c r="L32" s="57">
        <f t="shared" si="5"/>
        <v>952</v>
      </c>
      <c r="M32" s="57">
        <f t="shared" si="5"/>
        <v>2053</v>
      </c>
      <c r="N32" s="57">
        <f t="shared" si="5"/>
        <v>0</v>
      </c>
      <c r="O32" s="57">
        <f t="shared" si="5"/>
        <v>986</v>
      </c>
      <c r="P32" s="57">
        <f t="shared" si="5"/>
        <v>839</v>
      </c>
      <c r="Q32" s="57">
        <f t="shared" si="5"/>
        <v>1825</v>
      </c>
      <c r="R32" s="57">
        <f t="shared" si="5"/>
        <v>0</v>
      </c>
      <c r="S32" s="57">
        <f t="shared" si="5"/>
        <v>836</v>
      </c>
      <c r="T32" s="57">
        <f t="shared" si="5"/>
        <v>810</v>
      </c>
      <c r="U32" s="57">
        <f t="shared" si="5"/>
        <v>1646</v>
      </c>
      <c r="V32" s="57">
        <f t="shared" si="5"/>
        <v>0</v>
      </c>
      <c r="W32" s="57">
        <f t="shared" si="5"/>
        <v>1157</v>
      </c>
      <c r="X32" s="57">
        <f t="shared" si="5"/>
        <v>995</v>
      </c>
      <c r="Y32" s="57">
        <f t="shared" si="5"/>
        <v>2152</v>
      </c>
    </row>
    <row r="33" spans="3:26">
      <c r="T33" s="58"/>
      <c r="U33" s="58"/>
      <c r="V33" s="58"/>
      <c r="W33" s="1"/>
      <c r="X33" s="1"/>
      <c r="Y33" s="1"/>
    </row>
    <row r="34" spans="3:26">
      <c r="C34" s="425" t="s">
        <v>103</v>
      </c>
      <c r="D34" s="425"/>
      <c r="E34" s="425"/>
      <c r="F34" s="59"/>
      <c r="G34" s="59"/>
      <c r="H34" s="59"/>
      <c r="I34" s="48"/>
      <c r="J34" s="48"/>
      <c r="K34" s="48"/>
      <c r="L34" s="48"/>
      <c r="M34" s="48"/>
      <c r="N34" s="48"/>
      <c r="O34" s="48"/>
      <c r="P34" s="416"/>
      <c r="Q34" s="416"/>
      <c r="R34" s="416"/>
      <c r="S34" s="416" t="s">
        <v>77</v>
      </c>
      <c r="T34" s="416"/>
      <c r="U34" s="416"/>
      <c r="V34" s="416"/>
      <c r="W34" s="416"/>
      <c r="X34" s="416"/>
      <c r="Y34" s="60"/>
      <c r="Z34" s="60"/>
    </row>
    <row r="35" spans="3:26">
      <c r="C35" s="421" t="s">
        <v>76</v>
      </c>
      <c r="D35" s="421"/>
      <c r="E35" s="421"/>
      <c r="F35" s="61"/>
      <c r="G35" s="61"/>
      <c r="H35" s="61"/>
      <c r="I35" s="48"/>
      <c r="J35" s="48"/>
      <c r="K35" s="48"/>
      <c r="L35" s="48"/>
      <c r="M35" s="48"/>
      <c r="N35" s="48"/>
      <c r="O35" s="48"/>
      <c r="P35" s="60"/>
      <c r="Q35" s="60"/>
      <c r="R35" s="60"/>
      <c r="S35" s="416" t="s">
        <v>102</v>
      </c>
      <c r="T35" s="416"/>
      <c r="U35" s="416"/>
      <c r="V35" s="416"/>
      <c r="W35" s="416"/>
      <c r="X35" s="416"/>
      <c r="Y35" s="60"/>
      <c r="Z35" s="60"/>
    </row>
  </sheetData>
  <mergeCells count="17">
    <mergeCell ref="C35:E35"/>
    <mergeCell ref="S35:X35"/>
    <mergeCell ref="J7:M7"/>
    <mergeCell ref="N7:Q7"/>
    <mergeCell ref="R7:U7"/>
    <mergeCell ref="V7:Y7"/>
    <mergeCell ref="B32:C32"/>
    <mergeCell ref="C34:E34"/>
    <mergeCell ref="P34:R34"/>
    <mergeCell ref="S34:X34"/>
    <mergeCell ref="C1:F1"/>
    <mergeCell ref="C2:F2"/>
    <mergeCell ref="C3:F3"/>
    <mergeCell ref="C4:F4"/>
    <mergeCell ref="B7:B8"/>
    <mergeCell ref="C7:C8"/>
    <mergeCell ref="F7:I7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ورقة12"/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0.39997558519241921"/>
  </sheetPr>
  <dimension ref="A1:AP29"/>
  <sheetViews>
    <sheetView rightToLeft="1" view="pageBreakPreview" topLeftCell="N1" zoomScaleNormal="100" zoomScaleSheetLayoutView="100" zoomScalePageLayoutView="71" workbookViewId="0">
      <selection activeCell="AI4" sqref="AI4:AL4"/>
    </sheetView>
  </sheetViews>
  <sheetFormatPr defaultColWidth="9" defaultRowHeight="12.75"/>
  <cols>
    <col min="1" max="1" width="3" style="35" bestFit="1" customWidth="1"/>
    <col min="2" max="2" width="12.375" style="62" customWidth="1"/>
    <col min="3" max="39" width="5.375" style="35" customWidth="1"/>
    <col min="40" max="40" width="5.875" style="35" customWidth="1"/>
    <col min="41" max="41" width="6.125" style="35" customWidth="1"/>
    <col min="42" max="42" width="6.375" style="35" customWidth="1"/>
    <col min="43" max="16384" width="9" style="35"/>
  </cols>
  <sheetData>
    <row r="1" spans="1:42">
      <c r="B1" s="63"/>
      <c r="C1" s="64"/>
      <c r="W1" s="65"/>
    </row>
    <row r="2" spans="1:42">
      <c r="B2" s="63"/>
      <c r="C2" s="64"/>
      <c r="W2" s="65"/>
    </row>
    <row r="3" spans="1:42" ht="13.5" thickBot="1">
      <c r="B3" s="63"/>
      <c r="C3" s="64"/>
      <c r="S3" s="35" t="s">
        <v>0</v>
      </c>
      <c r="W3" s="65"/>
      <c r="AM3" s="35" t="s">
        <v>0</v>
      </c>
    </row>
    <row r="4" spans="1:42" s="85" customFormat="1" ht="15.75">
      <c r="A4" s="430" t="s">
        <v>1</v>
      </c>
      <c r="B4" s="428" t="s">
        <v>75</v>
      </c>
      <c r="C4" s="431" t="s">
        <v>283</v>
      </c>
      <c r="D4" s="428"/>
      <c r="E4" s="428"/>
      <c r="F4" s="428"/>
      <c r="G4" s="428" t="s">
        <v>284</v>
      </c>
      <c r="H4" s="428"/>
      <c r="I4" s="428"/>
      <c r="J4" s="428"/>
      <c r="K4" s="428" t="s">
        <v>285</v>
      </c>
      <c r="L4" s="428"/>
      <c r="M4" s="428"/>
      <c r="N4" s="428"/>
      <c r="O4" s="428" t="s">
        <v>286</v>
      </c>
      <c r="P4" s="428"/>
      <c r="Q4" s="428"/>
      <c r="R4" s="428"/>
      <c r="S4" s="428" t="s">
        <v>287</v>
      </c>
      <c r="T4" s="428"/>
      <c r="U4" s="428"/>
      <c r="V4" s="429"/>
      <c r="W4" s="430" t="s">
        <v>288</v>
      </c>
      <c r="X4" s="428"/>
      <c r="Y4" s="428"/>
      <c r="Z4" s="428"/>
      <c r="AA4" s="428" t="s">
        <v>289</v>
      </c>
      <c r="AB4" s="428"/>
      <c r="AC4" s="428"/>
      <c r="AD4" s="428"/>
      <c r="AE4" s="428" t="s">
        <v>290</v>
      </c>
      <c r="AF4" s="428"/>
      <c r="AG4" s="428"/>
      <c r="AH4" s="428"/>
      <c r="AI4" s="428" t="s">
        <v>291</v>
      </c>
      <c r="AJ4" s="428"/>
      <c r="AK4" s="428"/>
      <c r="AL4" s="428"/>
      <c r="AM4" s="428" t="s">
        <v>108</v>
      </c>
      <c r="AN4" s="428"/>
      <c r="AO4" s="428"/>
      <c r="AP4" s="429"/>
    </row>
    <row r="5" spans="1:42" s="85" customFormat="1" ht="15.75">
      <c r="A5" s="435"/>
      <c r="B5" s="436"/>
      <c r="C5" s="81" t="s">
        <v>4</v>
      </c>
      <c r="D5" s="162" t="s">
        <v>5</v>
      </c>
      <c r="E5" s="162" t="s">
        <v>6</v>
      </c>
      <c r="F5" s="162" t="s">
        <v>7</v>
      </c>
      <c r="G5" s="162" t="s">
        <v>4</v>
      </c>
      <c r="H5" s="162" t="s">
        <v>5</v>
      </c>
      <c r="I5" s="162" t="s">
        <v>6</v>
      </c>
      <c r="J5" s="162" t="s">
        <v>7</v>
      </c>
      <c r="K5" s="162" t="s">
        <v>4</v>
      </c>
      <c r="L5" s="162" t="s">
        <v>5</v>
      </c>
      <c r="M5" s="162" t="s">
        <v>6</v>
      </c>
      <c r="N5" s="162" t="s">
        <v>7</v>
      </c>
      <c r="O5" s="162" t="s">
        <v>4</v>
      </c>
      <c r="P5" s="162" t="s">
        <v>5</v>
      </c>
      <c r="Q5" s="162" t="s">
        <v>6</v>
      </c>
      <c r="R5" s="162" t="s">
        <v>7</v>
      </c>
      <c r="S5" s="162" t="s">
        <v>4</v>
      </c>
      <c r="T5" s="162" t="s">
        <v>5</v>
      </c>
      <c r="U5" s="162" t="s">
        <v>6</v>
      </c>
      <c r="V5" s="82" t="s">
        <v>7</v>
      </c>
      <c r="W5" s="161" t="s">
        <v>4</v>
      </c>
      <c r="X5" s="162" t="s">
        <v>5</v>
      </c>
      <c r="Y5" s="162" t="s">
        <v>6</v>
      </c>
      <c r="Z5" s="162" t="s">
        <v>7</v>
      </c>
      <c r="AA5" s="162" t="s">
        <v>4</v>
      </c>
      <c r="AB5" s="162" t="s">
        <v>5</v>
      </c>
      <c r="AC5" s="162" t="s">
        <v>6</v>
      </c>
      <c r="AD5" s="162" t="s">
        <v>7</v>
      </c>
      <c r="AE5" s="162" t="s">
        <v>4</v>
      </c>
      <c r="AF5" s="162" t="s">
        <v>5</v>
      </c>
      <c r="AG5" s="162" t="s">
        <v>6</v>
      </c>
      <c r="AH5" s="162" t="s">
        <v>7</v>
      </c>
      <c r="AI5" s="162" t="s">
        <v>4</v>
      </c>
      <c r="AJ5" s="162" t="s">
        <v>5</v>
      </c>
      <c r="AK5" s="162" t="s">
        <v>6</v>
      </c>
      <c r="AL5" s="162" t="s">
        <v>7</v>
      </c>
      <c r="AM5" s="162" t="s">
        <v>4</v>
      </c>
      <c r="AN5" s="162" t="s">
        <v>5</v>
      </c>
      <c r="AO5" s="162" t="s">
        <v>6</v>
      </c>
      <c r="AP5" s="82" t="s">
        <v>7</v>
      </c>
    </row>
    <row r="6" spans="1:42" s="159" customFormat="1" ht="15.75">
      <c r="A6" s="79">
        <v>1</v>
      </c>
      <c r="B6" s="80"/>
      <c r="C6" s="68"/>
      <c r="D6" s="67"/>
      <c r="E6" s="67"/>
      <c r="F6" s="67">
        <f t="shared" ref="F6:F25" si="0">SUM(D6:E6)</f>
        <v>0</v>
      </c>
      <c r="G6" s="67"/>
      <c r="H6" s="67"/>
      <c r="I6" s="67"/>
      <c r="J6" s="67">
        <f t="shared" ref="J6:J25" si="1">SUM(H6:I6)</f>
        <v>0</v>
      </c>
      <c r="K6" s="67"/>
      <c r="L6" s="67"/>
      <c r="M6" s="67"/>
      <c r="N6" s="67">
        <f t="shared" ref="N6:N25" si="2">SUM(L6:M6)</f>
        <v>0</v>
      </c>
      <c r="O6" s="67"/>
      <c r="P6" s="67"/>
      <c r="Q6" s="67"/>
      <c r="R6" s="67">
        <f t="shared" ref="R6:R25" si="3">SUM(P6:Q6)</f>
        <v>0</v>
      </c>
      <c r="S6" s="67"/>
      <c r="T6" s="67"/>
      <c r="U6" s="67"/>
      <c r="V6" s="83">
        <f>SUM(T6:U6)</f>
        <v>0</v>
      </c>
      <c r="W6" s="69"/>
      <c r="X6" s="67"/>
      <c r="Y6" s="67"/>
      <c r="Z6" s="67">
        <f t="shared" ref="Z6:Z25" si="4">SUM(X6:Y6)</f>
        <v>0</v>
      </c>
      <c r="AA6" s="67"/>
      <c r="AB6" s="67"/>
      <c r="AC6" s="67"/>
      <c r="AD6" s="67">
        <f t="shared" ref="AD6:AD25" si="5">SUM(AB6:AC6)</f>
        <v>0</v>
      </c>
      <c r="AE6" s="67"/>
      <c r="AF6" s="67"/>
      <c r="AG6" s="67"/>
      <c r="AH6" s="67">
        <f t="shared" ref="AH6:AH25" si="6">SUM(AF6:AG6)</f>
        <v>0</v>
      </c>
      <c r="AI6" s="67"/>
      <c r="AJ6" s="67"/>
      <c r="AK6" s="67"/>
      <c r="AL6" s="67">
        <f t="shared" ref="AL6:AL25" si="7">SUM(AJ6:AK6)</f>
        <v>0</v>
      </c>
      <c r="AM6" s="67">
        <f t="shared" ref="AM6:AM25" si="8">SUM(AI6,AE6,AA6,W6,S6,O6,K6,G6,C6)</f>
        <v>0</v>
      </c>
      <c r="AN6" s="67">
        <f t="shared" ref="AN6:AN25" si="9">SUM(AF6,AJ6,AB6,X6,T6,P6,L6,H6,D6)</f>
        <v>0</v>
      </c>
      <c r="AO6" s="67">
        <f t="shared" ref="AO6:AO25" si="10">SUM(AK6,AG6,AC6,Y6,U6,Q6,M6,I6,E6)</f>
        <v>0</v>
      </c>
      <c r="AP6" s="83">
        <f t="shared" ref="AP6:AP25" si="11">SUM(AN6:AO6)</f>
        <v>0</v>
      </c>
    </row>
    <row r="7" spans="1:42" s="159" customFormat="1" ht="15.75">
      <c r="A7" s="79">
        <v>2</v>
      </c>
      <c r="B7" s="80"/>
      <c r="C7" s="68"/>
      <c r="D7" s="67"/>
      <c r="E7" s="67"/>
      <c r="F7" s="67">
        <f t="shared" si="0"/>
        <v>0</v>
      </c>
      <c r="G7" s="67"/>
      <c r="H7" s="67"/>
      <c r="I7" s="67"/>
      <c r="J7" s="67">
        <f t="shared" si="1"/>
        <v>0</v>
      </c>
      <c r="K7" s="67"/>
      <c r="L7" s="67"/>
      <c r="M7" s="67"/>
      <c r="N7" s="67">
        <f t="shared" si="2"/>
        <v>0</v>
      </c>
      <c r="O7" s="67"/>
      <c r="P7" s="67"/>
      <c r="Q7" s="67"/>
      <c r="R7" s="67">
        <f t="shared" si="3"/>
        <v>0</v>
      </c>
      <c r="S7" s="67"/>
      <c r="T7" s="67"/>
      <c r="U7" s="67"/>
      <c r="V7" s="83">
        <f t="shared" ref="V7:V25" si="12">SUM(T7:U7)</f>
        <v>0</v>
      </c>
      <c r="W7" s="69"/>
      <c r="X7" s="67"/>
      <c r="Y7" s="67"/>
      <c r="Z7" s="67">
        <f t="shared" si="4"/>
        <v>0</v>
      </c>
      <c r="AA7" s="67"/>
      <c r="AB7" s="67"/>
      <c r="AC7" s="67"/>
      <c r="AD7" s="67">
        <f t="shared" si="5"/>
        <v>0</v>
      </c>
      <c r="AE7" s="67"/>
      <c r="AF7" s="67"/>
      <c r="AG7" s="67"/>
      <c r="AH7" s="67">
        <f t="shared" si="6"/>
        <v>0</v>
      </c>
      <c r="AI7" s="67"/>
      <c r="AJ7" s="67"/>
      <c r="AK7" s="67"/>
      <c r="AL7" s="67">
        <f t="shared" si="7"/>
        <v>0</v>
      </c>
      <c r="AM7" s="67">
        <f t="shared" si="8"/>
        <v>0</v>
      </c>
      <c r="AN7" s="67">
        <f t="shared" si="9"/>
        <v>0</v>
      </c>
      <c r="AO7" s="67">
        <f t="shared" si="10"/>
        <v>0</v>
      </c>
      <c r="AP7" s="83">
        <f t="shared" si="11"/>
        <v>0</v>
      </c>
    </row>
    <row r="8" spans="1:42" s="159" customFormat="1" ht="15.75">
      <c r="A8" s="79">
        <v>3</v>
      </c>
      <c r="B8" s="80"/>
      <c r="C8" s="68"/>
      <c r="D8" s="67"/>
      <c r="E8" s="67"/>
      <c r="F8" s="67">
        <f t="shared" si="0"/>
        <v>0</v>
      </c>
      <c r="G8" s="67"/>
      <c r="H8" s="67"/>
      <c r="I8" s="67"/>
      <c r="J8" s="67">
        <f t="shared" si="1"/>
        <v>0</v>
      </c>
      <c r="K8" s="67"/>
      <c r="L8" s="67"/>
      <c r="M8" s="67"/>
      <c r="N8" s="67">
        <f t="shared" si="2"/>
        <v>0</v>
      </c>
      <c r="O8" s="67"/>
      <c r="P8" s="67"/>
      <c r="Q8" s="67"/>
      <c r="R8" s="67">
        <f t="shared" si="3"/>
        <v>0</v>
      </c>
      <c r="S8" s="67"/>
      <c r="T8" s="67"/>
      <c r="U8" s="67"/>
      <c r="V8" s="83">
        <f t="shared" si="12"/>
        <v>0</v>
      </c>
      <c r="W8" s="69"/>
      <c r="X8" s="67"/>
      <c r="Y8" s="67"/>
      <c r="Z8" s="67">
        <f t="shared" si="4"/>
        <v>0</v>
      </c>
      <c r="AA8" s="67"/>
      <c r="AB8" s="67"/>
      <c r="AC8" s="67"/>
      <c r="AD8" s="67">
        <f t="shared" si="5"/>
        <v>0</v>
      </c>
      <c r="AE8" s="67"/>
      <c r="AF8" s="67"/>
      <c r="AG8" s="67"/>
      <c r="AH8" s="67">
        <f t="shared" si="6"/>
        <v>0</v>
      </c>
      <c r="AI8" s="67"/>
      <c r="AJ8" s="67"/>
      <c r="AK8" s="67"/>
      <c r="AL8" s="67">
        <f t="shared" si="7"/>
        <v>0</v>
      </c>
      <c r="AM8" s="67">
        <f t="shared" si="8"/>
        <v>0</v>
      </c>
      <c r="AN8" s="67">
        <f t="shared" si="9"/>
        <v>0</v>
      </c>
      <c r="AO8" s="67">
        <f t="shared" si="10"/>
        <v>0</v>
      </c>
      <c r="AP8" s="83">
        <f t="shared" si="11"/>
        <v>0</v>
      </c>
    </row>
    <row r="9" spans="1:42" s="159" customFormat="1" ht="15.75">
      <c r="A9" s="79">
        <v>4</v>
      </c>
      <c r="B9" s="80"/>
      <c r="C9" s="68"/>
      <c r="D9" s="67"/>
      <c r="E9" s="67"/>
      <c r="F9" s="67">
        <f t="shared" si="0"/>
        <v>0</v>
      </c>
      <c r="G9" s="67"/>
      <c r="H9" s="67"/>
      <c r="I9" s="67"/>
      <c r="J9" s="67">
        <f t="shared" si="1"/>
        <v>0</v>
      </c>
      <c r="K9" s="67"/>
      <c r="L9" s="67"/>
      <c r="M9" s="67"/>
      <c r="N9" s="67">
        <f t="shared" si="2"/>
        <v>0</v>
      </c>
      <c r="O9" s="67"/>
      <c r="P9" s="67"/>
      <c r="Q9" s="67"/>
      <c r="R9" s="67">
        <f t="shared" si="3"/>
        <v>0</v>
      </c>
      <c r="S9" s="67"/>
      <c r="T9" s="67"/>
      <c r="U9" s="67"/>
      <c r="V9" s="83">
        <f t="shared" si="12"/>
        <v>0</v>
      </c>
      <c r="W9" s="69"/>
      <c r="X9" s="67"/>
      <c r="Y9" s="67"/>
      <c r="Z9" s="67">
        <f t="shared" si="4"/>
        <v>0</v>
      </c>
      <c r="AA9" s="67"/>
      <c r="AB9" s="67"/>
      <c r="AC9" s="67"/>
      <c r="AD9" s="67">
        <f t="shared" si="5"/>
        <v>0</v>
      </c>
      <c r="AE9" s="67"/>
      <c r="AF9" s="67"/>
      <c r="AG9" s="67"/>
      <c r="AH9" s="67">
        <f t="shared" si="6"/>
        <v>0</v>
      </c>
      <c r="AI9" s="67"/>
      <c r="AJ9" s="67"/>
      <c r="AK9" s="67"/>
      <c r="AL9" s="67">
        <f t="shared" si="7"/>
        <v>0</v>
      </c>
      <c r="AM9" s="67">
        <f t="shared" si="8"/>
        <v>0</v>
      </c>
      <c r="AN9" s="67">
        <f t="shared" si="9"/>
        <v>0</v>
      </c>
      <c r="AO9" s="67">
        <f t="shared" si="10"/>
        <v>0</v>
      </c>
      <c r="AP9" s="83">
        <f t="shared" si="11"/>
        <v>0</v>
      </c>
    </row>
    <row r="10" spans="1:42" s="159" customFormat="1" ht="15.75">
      <c r="A10" s="79">
        <v>5</v>
      </c>
      <c r="B10" s="80"/>
      <c r="C10" s="68"/>
      <c r="D10" s="67"/>
      <c r="E10" s="67"/>
      <c r="F10" s="67">
        <f t="shared" si="0"/>
        <v>0</v>
      </c>
      <c r="G10" s="67"/>
      <c r="H10" s="67"/>
      <c r="I10" s="67"/>
      <c r="J10" s="67">
        <f t="shared" si="1"/>
        <v>0</v>
      </c>
      <c r="K10" s="67"/>
      <c r="L10" s="67"/>
      <c r="M10" s="67"/>
      <c r="N10" s="67">
        <f t="shared" si="2"/>
        <v>0</v>
      </c>
      <c r="O10" s="67"/>
      <c r="P10" s="67"/>
      <c r="Q10" s="67"/>
      <c r="R10" s="67">
        <f t="shared" si="3"/>
        <v>0</v>
      </c>
      <c r="S10" s="67"/>
      <c r="T10" s="67"/>
      <c r="U10" s="67"/>
      <c r="V10" s="83">
        <f t="shared" si="12"/>
        <v>0</v>
      </c>
      <c r="W10" s="69"/>
      <c r="X10" s="67"/>
      <c r="Y10" s="67"/>
      <c r="Z10" s="67">
        <f t="shared" si="4"/>
        <v>0</v>
      </c>
      <c r="AA10" s="67"/>
      <c r="AB10" s="67"/>
      <c r="AC10" s="67"/>
      <c r="AD10" s="67">
        <f t="shared" si="5"/>
        <v>0</v>
      </c>
      <c r="AE10" s="67"/>
      <c r="AF10" s="67"/>
      <c r="AG10" s="67"/>
      <c r="AH10" s="67">
        <f t="shared" si="6"/>
        <v>0</v>
      </c>
      <c r="AI10" s="67"/>
      <c r="AJ10" s="67"/>
      <c r="AK10" s="67"/>
      <c r="AL10" s="67">
        <f t="shared" si="7"/>
        <v>0</v>
      </c>
      <c r="AM10" s="67">
        <f t="shared" si="8"/>
        <v>0</v>
      </c>
      <c r="AN10" s="67">
        <f t="shared" si="9"/>
        <v>0</v>
      </c>
      <c r="AO10" s="67">
        <f t="shared" si="10"/>
        <v>0</v>
      </c>
      <c r="AP10" s="83">
        <f t="shared" si="11"/>
        <v>0</v>
      </c>
    </row>
    <row r="11" spans="1:42" s="159" customFormat="1" ht="15.75">
      <c r="A11" s="79">
        <v>6</v>
      </c>
      <c r="B11" s="80"/>
      <c r="C11" s="68"/>
      <c r="D11" s="67"/>
      <c r="E11" s="67"/>
      <c r="F11" s="67">
        <f t="shared" si="0"/>
        <v>0</v>
      </c>
      <c r="G11" s="67"/>
      <c r="H11" s="67"/>
      <c r="I11" s="67"/>
      <c r="J11" s="67">
        <f t="shared" si="1"/>
        <v>0</v>
      </c>
      <c r="K11" s="67"/>
      <c r="L11" s="67"/>
      <c r="M11" s="67"/>
      <c r="N11" s="67">
        <f t="shared" si="2"/>
        <v>0</v>
      </c>
      <c r="O11" s="67"/>
      <c r="P11" s="67"/>
      <c r="Q11" s="67"/>
      <c r="R11" s="67">
        <f t="shared" si="3"/>
        <v>0</v>
      </c>
      <c r="S11" s="67"/>
      <c r="T11" s="67"/>
      <c r="U11" s="67"/>
      <c r="V11" s="83">
        <f t="shared" si="12"/>
        <v>0</v>
      </c>
      <c r="W11" s="69"/>
      <c r="X11" s="67"/>
      <c r="Y11" s="67"/>
      <c r="Z11" s="67">
        <f t="shared" si="4"/>
        <v>0</v>
      </c>
      <c r="AA11" s="67"/>
      <c r="AB11" s="67"/>
      <c r="AC11" s="67"/>
      <c r="AD11" s="67">
        <f t="shared" si="5"/>
        <v>0</v>
      </c>
      <c r="AE11" s="67"/>
      <c r="AF11" s="67"/>
      <c r="AG11" s="67"/>
      <c r="AH11" s="67">
        <f t="shared" si="6"/>
        <v>0</v>
      </c>
      <c r="AI11" s="67"/>
      <c r="AJ11" s="67"/>
      <c r="AK11" s="67"/>
      <c r="AL11" s="67">
        <f t="shared" si="7"/>
        <v>0</v>
      </c>
      <c r="AM11" s="67">
        <f t="shared" si="8"/>
        <v>0</v>
      </c>
      <c r="AN11" s="67">
        <f t="shared" si="9"/>
        <v>0</v>
      </c>
      <c r="AO11" s="67">
        <f t="shared" si="10"/>
        <v>0</v>
      </c>
      <c r="AP11" s="83">
        <f t="shared" si="11"/>
        <v>0</v>
      </c>
    </row>
    <row r="12" spans="1:42" s="159" customFormat="1" ht="15.75">
      <c r="A12" s="79">
        <v>7</v>
      </c>
      <c r="B12" s="80"/>
      <c r="C12" s="68"/>
      <c r="D12" s="67"/>
      <c r="E12" s="67"/>
      <c r="F12" s="67">
        <f t="shared" si="0"/>
        <v>0</v>
      </c>
      <c r="G12" s="67"/>
      <c r="H12" s="67"/>
      <c r="I12" s="67"/>
      <c r="J12" s="67">
        <f t="shared" si="1"/>
        <v>0</v>
      </c>
      <c r="K12" s="67"/>
      <c r="L12" s="67"/>
      <c r="M12" s="67"/>
      <c r="N12" s="67">
        <f t="shared" si="2"/>
        <v>0</v>
      </c>
      <c r="O12" s="67"/>
      <c r="P12" s="67"/>
      <c r="Q12" s="67"/>
      <c r="R12" s="67">
        <f t="shared" si="3"/>
        <v>0</v>
      </c>
      <c r="S12" s="67"/>
      <c r="T12" s="67"/>
      <c r="U12" s="67"/>
      <c r="V12" s="83">
        <f t="shared" si="12"/>
        <v>0</v>
      </c>
      <c r="W12" s="69"/>
      <c r="X12" s="67"/>
      <c r="Y12" s="67"/>
      <c r="Z12" s="67">
        <f t="shared" si="4"/>
        <v>0</v>
      </c>
      <c r="AA12" s="67"/>
      <c r="AB12" s="67"/>
      <c r="AC12" s="67"/>
      <c r="AD12" s="67">
        <f t="shared" si="5"/>
        <v>0</v>
      </c>
      <c r="AE12" s="67"/>
      <c r="AF12" s="67"/>
      <c r="AG12" s="67"/>
      <c r="AH12" s="67">
        <f t="shared" si="6"/>
        <v>0</v>
      </c>
      <c r="AI12" s="67"/>
      <c r="AJ12" s="67"/>
      <c r="AK12" s="67"/>
      <c r="AL12" s="67">
        <f t="shared" si="7"/>
        <v>0</v>
      </c>
      <c r="AM12" s="67">
        <f t="shared" si="8"/>
        <v>0</v>
      </c>
      <c r="AN12" s="67">
        <f t="shared" si="9"/>
        <v>0</v>
      </c>
      <c r="AO12" s="67">
        <f t="shared" si="10"/>
        <v>0</v>
      </c>
      <c r="AP12" s="83">
        <f t="shared" si="11"/>
        <v>0</v>
      </c>
    </row>
    <row r="13" spans="1:42" s="159" customFormat="1" ht="15.75">
      <c r="A13" s="79">
        <v>8</v>
      </c>
      <c r="B13" s="80"/>
      <c r="C13" s="68"/>
      <c r="D13" s="67"/>
      <c r="E13" s="67"/>
      <c r="F13" s="67">
        <f t="shared" si="0"/>
        <v>0</v>
      </c>
      <c r="G13" s="67"/>
      <c r="H13" s="67"/>
      <c r="I13" s="67"/>
      <c r="J13" s="67">
        <f t="shared" si="1"/>
        <v>0</v>
      </c>
      <c r="K13" s="67"/>
      <c r="L13" s="67"/>
      <c r="M13" s="67"/>
      <c r="N13" s="67">
        <f t="shared" si="2"/>
        <v>0</v>
      </c>
      <c r="O13" s="67"/>
      <c r="P13" s="67"/>
      <c r="Q13" s="67"/>
      <c r="R13" s="67">
        <f t="shared" si="3"/>
        <v>0</v>
      </c>
      <c r="S13" s="67"/>
      <c r="T13" s="67"/>
      <c r="U13" s="67"/>
      <c r="V13" s="83">
        <f t="shared" si="12"/>
        <v>0</v>
      </c>
      <c r="W13" s="69"/>
      <c r="X13" s="67"/>
      <c r="Y13" s="67"/>
      <c r="Z13" s="67">
        <f t="shared" si="4"/>
        <v>0</v>
      </c>
      <c r="AA13" s="67"/>
      <c r="AB13" s="67"/>
      <c r="AC13" s="67"/>
      <c r="AD13" s="67">
        <f t="shared" si="5"/>
        <v>0</v>
      </c>
      <c r="AE13" s="67"/>
      <c r="AF13" s="67"/>
      <c r="AG13" s="67"/>
      <c r="AH13" s="67">
        <f t="shared" si="6"/>
        <v>0</v>
      </c>
      <c r="AI13" s="67"/>
      <c r="AJ13" s="67"/>
      <c r="AK13" s="67"/>
      <c r="AL13" s="67">
        <f t="shared" si="7"/>
        <v>0</v>
      </c>
      <c r="AM13" s="67">
        <f t="shared" si="8"/>
        <v>0</v>
      </c>
      <c r="AN13" s="67">
        <f t="shared" si="9"/>
        <v>0</v>
      </c>
      <c r="AO13" s="67">
        <f t="shared" si="10"/>
        <v>0</v>
      </c>
      <c r="AP13" s="83">
        <f t="shared" si="11"/>
        <v>0</v>
      </c>
    </row>
    <row r="14" spans="1:42" s="159" customFormat="1" ht="15.75">
      <c r="A14" s="79">
        <v>9</v>
      </c>
      <c r="B14" s="80"/>
      <c r="C14" s="68"/>
      <c r="D14" s="67"/>
      <c r="E14" s="67"/>
      <c r="F14" s="67">
        <f t="shared" si="0"/>
        <v>0</v>
      </c>
      <c r="G14" s="67"/>
      <c r="H14" s="67"/>
      <c r="I14" s="67"/>
      <c r="J14" s="67">
        <f t="shared" si="1"/>
        <v>0</v>
      </c>
      <c r="K14" s="67"/>
      <c r="L14" s="67"/>
      <c r="M14" s="67"/>
      <c r="N14" s="67">
        <f t="shared" si="2"/>
        <v>0</v>
      </c>
      <c r="O14" s="67"/>
      <c r="P14" s="67"/>
      <c r="Q14" s="67"/>
      <c r="R14" s="67">
        <f t="shared" si="3"/>
        <v>0</v>
      </c>
      <c r="S14" s="67"/>
      <c r="T14" s="67"/>
      <c r="U14" s="67"/>
      <c r="V14" s="83">
        <f t="shared" si="12"/>
        <v>0</v>
      </c>
      <c r="W14" s="69"/>
      <c r="X14" s="67"/>
      <c r="Y14" s="67"/>
      <c r="Z14" s="67">
        <f t="shared" si="4"/>
        <v>0</v>
      </c>
      <c r="AA14" s="67"/>
      <c r="AB14" s="67"/>
      <c r="AC14" s="67"/>
      <c r="AD14" s="67">
        <f t="shared" si="5"/>
        <v>0</v>
      </c>
      <c r="AE14" s="67"/>
      <c r="AF14" s="67"/>
      <c r="AG14" s="67"/>
      <c r="AH14" s="67">
        <f t="shared" si="6"/>
        <v>0</v>
      </c>
      <c r="AI14" s="67"/>
      <c r="AJ14" s="67"/>
      <c r="AK14" s="67"/>
      <c r="AL14" s="67">
        <f t="shared" si="7"/>
        <v>0</v>
      </c>
      <c r="AM14" s="67">
        <f t="shared" si="8"/>
        <v>0</v>
      </c>
      <c r="AN14" s="67">
        <f t="shared" si="9"/>
        <v>0</v>
      </c>
      <c r="AO14" s="67">
        <f t="shared" si="10"/>
        <v>0</v>
      </c>
      <c r="AP14" s="83">
        <f t="shared" si="11"/>
        <v>0</v>
      </c>
    </row>
    <row r="15" spans="1:42" s="159" customFormat="1" ht="15.75">
      <c r="A15" s="79">
        <v>10</v>
      </c>
      <c r="B15" s="80"/>
      <c r="C15" s="68"/>
      <c r="D15" s="67"/>
      <c r="E15" s="67"/>
      <c r="F15" s="67">
        <f t="shared" si="0"/>
        <v>0</v>
      </c>
      <c r="G15" s="67"/>
      <c r="H15" s="67"/>
      <c r="I15" s="67"/>
      <c r="J15" s="67">
        <f t="shared" si="1"/>
        <v>0</v>
      </c>
      <c r="K15" s="67"/>
      <c r="L15" s="67"/>
      <c r="M15" s="67"/>
      <c r="N15" s="67">
        <f t="shared" si="2"/>
        <v>0</v>
      </c>
      <c r="O15" s="67"/>
      <c r="P15" s="67"/>
      <c r="Q15" s="67"/>
      <c r="R15" s="67">
        <f t="shared" si="3"/>
        <v>0</v>
      </c>
      <c r="S15" s="67"/>
      <c r="T15" s="67"/>
      <c r="U15" s="67"/>
      <c r="V15" s="83">
        <f t="shared" si="12"/>
        <v>0</v>
      </c>
      <c r="W15" s="69"/>
      <c r="X15" s="67"/>
      <c r="Y15" s="67"/>
      <c r="Z15" s="67">
        <f t="shared" si="4"/>
        <v>0</v>
      </c>
      <c r="AA15" s="67"/>
      <c r="AB15" s="67"/>
      <c r="AC15" s="67"/>
      <c r="AD15" s="67">
        <f t="shared" si="5"/>
        <v>0</v>
      </c>
      <c r="AE15" s="67"/>
      <c r="AF15" s="67"/>
      <c r="AG15" s="67"/>
      <c r="AH15" s="67">
        <f t="shared" si="6"/>
        <v>0</v>
      </c>
      <c r="AI15" s="67"/>
      <c r="AJ15" s="67"/>
      <c r="AK15" s="67"/>
      <c r="AL15" s="67">
        <f t="shared" si="7"/>
        <v>0</v>
      </c>
      <c r="AM15" s="67">
        <f t="shared" si="8"/>
        <v>0</v>
      </c>
      <c r="AN15" s="67">
        <f t="shared" si="9"/>
        <v>0</v>
      </c>
      <c r="AO15" s="67">
        <f t="shared" si="10"/>
        <v>0</v>
      </c>
      <c r="AP15" s="83">
        <f t="shared" si="11"/>
        <v>0</v>
      </c>
    </row>
    <row r="16" spans="1:42" s="159" customFormat="1" ht="15.75">
      <c r="A16" s="79">
        <v>11</v>
      </c>
      <c r="B16" s="80"/>
      <c r="C16" s="68"/>
      <c r="D16" s="67"/>
      <c r="E16" s="67"/>
      <c r="F16" s="67">
        <f t="shared" si="0"/>
        <v>0</v>
      </c>
      <c r="G16" s="67"/>
      <c r="H16" s="67"/>
      <c r="I16" s="67"/>
      <c r="J16" s="67">
        <f t="shared" si="1"/>
        <v>0</v>
      </c>
      <c r="K16" s="67"/>
      <c r="L16" s="67"/>
      <c r="M16" s="67"/>
      <c r="N16" s="67">
        <f t="shared" si="2"/>
        <v>0</v>
      </c>
      <c r="O16" s="67"/>
      <c r="P16" s="67"/>
      <c r="Q16" s="67"/>
      <c r="R16" s="67">
        <f t="shared" si="3"/>
        <v>0</v>
      </c>
      <c r="S16" s="67"/>
      <c r="T16" s="67"/>
      <c r="U16" s="67"/>
      <c r="V16" s="83">
        <f t="shared" si="12"/>
        <v>0</v>
      </c>
      <c r="W16" s="69"/>
      <c r="X16" s="67"/>
      <c r="Y16" s="67"/>
      <c r="Z16" s="67">
        <f t="shared" si="4"/>
        <v>0</v>
      </c>
      <c r="AA16" s="67"/>
      <c r="AB16" s="67"/>
      <c r="AC16" s="67"/>
      <c r="AD16" s="67">
        <f t="shared" si="5"/>
        <v>0</v>
      </c>
      <c r="AE16" s="67"/>
      <c r="AF16" s="67"/>
      <c r="AG16" s="67"/>
      <c r="AH16" s="67">
        <f t="shared" si="6"/>
        <v>0</v>
      </c>
      <c r="AI16" s="67"/>
      <c r="AJ16" s="67"/>
      <c r="AK16" s="67"/>
      <c r="AL16" s="67">
        <f t="shared" si="7"/>
        <v>0</v>
      </c>
      <c r="AM16" s="67">
        <f t="shared" si="8"/>
        <v>0</v>
      </c>
      <c r="AN16" s="67">
        <f>SUM(AF16,AJ16,AB16,X16,T16,P16,L16,H16,D16)</f>
        <v>0</v>
      </c>
      <c r="AO16" s="67">
        <f>SUM(AK16,AG16,AC16,Y16,U16,Q16,M16,I16,E16)</f>
        <v>0</v>
      </c>
      <c r="AP16" s="83">
        <f>SUM(AN16:AO16)</f>
        <v>0</v>
      </c>
    </row>
    <row r="17" spans="1:42" s="159" customFormat="1" ht="15.75">
      <c r="A17" s="79">
        <v>12</v>
      </c>
      <c r="B17" s="80"/>
      <c r="C17" s="68"/>
      <c r="D17" s="67"/>
      <c r="E17" s="67"/>
      <c r="F17" s="67">
        <f t="shared" si="0"/>
        <v>0</v>
      </c>
      <c r="G17" s="67"/>
      <c r="H17" s="67"/>
      <c r="I17" s="67"/>
      <c r="J17" s="67">
        <f t="shared" si="1"/>
        <v>0</v>
      </c>
      <c r="K17" s="67"/>
      <c r="L17" s="67"/>
      <c r="M17" s="67"/>
      <c r="N17" s="67">
        <f t="shared" si="2"/>
        <v>0</v>
      </c>
      <c r="O17" s="67"/>
      <c r="P17" s="67"/>
      <c r="Q17" s="67"/>
      <c r="R17" s="67">
        <f t="shared" si="3"/>
        <v>0</v>
      </c>
      <c r="S17" s="67"/>
      <c r="T17" s="67"/>
      <c r="U17" s="67"/>
      <c r="V17" s="83">
        <f t="shared" si="12"/>
        <v>0</v>
      </c>
      <c r="W17" s="69"/>
      <c r="X17" s="67"/>
      <c r="Y17" s="67"/>
      <c r="Z17" s="67">
        <f t="shared" si="4"/>
        <v>0</v>
      </c>
      <c r="AA17" s="67"/>
      <c r="AB17" s="67"/>
      <c r="AC17" s="67"/>
      <c r="AD17" s="67">
        <f t="shared" si="5"/>
        <v>0</v>
      </c>
      <c r="AE17" s="67"/>
      <c r="AF17" s="67"/>
      <c r="AG17" s="67"/>
      <c r="AH17" s="67">
        <f t="shared" si="6"/>
        <v>0</v>
      </c>
      <c r="AI17" s="67"/>
      <c r="AJ17" s="67"/>
      <c r="AK17" s="67"/>
      <c r="AL17" s="67">
        <f t="shared" si="7"/>
        <v>0</v>
      </c>
      <c r="AM17" s="67">
        <f t="shared" si="8"/>
        <v>0</v>
      </c>
      <c r="AN17" s="67">
        <f t="shared" si="9"/>
        <v>0</v>
      </c>
      <c r="AO17" s="67">
        <f t="shared" si="10"/>
        <v>0</v>
      </c>
      <c r="AP17" s="83">
        <f t="shared" si="11"/>
        <v>0</v>
      </c>
    </row>
    <row r="18" spans="1:42" s="159" customFormat="1" ht="15.75">
      <c r="A18" s="79">
        <v>13</v>
      </c>
      <c r="B18" s="80"/>
      <c r="C18" s="68"/>
      <c r="D18" s="67"/>
      <c r="E18" s="67"/>
      <c r="F18" s="67">
        <f t="shared" si="0"/>
        <v>0</v>
      </c>
      <c r="G18" s="67"/>
      <c r="H18" s="67"/>
      <c r="I18" s="67"/>
      <c r="J18" s="67">
        <f t="shared" si="1"/>
        <v>0</v>
      </c>
      <c r="K18" s="67"/>
      <c r="L18" s="67"/>
      <c r="M18" s="67"/>
      <c r="N18" s="67">
        <f t="shared" si="2"/>
        <v>0</v>
      </c>
      <c r="O18" s="67"/>
      <c r="P18" s="67"/>
      <c r="Q18" s="67"/>
      <c r="R18" s="67">
        <f t="shared" si="3"/>
        <v>0</v>
      </c>
      <c r="S18" s="67"/>
      <c r="T18" s="67"/>
      <c r="U18" s="67"/>
      <c r="V18" s="83">
        <f t="shared" si="12"/>
        <v>0</v>
      </c>
      <c r="W18" s="69"/>
      <c r="X18" s="67"/>
      <c r="Y18" s="67"/>
      <c r="Z18" s="67">
        <f t="shared" si="4"/>
        <v>0</v>
      </c>
      <c r="AA18" s="67"/>
      <c r="AB18" s="67"/>
      <c r="AC18" s="67"/>
      <c r="AD18" s="67">
        <f t="shared" si="5"/>
        <v>0</v>
      </c>
      <c r="AE18" s="67"/>
      <c r="AF18" s="67"/>
      <c r="AG18" s="67"/>
      <c r="AH18" s="67">
        <f t="shared" si="6"/>
        <v>0</v>
      </c>
      <c r="AI18" s="67"/>
      <c r="AJ18" s="67"/>
      <c r="AK18" s="67"/>
      <c r="AL18" s="67">
        <f t="shared" si="7"/>
        <v>0</v>
      </c>
      <c r="AM18" s="67">
        <f t="shared" si="8"/>
        <v>0</v>
      </c>
      <c r="AN18" s="67">
        <f t="shared" si="9"/>
        <v>0</v>
      </c>
      <c r="AO18" s="67">
        <f t="shared" si="10"/>
        <v>0</v>
      </c>
      <c r="AP18" s="83">
        <f t="shared" si="11"/>
        <v>0</v>
      </c>
    </row>
    <row r="19" spans="1:42" s="159" customFormat="1" ht="15.75">
      <c r="A19" s="79">
        <v>14</v>
      </c>
      <c r="B19" s="80"/>
      <c r="C19" s="68"/>
      <c r="D19" s="67"/>
      <c r="E19" s="67"/>
      <c r="F19" s="67">
        <f t="shared" si="0"/>
        <v>0</v>
      </c>
      <c r="G19" s="67"/>
      <c r="H19" s="67"/>
      <c r="I19" s="67"/>
      <c r="J19" s="67">
        <f t="shared" si="1"/>
        <v>0</v>
      </c>
      <c r="K19" s="67"/>
      <c r="L19" s="67"/>
      <c r="M19" s="67"/>
      <c r="N19" s="67">
        <f t="shared" si="2"/>
        <v>0</v>
      </c>
      <c r="O19" s="67"/>
      <c r="P19" s="67"/>
      <c r="Q19" s="67"/>
      <c r="R19" s="67">
        <f t="shared" si="3"/>
        <v>0</v>
      </c>
      <c r="S19" s="67"/>
      <c r="T19" s="67"/>
      <c r="U19" s="67"/>
      <c r="V19" s="83">
        <f t="shared" si="12"/>
        <v>0</v>
      </c>
      <c r="W19" s="69"/>
      <c r="X19" s="67"/>
      <c r="Y19" s="67"/>
      <c r="Z19" s="67">
        <f t="shared" si="4"/>
        <v>0</v>
      </c>
      <c r="AA19" s="67"/>
      <c r="AB19" s="67"/>
      <c r="AC19" s="67"/>
      <c r="AD19" s="67">
        <f t="shared" si="5"/>
        <v>0</v>
      </c>
      <c r="AE19" s="67"/>
      <c r="AF19" s="67"/>
      <c r="AG19" s="67"/>
      <c r="AH19" s="67">
        <f t="shared" si="6"/>
        <v>0</v>
      </c>
      <c r="AI19" s="67"/>
      <c r="AJ19" s="67"/>
      <c r="AK19" s="67"/>
      <c r="AL19" s="67">
        <f t="shared" si="7"/>
        <v>0</v>
      </c>
      <c r="AM19" s="67">
        <f t="shared" si="8"/>
        <v>0</v>
      </c>
      <c r="AN19" s="67">
        <f t="shared" si="9"/>
        <v>0</v>
      </c>
      <c r="AO19" s="67">
        <f t="shared" si="10"/>
        <v>0</v>
      </c>
      <c r="AP19" s="83">
        <f t="shared" si="11"/>
        <v>0</v>
      </c>
    </row>
    <row r="20" spans="1:42" s="159" customFormat="1" ht="15.75">
      <c r="A20" s="79">
        <v>15</v>
      </c>
      <c r="B20" s="80"/>
      <c r="C20" s="68"/>
      <c r="D20" s="67"/>
      <c r="E20" s="67"/>
      <c r="F20" s="67">
        <f t="shared" si="0"/>
        <v>0</v>
      </c>
      <c r="G20" s="67"/>
      <c r="H20" s="67"/>
      <c r="I20" s="67"/>
      <c r="J20" s="67">
        <f t="shared" si="1"/>
        <v>0</v>
      </c>
      <c r="K20" s="67"/>
      <c r="L20" s="67"/>
      <c r="M20" s="67"/>
      <c r="N20" s="67">
        <f t="shared" si="2"/>
        <v>0</v>
      </c>
      <c r="O20" s="67"/>
      <c r="P20" s="67"/>
      <c r="Q20" s="67"/>
      <c r="R20" s="67">
        <f t="shared" si="3"/>
        <v>0</v>
      </c>
      <c r="S20" s="67"/>
      <c r="T20" s="67"/>
      <c r="U20" s="67"/>
      <c r="V20" s="83">
        <f t="shared" si="12"/>
        <v>0</v>
      </c>
      <c r="W20" s="69"/>
      <c r="X20" s="67"/>
      <c r="Y20" s="67"/>
      <c r="Z20" s="67">
        <f t="shared" si="4"/>
        <v>0</v>
      </c>
      <c r="AA20" s="67"/>
      <c r="AB20" s="67"/>
      <c r="AC20" s="67"/>
      <c r="AD20" s="67">
        <f t="shared" si="5"/>
        <v>0</v>
      </c>
      <c r="AE20" s="67"/>
      <c r="AF20" s="67"/>
      <c r="AG20" s="67"/>
      <c r="AH20" s="67">
        <f t="shared" si="6"/>
        <v>0</v>
      </c>
      <c r="AI20" s="67"/>
      <c r="AJ20" s="67"/>
      <c r="AK20" s="67"/>
      <c r="AL20" s="67">
        <f t="shared" si="7"/>
        <v>0</v>
      </c>
      <c r="AM20" s="67">
        <f t="shared" si="8"/>
        <v>0</v>
      </c>
      <c r="AN20" s="67">
        <f t="shared" si="9"/>
        <v>0</v>
      </c>
      <c r="AO20" s="67">
        <f t="shared" si="10"/>
        <v>0</v>
      </c>
      <c r="AP20" s="83">
        <f t="shared" si="11"/>
        <v>0</v>
      </c>
    </row>
    <row r="21" spans="1:42" s="159" customFormat="1" ht="15.75">
      <c r="A21" s="79">
        <v>16</v>
      </c>
      <c r="B21" s="80"/>
      <c r="C21" s="68"/>
      <c r="D21" s="67"/>
      <c r="E21" s="67"/>
      <c r="F21" s="67">
        <f t="shared" si="0"/>
        <v>0</v>
      </c>
      <c r="G21" s="67"/>
      <c r="H21" s="67"/>
      <c r="I21" s="67"/>
      <c r="J21" s="67">
        <f t="shared" si="1"/>
        <v>0</v>
      </c>
      <c r="K21" s="67"/>
      <c r="L21" s="67"/>
      <c r="M21" s="67"/>
      <c r="N21" s="67">
        <f t="shared" si="2"/>
        <v>0</v>
      </c>
      <c r="O21" s="67"/>
      <c r="P21" s="67"/>
      <c r="Q21" s="67"/>
      <c r="R21" s="67">
        <f t="shared" si="3"/>
        <v>0</v>
      </c>
      <c r="S21" s="67"/>
      <c r="T21" s="67"/>
      <c r="U21" s="67"/>
      <c r="V21" s="83">
        <f t="shared" si="12"/>
        <v>0</v>
      </c>
      <c r="W21" s="69"/>
      <c r="X21" s="67"/>
      <c r="Y21" s="67"/>
      <c r="Z21" s="67">
        <f t="shared" si="4"/>
        <v>0</v>
      </c>
      <c r="AA21" s="67"/>
      <c r="AB21" s="67"/>
      <c r="AC21" s="67"/>
      <c r="AD21" s="67">
        <f t="shared" si="5"/>
        <v>0</v>
      </c>
      <c r="AE21" s="67"/>
      <c r="AF21" s="67"/>
      <c r="AG21" s="67"/>
      <c r="AH21" s="67">
        <f t="shared" si="6"/>
        <v>0</v>
      </c>
      <c r="AI21" s="67"/>
      <c r="AJ21" s="67"/>
      <c r="AK21" s="67"/>
      <c r="AL21" s="67">
        <f t="shared" si="7"/>
        <v>0</v>
      </c>
      <c r="AM21" s="67">
        <f t="shared" si="8"/>
        <v>0</v>
      </c>
      <c r="AN21" s="67">
        <f t="shared" si="9"/>
        <v>0</v>
      </c>
      <c r="AO21" s="67">
        <f t="shared" si="10"/>
        <v>0</v>
      </c>
      <c r="AP21" s="83">
        <f t="shared" si="11"/>
        <v>0</v>
      </c>
    </row>
    <row r="22" spans="1:42" s="159" customFormat="1" ht="15.75">
      <c r="A22" s="79">
        <v>17</v>
      </c>
      <c r="B22" s="80"/>
      <c r="C22" s="68"/>
      <c r="D22" s="67"/>
      <c r="E22" s="67"/>
      <c r="F22" s="67">
        <f t="shared" si="0"/>
        <v>0</v>
      </c>
      <c r="G22" s="67"/>
      <c r="H22" s="67"/>
      <c r="I22" s="67"/>
      <c r="J22" s="67">
        <f t="shared" si="1"/>
        <v>0</v>
      </c>
      <c r="K22" s="67"/>
      <c r="L22" s="67"/>
      <c r="M22" s="67"/>
      <c r="N22" s="67">
        <f t="shared" si="2"/>
        <v>0</v>
      </c>
      <c r="O22" s="67"/>
      <c r="P22" s="67"/>
      <c r="Q22" s="67"/>
      <c r="R22" s="67">
        <f t="shared" si="3"/>
        <v>0</v>
      </c>
      <c r="S22" s="67"/>
      <c r="T22" s="67"/>
      <c r="U22" s="67"/>
      <c r="V22" s="83">
        <f t="shared" si="12"/>
        <v>0</v>
      </c>
      <c r="W22" s="69"/>
      <c r="X22" s="67"/>
      <c r="Y22" s="67"/>
      <c r="Z22" s="67">
        <f t="shared" si="4"/>
        <v>0</v>
      </c>
      <c r="AA22" s="67"/>
      <c r="AB22" s="67"/>
      <c r="AC22" s="67"/>
      <c r="AD22" s="67">
        <f t="shared" si="5"/>
        <v>0</v>
      </c>
      <c r="AE22" s="67"/>
      <c r="AF22" s="67"/>
      <c r="AG22" s="67"/>
      <c r="AH22" s="67">
        <f t="shared" si="6"/>
        <v>0</v>
      </c>
      <c r="AI22" s="67"/>
      <c r="AJ22" s="67"/>
      <c r="AK22" s="67"/>
      <c r="AL22" s="67">
        <f t="shared" si="7"/>
        <v>0</v>
      </c>
      <c r="AM22" s="67">
        <f t="shared" si="8"/>
        <v>0</v>
      </c>
      <c r="AN22" s="67">
        <f t="shared" si="9"/>
        <v>0</v>
      </c>
      <c r="AO22" s="67">
        <f t="shared" si="10"/>
        <v>0</v>
      </c>
      <c r="AP22" s="83">
        <f t="shared" si="11"/>
        <v>0</v>
      </c>
    </row>
    <row r="23" spans="1:42" s="159" customFormat="1" ht="15.75">
      <c r="A23" s="79">
        <v>18</v>
      </c>
      <c r="B23" s="80"/>
      <c r="C23" s="68"/>
      <c r="D23" s="67"/>
      <c r="E23" s="67"/>
      <c r="F23" s="67">
        <f t="shared" si="0"/>
        <v>0</v>
      </c>
      <c r="G23" s="67"/>
      <c r="H23" s="67"/>
      <c r="I23" s="67"/>
      <c r="J23" s="67">
        <f t="shared" si="1"/>
        <v>0</v>
      </c>
      <c r="K23" s="67"/>
      <c r="L23" s="67"/>
      <c r="M23" s="67"/>
      <c r="N23" s="67">
        <f t="shared" si="2"/>
        <v>0</v>
      </c>
      <c r="O23" s="67"/>
      <c r="P23" s="67"/>
      <c r="Q23" s="67"/>
      <c r="R23" s="67">
        <f t="shared" si="3"/>
        <v>0</v>
      </c>
      <c r="S23" s="67"/>
      <c r="T23" s="67"/>
      <c r="U23" s="67"/>
      <c r="V23" s="83">
        <f t="shared" si="12"/>
        <v>0</v>
      </c>
      <c r="W23" s="69"/>
      <c r="X23" s="67"/>
      <c r="Y23" s="67"/>
      <c r="Z23" s="67">
        <f t="shared" si="4"/>
        <v>0</v>
      </c>
      <c r="AA23" s="67"/>
      <c r="AB23" s="67"/>
      <c r="AC23" s="67"/>
      <c r="AD23" s="67">
        <f t="shared" si="5"/>
        <v>0</v>
      </c>
      <c r="AE23" s="67"/>
      <c r="AF23" s="67"/>
      <c r="AG23" s="67"/>
      <c r="AH23" s="67">
        <f t="shared" si="6"/>
        <v>0</v>
      </c>
      <c r="AI23" s="67"/>
      <c r="AJ23" s="67"/>
      <c r="AK23" s="67"/>
      <c r="AL23" s="67">
        <f t="shared" si="7"/>
        <v>0</v>
      </c>
      <c r="AM23" s="67">
        <f t="shared" si="8"/>
        <v>0</v>
      </c>
      <c r="AN23" s="67">
        <f t="shared" si="9"/>
        <v>0</v>
      </c>
      <c r="AO23" s="67">
        <f t="shared" si="10"/>
        <v>0</v>
      </c>
      <c r="AP23" s="83">
        <f t="shared" si="11"/>
        <v>0</v>
      </c>
    </row>
    <row r="24" spans="1:42" s="159" customFormat="1" ht="15.75">
      <c r="A24" s="79">
        <v>19</v>
      </c>
      <c r="B24" s="80"/>
      <c r="C24" s="68"/>
      <c r="D24" s="67"/>
      <c r="E24" s="67"/>
      <c r="F24" s="67">
        <f t="shared" si="0"/>
        <v>0</v>
      </c>
      <c r="G24" s="67"/>
      <c r="H24" s="67"/>
      <c r="I24" s="67"/>
      <c r="J24" s="67">
        <f t="shared" si="1"/>
        <v>0</v>
      </c>
      <c r="K24" s="67"/>
      <c r="L24" s="67"/>
      <c r="M24" s="67"/>
      <c r="N24" s="67">
        <f t="shared" si="2"/>
        <v>0</v>
      </c>
      <c r="O24" s="67"/>
      <c r="P24" s="67"/>
      <c r="Q24" s="67"/>
      <c r="R24" s="67">
        <f t="shared" si="3"/>
        <v>0</v>
      </c>
      <c r="S24" s="67"/>
      <c r="T24" s="67"/>
      <c r="U24" s="67"/>
      <c r="V24" s="83">
        <f t="shared" si="12"/>
        <v>0</v>
      </c>
      <c r="W24" s="69"/>
      <c r="X24" s="67"/>
      <c r="Y24" s="67"/>
      <c r="Z24" s="67">
        <f t="shared" si="4"/>
        <v>0</v>
      </c>
      <c r="AA24" s="67"/>
      <c r="AB24" s="67"/>
      <c r="AC24" s="67"/>
      <c r="AD24" s="67">
        <f t="shared" si="5"/>
        <v>0</v>
      </c>
      <c r="AE24" s="67"/>
      <c r="AF24" s="67"/>
      <c r="AG24" s="67"/>
      <c r="AH24" s="67">
        <f t="shared" si="6"/>
        <v>0</v>
      </c>
      <c r="AI24" s="67"/>
      <c r="AJ24" s="67"/>
      <c r="AK24" s="67"/>
      <c r="AL24" s="67">
        <f t="shared" si="7"/>
        <v>0</v>
      </c>
      <c r="AM24" s="67">
        <f t="shared" si="8"/>
        <v>0</v>
      </c>
      <c r="AN24" s="67">
        <f t="shared" si="9"/>
        <v>0</v>
      </c>
      <c r="AO24" s="67">
        <f t="shared" si="10"/>
        <v>0</v>
      </c>
      <c r="AP24" s="83">
        <f t="shared" si="11"/>
        <v>0</v>
      </c>
    </row>
    <row r="25" spans="1:42" s="56" customFormat="1" ht="15.75">
      <c r="A25" s="79">
        <v>20</v>
      </c>
      <c r="B25" s="80"/>
      <c r="C25" s="68"/>
      <c r="D25" s="67"/>
      <c r="E25" s="67"/>
      <c r="F25" s="67">
        <f t="shared" si="0"/>
        <v>0</v>
      </c>
      <c r="G25" s="67"/>
      <c r="H25" s="67"/>
      <c r="I25" s="67"/>
      <c r="J25" s="67">
        <f t="shared" si="1"/>
        <v>0</v>
      </c>
      <c r="K25" s="67"/>
      <c r="L25" s="67"/>
      <c r="M25" s="67"/>
      <c r="N25" s="67">
        <f t="shared" si="2"/>
        <v>0</v>
      </c>
      <c r="O25" s="67"/>
      <c r="P25" s="67"/>
      <c r="Q25" s="67"/>
      <c r="R25" s="67">
        <f t="shared" si="3"/>
        <v>0</v>
      </c>
      <c r="S25" s="67"/>
      <c r="T25" s="67"/>
      <c r="U25" s="67"/>
      <c r="V25" s="83">
        <f t="shared" si="12"/>
        <v>0</v>
      </c>
      <c r="W25" s="69"/>
      <c r="X25" s="67"/>
      <c r="Y25" s="67"/>
      <c r="Z25" s="67">
        <f t="shared" si="4"/>
        <v>0</v>
      </c>
      <c r="AA25" s="67"/>
      <c r="AB25" s="67"/>
      <c r="AC25" s="67"/>
      <c r="AD25" s="67">
        <f t="shared" si="5"/>
        <v>0</v>
      </c>
      <c r="AE25" s="67"/>
      <c r="AF25" s="67"/>
      <c r="AG25" s="67"/>
      <c r="AH25" s="67">
        <f t="shared" si="6"/>
        <v>0</v>
      </c>
      <c r="AI25" s="67"/>
      <c r="AJ25" s="67"/>
      <c r="AK25" s="67"/>
      <c r="AL25" s="67">
        <f t="shared" si="7"/>
        <v>0</v>
      </c>
      <c r="AM25" s="67">
        <f t="shared" si="8"/>
        <v>0</v>
      </c>
      <c r="AN25" s="67">
        <f t="shared" si="9"/>
        <v>0</v>
      </c>
      <c r="AO25" s="67">
        <f t="shared" si="10"/>
        <v>0</v>
      </c>
      <c r="AP25" s="83">
        <f t="shared" si="11"/>
        <v>0</v>
      </c>
    </row>
    <row r="26" spans="1:42" s="89" customFormat="1" ht="16.5" thickBot="1">
      <c r="A26" s="433" t="s">
        <v>7</v>
      </c>
      <c r="B26" s="434"/>
      <c r="C26" s="87">
        <f t="shared" ref="C26:AP26" si="13">SUM(C6:C25)</f>
        <v>0</v>
      </c>
      <c r="D26" s="86">
        <f t="shared" si="13"/>
        <v>0</v>
      </c>
      <c r="E26" s="86">
        <f t="shared" si="13"/>
        <v>0</v>
      </c>
      <c r="F26" s="86">
        <f t="shared" si="13"/>
        <v>0</v>
      </c>
      <c r="G26" s="86">
        <f t="shared" si="13"/>
        <v>0</v>
      </c>
      <c r="H26" s="86">
        <f t="shared" si="13"/>
        <v>0</v>
      </c>
      <c r="I26" s="86">
        <f t="shared" si="13"/>
        <v>0</v>
      </c>
      <c r="J26" s="86">
        <f t="shared" si="13"/>
        <v>0</v>
      </c>
      <c r="K26" s="86">
        <f t="shared" si="13"/>
        <v>0</v>
      </c>
      <c r="L26" s="86">
        <f t="shared" si="13"/>
        <v>0</v>
      </c>
      <c r="M26" s="86">
        <f t="shared" si="13"/>
        <v>0</v>
      </c>
      <c r="N26" s="86">
        <f t="shared" si="13"/>
        <v>0</v>
      </c>
      <c r="O26" s="86">
        <f t="shared" si="13"/>
        <v>0</v>
      </c>
      <c r="P26" s="86">
        <f t="shared" si="13"/>
        <v>0</v>
      </c>
      <c r="Q26" s="86">
        <f t="shared" si="13"/>
        <v>0</v>
      </c>
      <c r="R26" s="86">
        <f t="shared" si="13"/>
        <v>0</v>
      </c>
      <c r="S26" s="86">
        <f t="shared" si="13"/>
        <v>0</v>
      </c>
      <c r="T26" s="86">
        <f t="shared" si="13"/>
        <v>0</v>
      </c>
      <c r="U26" s="86">
        <f t="shared" si="13"/>
        <v>0</v>
      </c>
      <c r="V26" s="84">
        <f t="shared" si="13"/>
        <v>0</v>
      </c>
      <c r="W26" s="88">
        <f t="shared" si="13"/>
        <v>0</v>
      </c>
      <c r="X26" s="86">
        <f t="shared" si="13"/>
        <v>0</v>
      </c>
      <c r="Y26" s="86">
        <f t="shared" si="13"/>
        <v>0</v>
      </c>
      <c r="Z26" s="86">
        <f t="shared" si="13"/>
        <v>0</v>
      </c>
      <c r="AA26" s="86">
        <f t="shared" si="13"/>
        <v>0</v>
      </c>
      <c r="AB26" s="86">
        <f t="shared" si="13"/>
        <v>0</v>
      </c>
      <c r="AC26" s="86">
        <f t="shared" si="13"/>
        <v>0</v>
      </c>
      <c r="AD26" s="86">
        <f t="shared" si="13"/>
        <v>0</v>
      </c>
      <c r="AE26" s="86">
        <f t="shared" si="13"/>
        <v>0</v>
      </c>
      <c r="AF26" s="86">
        <f t="shared" si="13"/>
        <v>0</v>
      </c>
      <c r="AG26" s="86">
        <f t="shared" si="13"/>
        <v>0</v>
      </c>
      <c r="AH26" s="86">
        <f t="shared" si="13"/>
        <v>0</v>
      </c>
      <c r="AI26" s="86">
        <f t="shared" si="13"/>
        <v>0</v>
      </c>
      <c r="AJ26" s="86">
        <f t="shared" si="13"/>
        <v>0</v>
      </c>
      <c r="AK26" s="86">
        <f t="shared" si="13"/>
        <v>0</v>
      </c>
      <c r="AL26" s="86">
        <f t="shared" si="13"/>
        <v>0</v>
      </c>
      <c r="AM26" s="86">
        <f t="shared" si="13"/>
        <v>0</v>
      </c>
      <c r="AN26" s="86">
        <f t="shared" si="13"/>
        <v>0</v>
      </c>
      <c r="AO26" s="86">
        <f t="shared" si="13"/>
        <v>0</v>
      </c>
      <c r="AP26" s="84">
        <f t="shared" si="13"/>
        <v>0</v>
      </c>
    </row>
    <row r="27" spans="1:42">
      <c r="Q27" s="58"/>
      <c r="R27" s="58"/>
      <c r="S27" s="58"/>
      <c r="T27" s="66"/>
      <c r="U27" s="66"/>
      <c r="V27" s="66"/>
    </row>
    <row r="28" spans="1:42" ht="15">
      <c r="C28" s="182" t="s">
        <v>203</v>
      </c>
      <c r="D28" s="182"/>
      <c r="E28" s="182"/>
      <c r="R28" s="432" t="s">
        <v>204</v>
      </c>
      <c r="S28" s="432"/>
      <c r="T28" s="432"/>
      <c r="U28" s="432"/>
      <c r="AA28" s="187" t="s">
        <v>203</v>
      </c>
      <c r="AB28" s="187"/>
      <c r="AC28" s="187"/>
      <c r="AI28" s="432" t="s">
        <v>204</v>
      </c>
      <c r="AJ28" s="432"/>
      <c r="AK28" s="432"/>
      <c r="AL28" s="432"/>
      <c r="AM28" s="432"/>
      <c r="AN28" s="218"/>
      <c r="AO28" s="218"/>
      <c r="AP28" s="186"/>
    </row>
    <row r="29" spans="1:42" ht="15">
      <c r="C29" s="427"/>
      <c r="D29" s="427"/>
      <c r="E29" s="427"/>
      <c r="R29" s="426"/>
      <c r="S29" s="426"/>
      <c r="T29" s="426"/>
      <c r="U29" s="426"/>
      <c r="AA29" s="427"/>
      <c r="AB29" s="427"/>
      <c r="AC29" s="427"/>
      <c r="AM29" s="217"/>
      <c r="AN29" s="217"/>
      <c r="AO29" s="217"/>
      <c r="AP29" s="217"/>
    </row>
  </sheetData>
  <mergeCells count="18">
    <mergeCell ref="AM4:AP4"/>
    <mergeCell ref="AI28:AM28"/>
    <mergeCell ref="A26:B26"/>
    <mergeCell ref="R28:U28"/>
    <mergeCell ref="AE4:AH4"/>
    <mergeCell ref="AI4:AL4"/>
    <mergeCell ref="A4:A5"/>
    <mergeCell ref="B4:B5"/>
    <mergeCell ref="R29:U29"/>
    <mergeCell ref="C29:E29"/>
    <mergeCell ref="AA29:AC29"/>
    <mergeCell ref="S4:V4"/>
    <mergeCell ref="W4:Z4"/>
    <mergeCell ref="AA4:AD4"/>
    <mergeCell ref="O4:R4"/>
    <mergeCell ref="C4:F4"/>
    <mergeCell ref="G4:J4"/>
    <mergeCell ref="K4:N4"/>
  </mergeCells>
  <printOptions horizontalCentered="1"/>
  <pageMargins left="0.39370078740157483" right="0.35433070866141736" top="1.3779527559055118" bottom="0.59055118110236227" header="0.15748031496062992" footer="3.937007874015748E-2"/>
  <pageSetup paperSize="9" scale="95" fitToWidth="2" orientation="landscape" r:id="rId1"/>
  <headerFooter alignWithMargins="0">
    <oddHeader>&amp;Lالرقم : (         )
التاريخ : &amp;D&amp;C&amp;"DecoType Thuluth,غامق"بسم الله الرحمن الرحيم
&amp;G&amp;R&amp;G        &amp;"Diwani Letter,عادي"  &amp;"-,عادي"
  &amp;"-,غامق"وزارة التربية والتعليم   
مكتب التربية والتعليم - تعز  
ادارة الاحصاء والتخطيط &amp;"Diwani Letter,عادي"&amp;K00+000.</oddHeader>
  </headerFooter>
  <colBreaks count="1" manualBreakCount="1">
    <brk id="22" max="31" man="1"/>
  </colBreaks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8" tint="0.39997558519241921"/>
  </sheetPr>
  <dimension ref="A1:R35"/>
  <sheetViews>
    <sheetView rightToLeft="1" view="pageLayout" zoomScale="106" zoomScaleNormal="90" zoomScaleSheetLayoutView="100" zoomScalePageLayoutView="106" workbookViewId="0">
      <selection activeCell="O32" sqref="O32:Q32"/>
    </sheetView>
  </sheetViews>
  <sheetFormatPr defaultColWidth="9" defaultRowHeight="12.75"/>
  <cols>
    <col min="1" max="1" width="2.875" style="159" customWidth="1"/>
    <col min="2" max="2" width="10.25" style="159" customWidth="1"/>
    <col min="3" max="10" width="4.875" style="35" customWidth="1"/>
    <col min="11" max="14" width="3.875" style="35" customWidth="1"/>
    <col min="15" max="17" width="4.875" style="35" customWidth="1"/>
    <col min="18" max="18" width="5.625" style="35" customWidth="1"/>
    <col min="19" max="16384" width="9" style="35"/>
  </cols>
  <sheetData>
    <row r="1" spans="1:18">
      <c r="A1" s="188"/>
      <c r="B1" s="188"/>
    </row>
    <row r="2" spans="1:18">
      <c r="A2" s="188"/>
      <c r="B2" s="188"/>
    </row>
    <row r="3" spans="1:18">
      <c r="A3" s="188"/>
      <c r="B3" s="188"/>
    </row>
    <row r="4" spans="1:18">
      <c r="A4" s="188"/>
      <c r="B4" s="188"/>
    </row>
    <row r="5" spans="1:18">
      <c r="A5" s="188"/>
      <c r="B5" s="188"/>
    </row>
    <row r="6" spans="1:18" ht="9.75" customHeight="1"/>
    <row r="7" spans="1:18" ht="9.75" customHeight="1">
      <c r="B7" s="60"/>
      <c r="C7" s="60"/>
      <c r="D7" s="60"/>
    </row>
    <row r="8" spans="1:18" ht="9.75" customHeight="1">
      <c r="B8" s="60"/>
      <c r="C8" s="60"/>
      <c r="D8" s="60"/>
    </row>
    <row r="9" spans="1:18" ht="9.75" customHeight="1" thickBot="1">
      <c r="B9" s="60"/>
      <c r="C9" s="60"/>
      <c r="D9" s="60"/>
    </row>
    <row r="10" spans="1:18" s="36" customFormat="1" ht="17.25" customHeight="1">
      <c r="A10" s="440" t="s">
        <v>1</v>
      </c>
      <c r="B10" s="440" t="s">
        <v>75</v>
      </c>
      <c r="C10" s="442" t="s">
        <v>133</v>
      </c>
      <c r="D10" s="437"/>
      <c r="E10" s="437"/>
      <c r="F10" s="437"/>
      <c r="G10" s="437" t="s">
        <v>134</v>
      </c>
      <c r="H10" s="437"/>
      <c r="I10" s="437"/>
      <c r="J10" s="437"/>
      <c r="K10" s="437" t="s">
        <v>135</v>
      </c>
      <c r="L10" s="437"/>
      <c r="M10" s="437"/>
      <c r="N10" s="437"/>
      <c r="O10" s="437" t="s">
        <v>7</v>
      </c>
      <c r="P10" s="437"/>
      <c r="Q10" s="437"/>
      <c r="R10" s="437"/>
    </row>
    <row r="11" spans="1:18" ht="16.5" thickBot="1">
      <c r="A11" s="441"/>
      <c r="B11" s="441"/>
      <c r="C11" s="75" t="s">
        <v>8</v>
      </c>
      <c r="D11" s="160" t="s">
        <v>9</v>
      </c>
      <c r="E11" s="160" t="s">
        <v>6</v>
      </c>
      <c r="F11" s="76" t="s">
        <v>10</v>
      </c>
      <c r="G11" s="75" t="s">
        <v>8</v>
      </c>
      <c r="H11" s="160" t="s">
        <v>9</v>
      </c>
      <c r="I11" s="160" t="s">
        <v>6</v>
      </c>
      <c r="J11" s="76" t="s">
        <v>10</v>
      </c>
      <c r="K11" s="75" t="s">
        <v>8</v>
      </c>
      <c r="L11" s="160" t="s">
        <v>9</v>
      </c>
      <c r="M11" s="160" t="s">
        <v>6</v>
      </c>
      <c r="N11" s="76" t="s">
        <v>10</v>
      </c>
      <c r="O11" s="75" t="s">
        <v>8</v>
      </c>
      <c r="P11" s="160" t="s">
        <v>9</v>
      </c>
      <c r="Q11" s="160" t="s">
        <v>6</v>
      </c>
      <c r="R11" s="76" t="s">
        <v>10</v>
      </c>
    </row>
    <row r="12" spans="1:18" ht="14.25" customHeight="1">
      <c r="A12" s="72">
        <v>1</v>
      </c>
      <c r="B12" s="72"/>
      <c r="C12" s="42"/>
      <c r="D12" s="42"/>
      <c r="E12" s="42"/>
      <c r="F12" s="42">
        <f>SUM(D12:E12)</f>
        <v>0</v>
      </c>
      <c r="G12" s="42"/>
      <c r="H12" s="42"/>
      <c r="I12" s="42"/>
      <c r="J12" s="42">
        <f>SUM(H12:I12)</f>
        <v>0</v>
      </c>
      <c r="K12" s="42"/>
      <c r="L12" s="42"/>
      <c r="M12" s="42"/>
      <c r="N12" s="42">
        <f>SUM(L12:M12)</f>
        <v>0</v>
      </c>
      <c r="O12" s="42">
        <f>C12+G12+K12</f>
        <v>0</v>
      </c>
      <c r="P12" s="42">
        <f>D12+H12+L12</f>
        <v>0</v>
      </c>
      <c r="Q12" s="42">
        <f>E12+I12+M12</f>
        <v>0</v>
      </c>
      <c r="R12" s="77">
        <f>SUM(P12:Q12)</f>
        <v>0</v>
      </c>
    </row>
    <row r="13" spans="1:18" s="44" customFormat="1" ht="14.25" customHeight="1" thickBot="1">
      <c r="A13" s="73">
        <v>2</v>
      </c>
      <c r="B13" s="73"/>
      <c r="C13" s="41"/>
      <c r="D13" s="42"/>
      <c r="E13" s="42"/>
      <c r="F13" s="42">
        <f t="shared" ref="F13:F31" si="0">SUM(D13:E13)</f>
        <v>0</v>
      </c>
      <c r="G13" s="42"/>
      <c r="H13" s="42"/>
      <c r="I13" s="42"/>
      <c r="J13" s="42">
        <f t="shared" ref="J13:J31" si="1">SUM(H13:I13)</f>
        <v>0</v>
      </c>
      <c r="K13" s="42"/>
      <c r="L13" s="42"/>
      <c r="M13" s="42"/>
      <c r="N13" s="42">
        <f t="shared" ref="N13:N17" si="2">SUM(L13:M13)</f>
        <v>0</v>
      </c>
      <c r="O13" s="42">
        <f t="shared" ref="O13:O32" si="3">C13+G13+K13</f>
        <v>0</v>
      </c>
      <c r="P13" s="42">
        <f t="shared" ref="P13:P32" si="4">D13+H13+L13</f>
        <v>0</v>
      </c>
      <c r="Q13" s="42">
        <f t="shared" ref="Q13:Q32" si="5">E13+I13+M13</f>
        <v>0</v>
      </c>
      <c r="R13" s="77">
        <f t="shared" ref="R13:R32" si="6">SUM(P13:Q13)</f>
        <v>0</v>
      </c>
    </row>
    <row r="14" spans="1:18" ht="14.25" customHeight="1">
      <c r="A14" s="72">
        <v>3</v>
      </c>
      <c r="B14" s="73"/>
      <c r="C14" s="42"/>
      <c r="D14" s="42"/>
      <c r="E14" s="42"/>
      <c r="F14" s="42">
        <f t="shared" si="0"/>
        <v>0</v>
      </c>
      <c r="G14" s="42"/>
      <c r="H14" s="42"/>
      <c r="I14" s="42"/>
      <c r="J14" s="42">
        <f t="shared" si="1"/>
        <v>0</v>
      </c>
      <c r="K14" s="42"/>
      <c r="L14" s="42"/>
      <c r="M14" s="42"/>
      <c r="N14" s="42">
        <f t="shared" si="2"/>
        <v>0</v>
      </c>
      <c r="O14" s="42">
        <f t="shared" si="3"/>
        <v>0</v>
      </c>
      <c r="P14" s="42">
        <f t="shared" si="4"/>
        <v>0</v>
      </c>
      <c r="Q14" s="42">
        <f t="shared" si="5"/>
        <v>0</v>
      </c>
      <c r="R14" s="77">
        <f t="shared" si="6"/>
        <v>0</v>
      </c>
    </row>
    <row r="15" spans="1:18" ht="14.25" customHeight="1" thickBot="1">
      <c r="A15" s="73">
        <v>4</v>
      </c>
      <c r="B15" s="73"/>
      <c r="C15" s="42"/>
      <c r="D15" s="42"/>
      <c r="E15" s="42"/>
      <c r="F15" s="42">
        <f t="shared" si="0"/>
        <v>0</v>
      </c>
      <c r="G15" s="42"/>
      <c r="H15" s="42"/>
      <c r="I15" s="42"/>
      <c r="J15" s="42">
        <f t="shared" si="1"/>
        <v>0</v>
      </c>
      <c r="K15" s="42"/>
      <c r="L15" s="42"/>
      <c r="M15" s="42"/>
      <c r="N15" s="42">
        <f t="shared" si="2"/>
        <v>0</v>
      </c>
      <c r="O15" s="42">
        <f t="shared" si="3"/>
        <v>0</v>
      </c>
      <c r="P15" s="42">
        <f t="shared" si="4"/>
        <v>0</v>
      </c>
      <c r="Q15" s="42">
        <f t="shared" si="5"/>
        <v>0</v>
      </c>
      <c r="R15" s="77">
        <f t="shared" si="6"/>
        <v>0</v>
      </c>
    </row>
    <row r="16" spans="1:18" ht="14.25" customHeight="1">
      <c r="A16" s="72">
        <v>5</v>
      </c>
      <c r="B16" s="73"/>
      <c r="C16" s="42"/>
      <c r="D16" s="42"/>
      <c r="E16" s="42"/>
      <c r="F16" s="42">
        <f t="shared" si="0"/>
        <v>0</v>
      </c>
      <c r="G16" s="42"/>
      <c r="H16" s="42"/>
      <c r="I16" s="42"/>
      <c r="J16" s="42">
        <f t="shared" si="1"/>
        <v>0</v>
      </c>
      <c r="K16" s="42"/>
      <c r="L16" s="42"/>
      <c r="M16" s="42"/>
      <c r="N16" s="42">
        <v>0</v>
      </c>
      <c r="O16" s="42">
        <f t="shared" si="3"/>
        <v>0</v>
      </c>
      <c r="P16" s="42">
        <f t="shared" si="4"/>
        <v>0</v>
      </c>
      <c r="Q16" s="42">
        <f t="shared" si="5"/>
        <v>0</v>
      </c>
      <c r="R16" s="77">
        <f t="shared" si="6"/>
        <v>0</v>
      </c>
    </row>
    <row r="17" spans="1:18" ht="14.25" customHeight="1" thickBot="1">
      <c r="A17" s="73">
        <v>6</v>
      </c>
      <c r="B17" s="73"/>
      <c r="C17" s="42"/>
      <c r="D17" s="42"/>
      <c r="E17" s="42"/>
      <c r="F17" s="42">
        <f t="shared" si="0"/>
        <v>0</v>
      </c>
      <c r="G17" s="42"/>
      <c r="H17" s="42"/>
      <c r="I17" s="42"/>
      <c r="J17" s="42">
        <f t="shared" si="1"/>
        <v>0</v>
      </c>
      <c r="K17" s="42"/>
      <c r="L17" s="42"/>
      <c r="M17" s="42"/>
      <c r="N17" s="42">
        <f t="shared" si="2"/>
        <v>0</v>
      </c>
      <c r="O17" s="42">
        <f t="shared" si="3"/>
        <v>0</v>
      </c>
      <c r="P17" s="42">
        <f t="shared" si="4"/>
        <v>0</v>
      </c>
      <c r="Q17" s="42">
        <f t="shared" si="5"/>
        <v>0</v>
      </c>
      <c r="R17" s="77">
        <f t="shared" si="6"/>
        <v>0</v>
      </c>
    </row>
    <row r="18" spans="1:18" ht="14.25" customHeight="1">
      <c r="A18" s="72">
        <v>7</v>
      </c>
      <c r="B18" s="73"/>
      <c r="C18" s="42"/>
      <c r="D18" s="42"/>
      <c r="E18" s="42"/>
      <c r="F18" s="42">
        <f t="shared" si="0"/>
        <v>0</v>
      </c>
      <c r="G18" s="42"/>
      <c r="H18" s="42"/>
      <c r="I18" s="42"/>
      <c r="J18" s="42">
        <f t="shared" si="1"/>
        <v>0</v>
      </c>
      <c r="K18" s="42"/>
      <c r="L18" s="42"/>
      <c r="M18" s="42"/>
      <c r="N18" s="42">
        <v>0</v>
      </c>
      <c r="O18" s="42">
        <f t="shared" si="3"/>
        <v>0</v>
      </c>
      <c r="P18" s="42">
        <f t="shared" si="4"/>
        <v>0</v>
      </c>
      <c r="Q18" s="42">
        <f t="shared" si="5"/>
        <v>0</v>
      </c>
      <c r="R18" s="77">
        <f t="shared" si="6"/>
        <v>0</v>
      </c>
    </row>
    <row r="19" spans="1:18" ht="14.25" customHeight="1">
      <c r="A19" s="74">
        <v>8</v>
      </c>
      <c r="B19" s="73"/>
      <c r="C19" s="42"/>
      <c r="D19" s="42"/>
      <c r="E19" s="42"/>
      <c r="F19" s="42">
        <f t="shared" si="0"/>
        <v>0</v>
      </c>
      <c r="G19" s="42"/>
      <c r="H19" s="42"/>
      <c r="I19" s="42"/>
      <c r="J19" s="42">
        <f t="shared" si="1"/>
        <v>0</v>
      </c>
      <c r="K19" s="42"/>
      <c r="L19" s="42"/>
      <c r="M19" s="42"/>
      <c r="N19" s="42">
        <v>0</v>
      </c>
      <c r="O19" s="42">
        <f t="shared" si="3"/>
        <v>0</v>
      </c>
      <c r="P19" s="42">
        <f t="shared" si="4"/>
        <v>0</v>
      </c>
      <c r="Q19" s="42">
        <f t="shared" si="5"/>
        <v>0</v>
      </c>
      <c r="R19" s="77">
        <f t="shared" si="6"/>
        <v>0</v>
      </c>
    </row>
    <row r="20" spans="1:18" ht="14.25" customHeight="1" thickBot="1">
      <c r="A20" s="73">
        <v>9</v>
      </c>
      <c r="B20" s="73"/>
      <c r="C20" s="46"/>
      <c r="D20" s="47"/>
      <c r="E20" s="47"/>
      <c r="F20" s="42">
        <f t="shared" si="0"/>
        <v>0</v>
      </c>
      <c r="G20" s="42"/>
      <c r="H20" s="42"/>
      <c r="I20" s="42"/>
      <c r="J20" s="42">
        <f t="shared" si="1"/>
        <v>0</v>
      </c>
      <c r="K20" s="42"/>
      <c r="L20" s="42"/>
      <c r="M20" s="42"/>
      <c r="N20" s="42">
        <v>0</v>
      </c>
      <c r="O20" s="42">
        <f t="shared" si="3"/>
        <v>0</v>
      </c>
      <c r="P20" s="42">
        <f t="shared" si="4"/>
        <v>0</v>
      </c>
      <c r="Q20" s="42">
        <f t="shared" si="5"/>
        <v>0</v>
      </c>
      <c r="R20" s="77">
        <f t="shared" si="6"/>
        <v>0</v>
      </c>
    </row>
    <row r="21" spans="1:18" ht="14.25" customHeight="1">
      <c r="A21" s="72">
        <v>10</v>
      </c>
      <c r="B21" s="72"/>
      <c r="C21" s="42"/>
      <c r="D21" s="42"/>
      <c r="E21" s="42"/>
      <c r="F21" s="42">
        <f t="shared" si="0"/>
        <v>0</v>
      </c>
      <c r="G21" s="42"/>
      <c r="H21" s="42"/>
      <c r="I21" s="42"/>
      <c r="J21" s="42">
        <f t="shared" si="1"/>
        <v>0</v>
      </c>
      <c r="K21" s="42"/>
      <c r="L21" s="42"/>
      <c r="M21" s="42"/>
      <c r="N21" s="42">
        <v>0</v>
      </c>
      <c r="O21" s="42">
        <f t="shared" si="3"/>
        <v>0</v>
      </c>
      <c r="P21" s="42">
        <f t="shared" si="4"/>
        <v>0</v>
      </c>
      <c r="Q21" s="42">
        <f t="shared" si="5"/>
        <v>0</v>
      </c>
      <c r="R21" s="77">
        <f t="shared" si="6"/>
        <v>0</v>
      </c>
    </row>
    <row r="22" spans="1:18" ht="14.25" customHeight="1" thickBot="1">
      <c r="A22" s="73">
        <v>11</v>
      </c>
      <c r="B22" s="73"/>
      <c r="C22" s="42"/>
      <c r="D22" s="42"/>
      <c r="E22" s="42"/>
      <c r="F22" s="42">
        <f t="shared" si="0"/>
        <v>0</v>
      </c>
      <c r="G22" s="42"/>
      <c r="H22" s="42"/>
      <c r="I22" s="42"/>
      <c r="J22" s="42">
        <f t="shared" si="1"/>
        <v>0</v>
      </c>
      <c r="K22" s="42"/>
      <c r="L22" s="42"/>
      <c r="M22" s="42"/>
      <c r="N22" s="42">
        <v>0</v>
      </c>
      <c r="O22" s="42">
        <f t="shared" si="3"/>
        <v>0</v>
      </c>
      <c r="P22" s="42">
        <f t="shared" si="4"/>
        <v>0</v>
      </c>
      <c r="Q22" s="42">
        <f t="shared" si="5"/>
        <v>0</v>
      </c>
      <c r="R22" s="77">
        <f t="shared" si="6"/>
        <v>0</v>
      </c>
    </row>
    <row r="23" spans="1:18" ht="14.25" customHeight="1">
      <c r="A23" s="72">
        <v>12</v>
      </c>
      <c r="B23" s="73"/>
      <c r="C23" s="42"/>
      <c r="D23" s="42"/>
      <c r="E23" s="42"/>
      <c r="F23" s="42">
        <f t="shared" si="0"/>
        <v>0</v>
      </c>
      <c r="G23" s="42"/>
      <c r="H23" s="42"/>
      <c r="I23" s="42"/>
      <c r="J23" s="42">
        <f t="shared" si="1"/>
        <v>0</v>
      </c>
      <c r="K23" s="42"/>
      <c r="L23" s="42"/>
      <c r="M23" s="42"/>
      <c r="N23" s="42">
        <v>0</v>
      </c>
      <c r="O23" s="42">
        <f t="shared" si="3"/>
        <v>0</v>
      </c>
      <c r="P23" s="42">
        <f t="shared" si="4"/>
        <v>0</v>
      </c>
      <c r="Q23" s="42">
        <f t="shared" si="5"/>
        <v>0</v>
      </c>
      <c r="R23" s="77">
        <f t="shared" si="6"/>
        <v>0</v>
      </c>
    </row>
    <row r="24" spans="1:18" ht="14.25" customHeight="1" thickBot="1">
      <c r="A24" s="73">
        <v>13</v>
      </c>
      <c r="B24" s="73"/>
      <c r="C24" s="42"/>
      <c r="D24" s="42"/>
      <c r="E24" s="42"/>
      <c r="F24" s="42">
        <f t="shared" si="0"/>
        <v>0</v>
      </c>
      <c r="G24" s="42"/>
      <c r="H24" s="42"/>
      <c r="I24" s="42"/>
      <c r="J24" s="42">
        <f t="shared" si="1"/>
        <v>0</v>
      </c>
      <c r="K24" s="42"/>
      <c r="L24" s="42"/>
      <c r="M24" s="42"/>
      <c r="N24" s="42">
        <v>0</v>
      </c>
      <c r="O24" s="42">
        <f t="shared" si="3"/>
        <v>0</v>
      </c>
      <c r="P24" s="42">
        <f t="shared" si="4"/>
        <v>0</v>
      </c>
      <c r="Q24" s="42">
        <f t="shared" si="5"/>
        <v>0</v>
      </c>
      <c r="R24" s="77">
        <f t="shared" si="6"/>
        <v>0</v>
      </c>
    </row>
    <row r="25" spans="1:18" ht="14.25" customHeight="1">
      <c r="A25" s="72">
        <v>14</v>
      </c>
      <c r="B25" s="73"/>
      <c r="C25" s="42"/>
      <c r="D25" s="42"/>
      <c r="E25" s="42"/>
      <c r="F25" s="42">
        <f t="shared" si="0"/>
        <v>0</v>
      </c>
      <c r="G25" s="42"/>
      <c r="H25" s="42"/>
      <c r="I25" s="42"/>
      <c r="J25" s="42">
        <f t="shared" si="1"/>
        <v>0</v>
      </c>
      <c r="K25" s="42"/>
      <c r="L25" s="42"/>
      <c r="M25" s="42"/>
      <c r="N25" s="42">
        <v>0</v>
      </c>
      <c r="O25" s="42">
        <f t="shared" si="3"/>
        <v>0</v>
      </c>
      <c r="P25" s="42">
        <f t="shared" si="4"/>
        <v>0</v>
      </c>
      <c r="Q25" s="42">
        <f t="shared" si="5"/>
        <v>0</v>
      </c>
      <c r="R25" s="77">
        <f t="shared" si="6"/>
        <v>0</v>
      </c>
    </row>
    <row r="26" spans="1:18" ht="14.25" customHeight="1" thickBot="1">
      <c r="A26" s="73">
        <v>15</v>
      </c>
      <c r="B26" s="73"/>
      <c r="C26" s="42"/>
      <c r="D26" s="42"/>
      <c r="E26" s="42"/>
      <c r="F26" s="42">
        <f t="shared" si="0"/>
        <v>0</v>
      </c>
      <c r="G26" s="42"/>
      <c r="H26" s="42"/>
      <c r="I26" s="42"/>
      <c r="J26" s="42">
        <f t="shared" si="1"/>
        <v>0</v>
      </c>
      <c r="K26" s="42"/>
      <c r="L26" s="42"/>
      <c r="M26" s="42"/>
      <c r="N26" s="42">
        <v>0</v>
      </c>
      <c r="O26" s="42">
        <f t="shared" si="3"/>
        <v>0</v>
      </c>
      <c r="P26" s="42">
        <f t="shared" si="4"/>
        <v>0</v>
      </c>
      <c r="Q26" s="42">
        <f t="shared" si="5"/>
        <v>0</v>
      </c>
      <c r="R26" s="77">
        <f t="shared" si="6"/>
        <v>0</v>
      </c>
    </row>
    <row r="27" spans="1:18" ht="14.25" customHeight="1">
      <c r="A27" s="72">
        <v>16</v>
      </c>
      <c r="B27" s="73"/>
      <c r="C27" s="42"/>
      <c r="D27" s="42"/>
      <c r="E27" s="42"/>
      <c r="F27" s="42">
        <f t="shared" si="0"/>
        <v>0</v>
      </c>
      <c r="G27" s="42"/>
      <c r="H27" s="42"/>
      <c r="I27" s="42"/>
      <c r="J27" s="42">
        <f t="shared" si="1"/>
        <v>0</v>
      </c>
      <c r="K27" s="42"/>
      <c r="L27" s="42"/>
      <c r="M27" s="42"/>
      <c r="N27" s="42">
        <v>0</v>
      </c>
      <c r="O27" s="42">
        <f t="shared" si="3"/>
        <v>0</v>
      </c>
      <c r="P27" s="42">
        <f t="shared" si="4"/>
        <v>0</v>
      </c>
      <c r="Q27" s="42">
        <f t="shared" si="5"/>
        <v>0</v>
      </c>
      <c r="R27" s="77">
        <f t="shared" si="6"/>
        <v>0</v>
      </c>
    </row>
    <row r="28" spans="1:18" ht="14.25" customHeight="1">
      <c r="A28" s="74">
        <v>17</v>
      </c>
      <c r="B28" s="73"/>
      <c r="C28" s="42"/>
      <c r="D28" s="42"/>
      <c r="E28" s="42"/>
      <c r="F28" s="42">
        <f t="shared" si="0"/>
        <v>0</v>
      </c>
      <c r="G28" s="42"/>
      <c r="H28" s="42"/>
      <c r="I28" s="42"/>
      <c r="J28" s="42">
        <f t="shared" si="1"/>
        <v>0</v>
      </c>
      <c r="K28" s="42"/>
      <c r="L28" s="42"/>
      <c r="M28" s="42"/>
      <c r="N28" s="42">
        <v>0</v>
      </c>
      <c r="O28" s="42">
        <f t="shared" si="3"/>
        <v>0</v>
      </c>
      <c r="P28" s="42">
        <f t="shared" si="4"/>
        <v>0</v>
      </c>
      <c r="Q28" s="42">
        <f t="shared" si="5"/>
        <v>0</v>
      </c>
      <c r="R28" s="77">
        <f t="shared" si="6"/>
        <v>0</v>
      </c>
    </row>
    <row r="29" spans="1:18" ht="14.25" customHeight="1">
      <c r="A29" s="74">
        <v>18</v>
      </c>
      <c r="B29" s="73"/>
      <c r="C29" s="42"/>
      <c r="D29" s="42"/>
      <c r="E29" s="42"/>
      <c r="F29" s="42">
        <f t="shared" si="0"/>
        <v>0</v>
      </c>
      <c r="G29" s="42"/>
      <c r="H29" s="42"/>
      <c r="I29" s="42"/>
      <c r="J29" s="42">
        <f t="shared" si="1"/>
        <v>0</v>
      </c>
      <c r="K29" s="42"/>
      <c r="L29" s="42"/>
      <c r="M29" s="42"/>
      <c r="N29" s="42">
        <v>0</v>
      </c>
      <c r="O29" s="42">
        <f t="shared" si="3"/>
        <v>0</v>
      </c>
      <c r="P29" s="42">
        <f t="shared" si="4"/>
        <v>0</v>
      </c>
      <c r="Q29" s="42">
        <f t="shared" si="5"/>
        <v>0</v>
      </c>
      <c r="R29" s="77">
        <f t="shared" si="6"/>
        <v>0</v>
      </c>
    </row>
    <row r="30" spans="1:18" ht="14.25" customHeight="1">
      <c r="A30" s="74">
        <v>19</v>
      </c>
      <c r="B30" s="73"/>
      <c r="C30" s="42"/>
      <c r="D30" s="42"/>
      <c r="E30" s="42"/>
      <c r="F30" s="42">
        <f t="shared" si="0"/>
        <v>0</v>
      </c>
      <c r="G30" s="42"/>
      <c r="H30" s="42"/>
      <c r="I30" s="42"/>
      <c r="J30" s="42">
        <f t="shared" si="1"/>
        <v>0</v>
      </c>
      <c r="K30" s="42"/>
      <c r="L30" s="42"/>
      <c r="M30" s="42"/>
      <c r="N30" s="42">
        <v>0</v>
      </c>
      <c r="O30" s="42">
        <f t="shared" si="3"/>
        <v>0</v>
      </c>
      <c r="P30" s="42">
        <f t="shared" si="4"/>
        <v>0</v>
      </c>
      <c r="Q30" s="42">
        <f t="shared" si="5"/>
        <v>0</v>
      </c>
      <c r="R30" s="77">
        <f t="shared" si="6"/>
        <v>0</v>
      </c>
    </row>
    <row r="31" spans="1:18" ht="14.25" customHeight="1">
      <c r="A31" s="74">
        <v>20</v>
      </c>
      <c r="B31" s="73"/>
      <c r="C31" s="42"/>
      <c r="D31" s="42"/>
      <c r="E31" s="42"/>
      <c r="F31" s="42">
        <f t="shared" si="0"/>
        <v>0</v>
      </c>
      <c r="G31" s="42"/>
      <c r="H31" s="42"/>
      <c r="I31" s="42"/>
      <c r="J31" s="42">
        <f t="shared" si="1"/>
        <v>0</v>
      </c>
      <c r="K31" s="42"/>
      <c r="L31" s="42"/>
      <c r="M31" s="42"/>
      <c r="N31" s="42">
        <v>0</v>
      </c>
      <c r="O31" s="42">
        <f t="shared" si="3"/>
        <v>0</v>
      </c>
      <c r="P31" s="42">
        <f t="shared" si="4"/>
        <v>0</v>
      </c>
      <c r="Q31" s="42">
        <f t="shared" si="5"/>
        <v>0</v>
      </c>
      <c r="R31" s="77">
        <f t="shared" si="6"/>
        <v>0</v>
      </c>
    </row>
    <row r="32" spans="1:18" s="78" customFormat="1" ht="21.75" customHeight="1" thickBot="1">
      <c r="A32" s="438" t="s">
        <v>13</v>
      </c>
      <c r="B32" s="439"/>
      <c r="C32" s="151">
        <f t="shared" ref="C32:N32" si="7">SUM(C12:C31)</f>
        <v>0</v>
      </c>
      <c r="D32" s="151">
        <f t="shared" si="7"/>
        <v>0</v>
      </c>
      <c r="E32" s="151">
        <f t="shared" si="7"/>
        <v>0</v>
      </c>
      <c r="F32" s="151">
        <f t="shared" si="7"/>
        <v>0</v>
      </c>
      <c r="G32" s="151">
        <f t="shared" si="7"/>
        <v>0</v>
      </c>
      <c r="H32" s="151">
        <f t="shared" si="7"/>
        <v>0</v>
      </c>
      <c r="I32" s="151">
        <f t="shared" si="7"/>
        <v>0</v>
      </c>
      <c r="J32" s="151">
        <f t="shared" si="7"/>
        <v>0</v>
      </c>
      <c r="K32" s="151">
        <f t="shared" si="7"/>
        <v>0</v>
      </c>
      <c r="L32" s="151">
        <f t="shared" si="7"/>
        <v>0</v>
      </c>
      <c r="M32" s="151">
        <f t="shared" si="7"/>
        <v>0</v>
      </c>
      <c r="N32" s="151">
        <f t="shared" si="7"/>
        <v>0</v>
      </c>
      <c r="O32" s="151">
        <f t="shared" si="3"/>
        <v>0</v>
      </c>
      <c r="P32" s="151">
        <f t="shared" si="4"/>
        <v>0</v>
      </c>
      <c r="Q32" s="151">
        <f t="shared" si="5"/>
        <v>0</v>
      </c>
      <c r="R32" s="77">
        <f t="shared" si="6"/>
        <v>0</v>
      </c>
    </row>
    <row r="34" spans="2:15" ht="15">
      <c r="B34" s="60"/>
      <c r="C34" s="60" t="s">
        <v>200</v>
      </c>
      <c r="D34" s="187"/>
      <c r="E34" s="187"/>
      <c r="F34" s="187"/>
      <c r="O34" s="60"/>
    </row>
    <row r="35" spans="2:15" ht="15">
      <c r="B35" s="60"/>
      <c r="C35" s="60"/>
      <c r="D35" s="427"/>
      <c r="E35" s="427"/>
      <c r="F35" s="427"/>
      <c r="O35" s="60"/>
    </row>
  </sheetData>
  <mergeCells count="8">
    <mergeCell ref="D35:F35"/>
    <mergeCell ref="O10:R10"/>
    <mergeCell ref="K10:N10"/>
    <mergeCell ref="A32:B32"/>
    <mergeCell ref="A10:A11"/>
    <mergeCell ref="B10:B11"/>
    <mergeCell ref="C10:F10"/>
    <mergeCell ref="G10:J10"/>
  </mergeCells>
  <printOptions horizontalCentered="1"/>
  <pageMargins left="0.23622047244094491" right="0.23622047244094491" top="0.15748031496062992" bottom="0.15748031496062992" header="0.31496062992125984" footer="0.31496062992125984"/>
  <pageSetup paperSize="9" fitToWidth="0" fitToHeight="0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ورقة3">
    <pageSetUpPr fitToPage="1"/>
  </sheetPr>
  <dimension ref="A1:P28"/>
  <sheetViews>
    <sheetView rightToLeft="1" view="pageBreakPreview" zoomScale="112" zoomScaleNormal="100" zoomScaleSheetLayoutView="112" workbookViewId="0">
      <selection activeCell="P7" sqref="P7"/>
    </sheetView>
  </sheetViews>
  <sheetFormatPr defaultColWidth="9" defaultRowHeight="15"/>
  <cols>
    <col min="1" max="1" width="3" style="121" bestFit="1" customWidth="1"/>
    <col min="2" max="2" width="8.625" style="118" bestFit="1" customWidth="1"/>
    <col min="3" max="3" width="4" style="121" bestFit="1" customWidth="1"/>
    <col min="4" max="4" width="3" style="121" bestFit="1" customWidth="1"/>
    <col min="5" max="6" width="4" style="121" bestFit="1" customWidth="1"/>
    <col min="7" max="7" width="6" style="121" bestFit="1" customWidth="1"/>
    <col min="8" max="8" width="5" style="121" bestFit="1" customWidth="1"/>
    <col min="9" max="9" width="2.5" style="121" customWidth="1"/>
    <col min="10" max="10" width="3" style="121" bestFit="1" customWidth="1"/>
    <col min="11" max="11" width="6" style="121" bestFit="1" customWidth="1"/>
    <col min="12" max="12" width="5" style="121" bestFit="1" customWidth="1"/>
    <col min="13" max="13" width="6" style="118" bestFit="1" customWidth="1"/>
    <col min="14" max="16384" width="9" style="121"/>
  </cols>
  <sheetData>
    <row r="1" spans="1:13" ht="60" customHeight="1"/>
    <row r="2" spans="1:13" ht="12.75" customHeight="1">
      <c r="G2" s="138"/>
      <c r="H2" s="138"/>
      <c r="I2" s="138"/>
      <c r="J2" s="138"/>
      <c r="K2" s="138"/>
      <c r="L2" s="138"/>
    </row>
    <row r="3" spans="1:13" ht="69" customHeight="1" thickBot="1"/>
    <row r="4" spans="1:13" s="117" customFormat="1" ht="17.25" customHeight="1">
      <c r="A4" s="363" t="s">
        <v>1</v>
      </c>
      <c r="B4" s="365" t="s">
        <v>75</v>
      </c>
      <c r="C4" s="360" t="s">
        <v>15</v>
      </c>
      <c r="D4" s="358"/>
      <c r="E4" s="360" t="s">
        <v>16</v>
      </c>
      <c r="F4" s="361"/>
      <c r="G4" s="358" t="s">
        <v>25</v>
      </c>
      <c r="H4" s="358"/>
      <c r="I4" s="358" t="s">
        <v>128</v>
      </c>
      <c r="J4" s="358"/>
      <c r="K4" s="361" t="s">
        <v>7</v>
      </c>
      <c r="L4" s="362"/>
      <c r="M4" s="360"/>
    </row>
    <row r="5" spans="1:13" ht="15.75" thickBot="1">
      <c r="A5" s="364"/>
      <c r="B5" s="366"/>
      <c r="C5" s="122" t="s">
        <v>29</v>
      </c>
      <c r="D5" s="123" t="s">
        <v>30</v>
      </c>
      <c r="E5" s="124" t="s">
        <v>29</v>
      </c>
      <c r="F5" s="125" t="s">
        <v>30</v>
      </c>
      <c r="G5" s="126" t="s">
        <v>29</v>
      </c>
      <c r="H5" s="123" t="s">
        <v>30</v>
      </c>
      <c r="I5" s="126" t="s">
        <v>29</v>
      </c>
      <c r="J5" s="123" t="s">
        <v>30</v>
      </c>
      <c r="K5" s="119" t="s">
        <v>29</v>
      </c>
      <c r="L5" s="120" t="s">
        <v>30</v>
      </c>
      <c r="M5" s="110" t="s">
        <v>31</v>
      </c>
    </row>
    <row r="6" spans="1:13" ht="15.75" thickBot="1">
      <c r="A6" s="130">
        <v>1</v>
      </c>
      <c r="B6" s="131"/>
      <c r="C6" s="129"/>
      <c r="D6" s="129"/>
      <c r="E6" s="129"/>
      <c r="F6" s="129"/>
      <c r="G6" s="129"/>
      <c r="H6" s="129"/>
      <c r="I6" s="129"/>
      <c r="J6" s="129"/>
      <c r="K6" s="132"/>
      <c r="L6" s="132"/>
      <c r="M6" s="133"/>
    </row>
    <row r="7" spans="1:13" ht="15.75" thickBot="1">
      <c r="A7" s="134">
        <v>2</v>
      </c>
      <c r="B7" s="135"/>
      <c r="C7" s="129"/>
      <c r="D7" s="129"/>
      <c r="E7" s="129"/>
      <c r="F7" s="129"/>
      <c r="G7" s="129"/>
      <c r="H7" s="129"/>
      <c r="I7" s="129"/>
      <c r="J7" s="129"/>
      <c r="K7" s="132"/>
      <c r="L7" s="132"/>
      <c r="M7" s="133"/>
    </row>
    <row r="8" spans="1:13" ht="15.75" thickBot="1">
      <c r="A8" s="130">
        <v>3</v>
      </c>
      <c r="B8" s="135"/>
      <c r="C8" s="129"/>
      <c r="D8" s="129"/>
      <c r="E8" s="129"/>
      <c r="F8" s="129"/>
      <c r="G8" s="129"/>
      <c r="H8" s="129"/>
      <c r="I8" s="129"/>
      <c r="J8" s="129"/>
      <c r="K8" s="132"/>
      <c r="L8" s="132"/>
      <c r="M8" s="133"/>
    </row>
    <row r="9" spans="1:13" ht="15.75" thickBot="1">
      <c r="A9" s="134">
        <v>4</v>
      </c>
      <c r="B9" s="135"/>
      <c r="C9" s="129"/>
      <c r="D9" s="129"/>
      <c r="E9" s="129"/>
      <c r="F9" s="129"/>
      <c r="G9" s="129"/>
      <c r="H9" s="129"/>
      <c r="I9" s="129"/>
      <c r="J9" s="129"/>
      <c r="K9" s="132"/>
      <c r="L9" s="132"/>
      <c r="M9" s="133"/>
    </row>
    <row r="10" spans="1:13" ht="15.75" thickBot="1">
      <c r="A10" s="130">
        <v>5</v>
      </c>
      <c r="B10" s="135"/>
      <c r="C10" s="129"/>
      <c r="D10" s="129"/>
      <c r="E10" s="129"/>
      <c r="F10" s="129"/>
      <c r="G10" s="129"/>
      <c r="H10" s="129"/>
      <c r="I10" s="129"/>
      <c r="J10" s="129"/>
      <c r="K10" s="132"/>
      <c r="L10" s="132"/>
      <c r="M10" s="133"/>
    </row>
    <row r="11" spans="1:13" ht="15.75" thickBot="1">
      <c r="A11" s="134">
        <v>6</v>
      </c>
      <c r="B11" s="135"/>
      <c r="C11" s="129"/>
      <c r="D11" s="129"/>
      <c r="E11" s="129"/>
      <c r="F11" s="129"/>
      <c r="G11" s="129"/>
      <c r="H11" s="129"/>
      <c r="I11" s="129"/>
      <c r="J11" s="129"/>
      <c r="K11" s="132"/>
      <c r="L11" s="132"/>
      <c r="M11" s="133"/>
    </row>
    <row r="12" spans="1:13" ht="15.75" thickBot="1">
      <c r="A12" s="130">
        <v>7</v>
      </c>
      <c r="B12" s="135"/>
      <c r="C12" s="129"/>
      <c r="D12" s="129"/>
      <c r="E12" s="129"/>
      <c r="F12" s="129"/>
      <c r="G12" s="129"/>
      <c r="H12" s="129"/>
      <c r="I12" s="129"/>
      <c r="J12" s="129"/>
      <c r="K12" s="132"/>
      <c r="L12" s="132"/>
      <c r="M12" s="133"/>
    </row>
    <row r="13" spans="1:13" ht="15.75" thickBot="1">
      <c r="A13" s="136">
        <v>8</v>
      </c>
      <c r="B13" s="135"/>
      <c r="C13" s="129"/>
      <c r="D13" s="129"/>
      <c r="E13" s="129"/>
      <c r="F13" s="129"/>
      <c r="G13" s="129"/>
      <c r="H13" s="129"/>
      <c r="I13" s="129"/>
      <c r="J13" s="129"/>
      <c r="K13" s="132"/>
      <c r="L13" s="132"/>
      <c r="M13" s="133"/>
    </row>
    <row r="14" spans="1:13" ht="15.75" thickBot="1">
      <c r="A14" s="134">
        <v>9</v>
      </c>
      <c r="B14" s="135"/>
      <c r="C14" s="129"/>
      <c r="D14" s="129"/>
      <c r="E14" s="129"/>
      <c r="F14" s="129"/>
      <c r="G14" s="129"/>
      <c r="H14" s="129"/>
      <c r="I14" s="129"/>
      <c r="J14" s="129"/>
      <c r="K14" s="132"/>
      <c r="L14" s="132"/>
      <c r="M14" s="133"/>
    </row>
    <row r="15" spans="1:13" ht="15.75" thickBot="1">
      <c r="A15" s="130">
        <v>10</v>
      </c>
      <c r="B15" s="131"/>
      <c r="C15" s="129"/>
      <c r="D15" s="129"/>
      <c r="E15" s="129"/>
      <c r="F15" s="129"/>
      <c r="G15" s="129"/>
      <c r="H15" s="129"/>
      <c r="I15" s="129"/>
      <c r="J15" s="129"/>
      <c r="K15" s="132"/>
      <c r="L15" s="132"/>
      <c r="M15" s="133"/>
    </row>
    <row r="16" spans="1:13" ht="15.75" thickBot="1">
      <c r="A16" s="134">
        <v>11</v>
      </c>
      <c r="B16" s="135"/>
      <c r="C16" s="129"/>
      <c r="D16" s="129"/>
      <c r="E16" s="129"/>
      <c r="F16" s="129"/>
      <c r="G16" s="129"/>
      <c r="H16" s="129"/>
      <c r="I16" s="129"/>
      <c r="J16" s="129"/>
      <c r="K16" s="132"/>
      <c r="L16" s="132"/>
      <c r="M16" s="133"/>
    </row>
    <row r="17" spans="1:16" ht="15.75" thickBot="1">
      <c r="A17" s="130">
        <v>12</v>
      </c>
      <c r="B17" s="135"/>
      <c r="C17" s="129"/>
      <c r="D17" s="129"/>
      <c r="E17" s="129"/>
      <c r="F17" s="129"/>
      <c r="G17" s="129"/>
      <c r="H17" s="129"/>
      <c r="I17" s="129"/>
      <c r="J17" s="129"/>
      <c r="K17" s="132"/>
      <c r="L17" s="132"/>
      <c r="M17" s="133"/>
    </row>
    <row r="18" spans="1:16" ht="15.75" thickBot="1">
      <c r="A18" s="134">
        <v>13</v>
      </c>
      <c r="B18" s="135"/>
      <c r="C18" s="129"/>
      <c r="D18" s="129"/>
      <c r="E18" s="129"/>
      <c r="F18" s="129"/>
      <c r="G18" s="129"/>
      <c r="H18" s="129"/>
      <c r="I18" s="129"/>
      <c r="J18" s="129"/>
      <c r="K18" s="132"/>
      <c r="L18" s="132"/>
      <c r="M18" s="133"/>
    </row>
    <row r="19" spans="1:16" ht="15.75" thickBot="1">
      <c r="A19" s="130">
        <v>14</v>
      </c>
      <c r="B19" s="135"/>
      <c r="C19" s="129"/>
      <c r="D19" s="129"/>
      <c r="E19" s="129"/>
      <c r="F19" s="129"/>
      <c r="G19" s="129"/>
      <c r="H19" s="129"/>
      <c r="I19" s="129"/>
      <c r="J19" s="129"/>
      <c r="K19" s="132"/>
      <c r="L19" s="132"/>
      <c r="M19" s="133"/>
    </row>
    <row r="20" spans="1:16" s="237" customFormat="1" ht="15.75" thickBot="1">
      <c r="A20" s="134">
        <v>15</v>
      </c>
      <c r="B20" s="240"/>
      <c r="C20" s="129"/>
      <c r="D20" s="129"/>
      <c r="E20" s="129"/>
      <c r="F20" s="129"/>
      <c r="G20" s="129"/>
      <c r="H20" s="129"/>
      <c r="I20" s="129"/>
      <c r="J20" s="129"/>
      <c r="K20" s="132"/>
      <c r="L20" s="132"/>
      <c r="M20" s="133"/>
    </row>
    <row r="21" spans="1:16" s="237" customFormat="1" ht="15.75" thickBot="1">
      <c r="A21" s="130">
        <v>16</v>
      </c>
      <c r="B21" s="240"/>
      <c r="C21" s="129"/>
      <c r="D21" s="129"/>
      <c r="E21" s="129"/>
      <c r="F21" s="129"/>
      <c r="G21" s="129"/>
      <c r="H21" s="129"/>
      <c r="I21" s="129"/>
      <c r="J21" s="129"/>
      <c r="K21" s="132"/>
      <c r="L21" s="132"/>
      <c r="M21" s="133"/>
    </row>
    <row r="22" spans="1:16" s="237" customFormat="1" ht="15.75" thickBot="1">
      <c r="A22" s="134">
        <v>17</v>
      </c>
      <c r="B22" s="240"/>
      <c r="C22" s="129"/>
      <c r="D22" s="129"/>
      <c r="E22" s="129"/>
      <c r="F22" s="129"/>
      <c r="G22" s="129"/>
      <c r="H22" s="129"/>
      <c r="I22" s="129"/>
      <c r="J22" s="129"/>
      <c r="K22" s="132"/>
      <c r="L22" s="132"/>
      <c r="M22" s="133"/>
    </row>
    <row r="23" spans="1:16" s="237" customFormat="1" ht="15.75" thickBot="1">
      <c r="A23" s="130">
        <v>18</v>
      </c>
      <c r="B23" s="240"/>
      <c r="C23" s="129"/>
      <c r="D23" s="129"/>
      <c r="E23" s="129"/>
      <c r="F23" s="129"/>
      <c r="G23" s="129"/>
      <c r="H23" s="129"/>
      <c r="I23" s="129"/>
      <c r="J23" s="129"/>
      <c r="K23" s="132"/>
      <c r="L23" s="132"/>
      <c r="M23" s="133"/>
    </row>
    <row r="24" spans="1:16" s="237" customFormat="1" ht="15.75" thickBot="1">
      <c r="A24" s="134">
        <v>19</v>
      </c>
      <c r="B24" s="240"/>
      <c r="C24" s="129"/>
      <c r="D24" s="129"/>
      <c r="E24" s="129"/>
      <c r="F24" s="129"/>
      <c r="G24" s="129"/>
      <c r="H24" s="129"/>
      <c r="I24" s="129"/>
      <c r="J24" s="129"/>
      <c r="K24" s="132"/>
      <c r="L24" s="132"/>
      <c r="M24" s="133"/>
    </row>
    <row r="25" spans="1:16">
      <c r="A25" s="130">
        <v>20</v>
      </c>
      <c r="B25" s="135"/>
      <c r="C25" s="129"/>
      <c r="D25" s="129"/>
      <c r="E25" s="129"/>
      <c r="F25" s="129"/>
      <c r="G25" s="129"/>
      <c r="H25" s="129"/>
      <c r="I25" s="129"/>
      <c r="J25" s="129"/>
      <c r="K25" s="132"/>
      <c r="L25" s="132"/>
      <c r="M25" s="133"/>
    </row>
    <row r="26" spans="1:16" s="118" customFormat="1" ht="18" customHeight="1">
      <c r="A26" s="341" t="s">
        <v>13</v>
      </c>
      <c r="B26" s="342"/>
      <c r="C26" s="137">
        <f t="shared" ref="C26:M26" si="0">SUM(C6:C25)</f>
        <v>0</v>
      </c>
      <c r="D26" s="137">
        <f t="shared" si="0"/>
        <v>0</v>
      </c>
      <c r="E26" s="137">
        <f t="shared" si="0"/>
        <v>0</v>
      </c>
      <c r="F26" s="137">
        <f t="shared" si="0"/>
        <v>0</v>
      </c>
      <c r="G26" s="137">
        <f t="shared" si="0"/>
        <v>0</v>
      </c>
      <c r="H26" s="137">
        <f t="shared" si="0"/>
        <v>0</v>
      </c>
      <c r="I26" s="137">
        <f t="shared" si="0"/>
        <v>0</v>
      </c>
      <c r="J26" s="137">
        <f t="shared" si="0"/>
        <v>0</v>
      </c>
      <c r="K26" s="137">
        <f t="shared" si="0"/>
        <v>0</v>
      </c>
      <c r="L26" s="137">
        <f t="shared" si="0"/>
        <v>0</v>
      </c>
      <c r="M26" s="137">
        <f t="shared" si="0"/>
        <v>0</v>
      </c>
    </row>
    <row r="27" spans="1:16" ht="20.25">
      <c r="B27" s="139"/>
      <c r="C27" s="140"/>
      <c r="D27" s="140"/>
      <c r="J27" s="140"/>
      <c r="K27" s="140"/>
      <c r="O27" s="140"/>
      <c r="P27" s="140"/>
    </row>
    <row r="28" spans="1:16">
      <c r="A28" s="443" t="s">
        <v>349</v>
      </c>
      <c r="B28" s="443"/>
      <c r="C28" s="443"/>
      <c r="D28" s="443"/>
      <c r="E28" s="443"/>
      <c r="F28" s="443"/>
      <c r="G28" s="444"/>
      <c r="H28" s="444"/>
      <c r="I28" s="444"/>
      <c r="J28" s="444"/>
      <c r="K28" s="443" t="s">
        <v>350</v>
      </c>
      <c r="L28" s="443"/>
      <c r="M28" s="443"/>
    </row>
  </sheetData>
  <mergeCells count="11">
    <mergeCell ref="G28:J28"/>
    <mergeCell ref="I4:J4"/>
    <mergeCell ref="K4:M4"/>
    <mergeCell ref="A28:F28"/>
    <mergeCell ref="K28:M28"/>
    <mergeCell ref="A26:B26"/>
    <mergeCell ref="G4:H4"/>
    <mergeCell ref="A4:A5"/>
    <mergeCell ref="B4:B5"/>
    <mergeCell ref="C4:D4"/>
    <mergeCell ref="E4:F4"/>
  </mergeCells>
  <printOptions horizontalCentered="1"/>
  <pageMargins left="0" right="0" top="1.2598425196850394" bottom="0.9055118110236221" header="0.31496062992125984" footer="0.51181102362204722"/>
  <pageSetup paperSize="9" fitToHeight="0" orientation="landscape" r:id="rId1"/>
  <headerFooter>
    <oddHeader>&amp;Lالرقم :  (       )  
التاريخ: &amp;D    &amp;Cبسم الله الرحمن الرحيم
&amp;G&amp;R    الجهورية اليمنية
  وزارة التربية والتعليم
 مكتب التربية والتعليم تعز
ادارة التخطيط والاحصاء</oddHeader>
    <oddFooter>&amp;L&amp;"-,غامق"&amp;12 مدير مكتب التربية والتعليم           &amp;K00+000.&amp;K01+000
عبدالواسع شداد            &amp;K00+000.&amp;R&amp;"-,غامق"&amp;12       مدير ادارة الاحصاء والتخطيط
           قائد السامعي</oddFoot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7:AI32"/>
  <sheetViews>
    <sheetView rightToLeft="1" view="pageBreakPreview" zoomScale="110" zoomScaleNormal="100" zoomScaleSheetLayoutView="110" workbookViewId="0">
      <selection activeCell="AB11" sqref="AB11"/>
    </sheetView>
  </sheetViews>
  <sheetFormatPr defaultRowHeight="14.25"/>
  <cols>
    <col min="1" max="1" width="4.375" customWidth="1"/>
    <col min="3" max="35" width="3.625" customWidth="1"/>
  </cols>
  <sheetData>
    <row r="7" spans="1:35" ht="27.75" thickBot="1">
      <c r="C7" s="165"/>
    </row>
    <row r="8" spans="1:35" ht="14.25" customHeight="1">
      <c r="A8" s="440" t="s">
        <v>1</v>
      </c>
      <c r="B8" s="440" t="s">
        <v>206</v>
      </c>
      <c r="C8" s="448" t="s">
        <v>305</v>
      </c>
      <c r="D8" s="448" t="s">
        <v>168</v>
      </c>
      <c r="E8" s="448" t="s">
        <v>272</v>
      </c>
      <c r="F8" s="354" t="s">
        <v>169</v>
      </c>
      <c r="G8" s="354"/>
      <c r="H8" s="354"/>
      <c r="I8" s="354" t="s">
        <v>170</v>
      </c>
      <c r="J8" s="354"/>
      <c r="K8" s="354"/>
      <c r="L8" s="354" t="s">
        <v>171</v>
      </c>
      <c r="M8" s="354"/>
      <c r="N8" s="354" t="s">
        <v>172</v>
      </c>
      <c r="O8" s="354"/>
      <c r="P8" s="354" t="s">
        <v>175</v>
      </c>
      <c r="Q8" s="354"/>
      <c r="R8" s="354" t="s">
        <v>174</v>
      </c>
      <c r="S8" s="354"/>
      <c r="T8" s="354" t="s">
        <v>330</v>
      </c>
      <c r="U8" s="354"/>
      <c r="V8" s="354" t="s">
        <v>310</v>
      </c>
      <c r="W8" s="354"/>
      <c r="X8" s="354" t="s">
        <v>176</v>
      </c>
      <c r="Y8" s="354"/>
      <c r="Z8" s="354" t="s">
        <v>312</v>
      </c>
      <c r="AA8" s="354"/>
      <c r="AB8" s="354" t="s">
        <v>334</v>
      </c>
      <c r="AC8" s="354"/>
      <c r="AD8" s="354" t="s">
        <v>332</v>
      </c>
      <c r="AE8" s="354"/>
      <c r="AF8" s="354" t="s">
        <v>333</v>
      </c>
      <c r="AG8" s="354"/>
      <c r="AH8" s="354" t="s">
        <v>182</v>
      </c>
      <c r="AI8" s="354"/>
    </row>
    <row r="9" spans="1:35" ht="21" customHeight="1">
      <c r="A9" s="446"/>
      <c r="B9" s="446"/>
      <c r="C9" s="449"/>
      <c r="D9" s="449"/>
      <c r="E9" s="449"/>
      <c r="F9" s="445"/>
      <c r="G9" s="445"/>
      <c r="H9" s="445"/>
      <c r="I9" s="445"/>
      <c r="J9" s="445"/>
      <c r="K9" s="445"/>
      <c r="L9" s="445"/>
      <c r="M9" s="445"/>
      <c r="N9" s="445" t="s">
        <v>173</v>
      </c>
      <c r="O9" s="445"/>
      <c r="P9" s="445"/>
      <c r="Q9" s="445"/>
      <c r="R9" s="445"/>
      <c r="S9" s="445"/>
      <c r="T9" s="445"/>
      <c r="U9" s="445"/>
      <c r="V9" s="445"/>
      <c r="W9" s="445"/>
      <c r="X9" s="445"/>
      <c r="Y9" s="445"/>
      <c r="Z9" s="445"/>
      <c r="AA9" s="445"/>
      <c r="AB9" s="445"/>
      <c r="AC9" s="445"/>
      <c r="AD9" s="445"/>
      <c r="AE9" s="445"/>
      <c r="AF9" s="445"/>
      <c r="AG9" s="445"/>
      <c r="AH9" s="445"/>
      <c r="AI9" s="445"/>
    </row>
    <row r="10" spans="1:35" ht="30" customHeight="1">
      <c r="A10" s="447"/>
      <c r="B10" s="447"/>
      <c r="C10" s="450"/>
      <c r="D10" s="450"/>
      <c r="E10" s="450"/>
      <c r="F10" s="193" t="s">
        <v>73</v>
      </c>
      <c r="G10" s="193" t="s">
        <v>12</v>
      </c>
      <c r="H10" s="193" t="s">
        <v>10</v>
      </c>
      <c r="I10" s="193" t="s">
        <v>177</v>
      </c>
      <c r="J10" s="193" t="s">
        <v>178</v>
      </c>
      <c r="K10" s="193" t="s">
        <v>179</v>
      </c>
      <c r="L10" s="193" t="s">
        <v>180</v>
      </c>
      <c r="M10" s="193" t="s">
        <v>181</v>
      </c>
      <c r="N10" s="193" t="s">
        <v>180</v>
      </c>
      <c r="O10" s="193" t="s">
        <v>181</v>
      </c>
      <c r="P10" s="193" t="s">
        <v>180</v>
      </c>
      <c r="Q10" s="193" t="s">
        <v>181</v>
      </c>
      <c r="R10" s="193" t="s">
        <v>180</v>
      </c>
      <c r="S10" s="193" t="s">
        <v>181</v>
      </c>
      <c r="T10" s="193" t="s">
        <v>180</v>
      </c>
      <c r="U10" s="193" t="s">
        <v>181</v>
      </c>
      <c r="V10" s="193" t="s">
        <v>180</v>
      </c>
      <c r="W10" s="193" t="s">
        <v>181</v>
      </c>
      <c r="X10" s="193" t="s">
        <v>180</v>
      </c>
      <c r="Y10" s="193" t="s">
        <v>181</v>
      </c>
      <c r="Z10" s="193" t="s">
        <v>180</v>
      </c>
      <c r="AA10" s="193" t="s">
        <v>181</v>
      </c>
      <c r="AB10" s="193" t="s">
        <v>180</v>
      </c>
      <c r="AC10" s="193" t="s">
        <v>181</v>
      </c>
      <c r="AD10" s="193" t="s">
        <v>180</v>
      </c>
      <c r="AE10" s="193" t="s">
        <v>181</v>
      </c>
      <c r="AF10" s="193" t="s">
        <v>180</v>
      </c>
      <c r="AG10" s="193" t="s">
        <v>181</v>
      </c>
      <c r="AH10" s="193" t="s">
        <v>180</v>
      </c>
      <c r="AI10" s="193" t="s">
        <v>181</v>
      </c>
    </row>
    <row r="11" spans="1:35" ht="14.1" customHeight="1">
      <c r="A11" s="190">
        <v>1</v>
      </c>
      <c r="B11" s="191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459"/>
      <c r="AC11" s="459"/>
      <c r="AD11" s="459"/>
      <c r="AE11" s="459"/>
      <c r="AF11" s="166"/>
      <c r="AG11" s="166"/>
      <c r="AH11" s="166"/>
      <c r="AI11" s="166"/>
    </row>
    <row r="12" spans="1:35" ht="14.1" customHeight="1">
      <c r="A12" s="190">
        <v>2</v>
      </c>
      <c r="B12" s="191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459"/>
      <c r="AC12" s="459"/>
      <c r="AD12" s="459"/>
      <c r="AE12" s="459"/>
      <c r="AF12" s="166"/>
      <c r="AG12" s="166"/>
      <c r="AH12" s="166"/>
      <c r="AI12" s="166"/>
    </row>
    <row r="13" spans="1:35" ht="14.1" customHeight="1">
      <c r="A13" s="190">
        <v>3</v>
      </c>
      <c r="B13" s="191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459"/>
      <c r="AC13" s="459"/>
      <c r="AD13" s="459"/>
      <c r="AE13" s="459"/>
      <c r="AF13" s="166"/>
      <c r="AG13" s="166"/>
      <c r="AH13" s="166"/>
      <c r="AI13" s="166"/>
    </row>
    <row r="14" spans="1:35" ht="14.1" customHeight="1">
      <c r="A14" s="190">
        <v>4</v>
      </c>
      <c r="B14" s="191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459"/>
      <c r="AC14" s="459"/>
      <c r="AD14" s="459"/>
      <c r="AE14" s="459"/>
      <c r="AF14" s="166"/>
      <c r="AG14" s="166"/>
      <c r="AH14" s="166"/>
      <c r="AI14" s="166"/>
    </row>
    <row r="15" spans="1:35" ht="14.1" customHeight="1">
      <c r="A15" s="190">
        <v>5</v>
      </c>
      <c r="B15" s="191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459"/>
      <c r="AC15" s="459"/>
      <c r="AD15" s="459"/>
      <c r="AE15" s="459"/>
      <c r="AF15" s="166"/>
      <c r="AG15" s="166"/>
      <c r="AH15" s="166"/>
      <c r="AI15" s="166"/>
    </row>
    <row r="16" spans="1:35" ht="14.1" customHeight="1">
      <c r="A16" s="190">
        <v>6</v>
      </c>
      <c r="B16" s="191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459"/>
      <c r="AC16" s="459"/>
      <c r="AD16" s="459"/>
      <c r="AE16" s="459"/>
      <c r="AF16" s="166"/>
      <c r="AG16" s="166"/>
      <c r="AH16" s="166"/>
      <c r="AI16" s="166"/>
    </row>
    <row r="17" spans="1:35" ht="14.1" customHeight="1">
      <c r="A17" s="190">
        <v>7</v>
      </c>
      <c r="B17" s="191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459"/>
      <c r="AC17" s="459"/>
      <c r="AD17" s="459"/>
      <c r="AE17" s="459"/>
      <c r="AF17" s="166"/>
      <c r="AG17" s="166"/>
      <c r="AH17" s="166"/>
      <c r="AI17" s="166"/>
    </row>
    <row r="18" spans="1:35" ht="14.1" customHeight="1">
      <c r="A18" s="190">
        <v>8</v>
      </c>
      <c r="B18" s="191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459"/>
      <c r="AC18" s="459"/>
      <c r="AD18" s="459"/>
      <c r="AE18" s="459"/>
      <c r="AF18" s="166"/>
      <c r="AG18" s="166"/>
      <c r="AH18" s="166"/>
      <c r="AI18" s="166"/>
    </row>
    <row r="19" spans="1:35" ht="14.1" customHeight="1">
      <c r="A19" s="190">
        <v>9</v>
      </c>
      <c r="B19" s="191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459"/>
      <c r="AC19" s="459"/>
      <c r="AD19" s="459"/>
      <c r="AE19" s="459"/>
      <c r="AF19" s="166"/>
      <c r="AG19" s="166"/>
      <c r="AH19" s="166"/>
      <c r="AI19" s="166"/>
    </row>
    <row r="20" spans="1:35" ht="14.1" customHeight="1">
      <c r="A20" s="190">
        <v>10</v>
      </c>
      <c r="B20" s="191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459"/>
      <c r="AC20" s="459"/>
      <c r="AD20" s="459"/>
      <c r="AE20" s="459"/>
      <c r="AF20" s="166"/>
      <c r="AG20" s="166"/>
      <c r="AH20" s="166"/>
      <c r="AI20" s="166"/>
    </row>
    <row r="21" spans="1:35" ht="14.1" customHeight="1">
      <c r="A21" s="190">
        <v>11</v>
      </c>
      <c r="B21" s="191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459"/>
      <c r="AC21" s="459"/>
      <c r="AD21" s="459"/>
      <c r="AE21" s="459"/>
      <c r="AF21" s="166"/>
      <c r="AG21" s="166"/>
      <c r="AH21" s="166"/>
      <c r="AI21" s="166"/>
    </row>
    <row r="22" spans="1:35" ht="14.1" customHeight="1">
      <c r="A22" s="190">
        <v>12</v>
      </c>
      <c r="B22" s="191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459"/>
      <c r="AC22" s="459"/>
      <c r="AD22" s="459"/>
      <c r="AE22" s="459"/>
      <c r="AF22" s="166"/>
      <c r="AG22" s="166"/>
      <c r="AH22" s="166"/>
      <c r="AI22" s="166"/>
    </row>
    <row r="23" spans="1:35" ht="14.1" customHeight="1">
      <c r="A23" s="190">
        <v>13</v>
      </c>
      <c r="B23" s="191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459"/>
      <c r="AC23" s="459"/>
      <c r="AD23" s="459"/>
      <c r="AE23" s="459"/>
      <c r="AF23" s="166"/>
      <c r="AG23" s="166"/>
      <c r="AH23" s="166"/>
      <c r="AI23" s="166"/>
    </row>
    <row r="24" spans="1:35" ht="14.1" customHeight="1">
      <c r="A24" s="190">
        <v>14</v>
      </c>
      <c r="B24" s="191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459"/>
      <c r="AC24" s="459"/>
      <c r="AD24" s="459"/>
      <c r="AE24" s="459"/>
      <c r="AF24" s="166"/>
      <c r="AG24" s="166"/>
      <c r="AH24" s="166"/>
      <c r="AI24" s="166"/>
    </row>
    <row r="25" spans="1:35" ht="14.1" customHeight="1">
      <c r="A25" s="190">
        <v>15</v>
      </c>
      <c r="B25" s="191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459"/>
      <c r="AC25" s="459"/>
      <c r="AD25" s="459"/>
      <c r="AE25" s="459"/>
      <c r="AF25" s="166"/>
      <c r="AG25" s="166"/>
      <c r="AH25" s="166"/>
      <c r="AI25" s="166"/>
    </row>
    <row r="26" spans="1:35" ht="14.1" customHeight="1">
      <c r="A26" s="190">
        <v>16</v>
      </c>
      <c r="B26" s="191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459"/>
      <c r="AC26" s="459"/>
      <c r="AD26" s="459"/>
      <c r="AE26" s="459"/>
      <c r="AF26" s="166"/>
      <c r="AG26" s="166"/>
      <c r="AH26" s="166"/>
      <c r="AI26" s="166"/>
    </row>
    <row r="27" spans="1:35" ht="14.1" customHeight="1">
      <c r="A27" s="190">
        <v>17</v>
      </c>
      <c r="B27" s="191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459"/>
      <c r="AC27" s="459"/>
      <c r="AD27" s="459"/>
      <c r="AE27" s="459"/>
      <c r="AF27" s="166"/>
      <c r="AG27" s="166"/>
      <c r="AH27" s="166"/>
      <c r="AI27" s="166"/>
    </row>
    <row r="28" spans="1:35" ht="14.1" customHeight="1">
      <c r="A28" s="190">
        <v>18</v>
      </c>
      <c r="B28" s="191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459"/>
      <c r="AC28" s="459"/>
      <c r="AD28" s="459"/>
      <c r="AE28" s="459"/>
      <c r="AF28" s="166"/>
      <c r="AG28" s="166"/>
      <c r="AH28" s="166"/>
      <c r="AI28" s="166"/>
    </row>
    <row r="29" spans="1:35" ht="14.1" customHeight="1">
      <c r="A29" s="190">
        <v>19</v>
      </c>
      <c r="B29" s="191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459"/>
      <c r="AC29" s="459"/>
      <c r="AD29" s="459"/>
      <c r="AE29" s="459"/>
      <c r="AF29" s="166"/>
      <c r="AG29" s="166"/>
      <c r="AH29" s="166"/>
      <c r="AI29" s="166"/>
    </row>
    <row r="30" spans="1:35" ht="14.1" customHeight="1">
      <c r="A30" s="190">
        <v>20</v>
      </c>
      <c r="B30" s="191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459"/>
      <c r="AC30" s="459"/>
      <c r="AD30" s="459"/>
      <c r="AE30" s="459"/>
      <c r="AF30" s="166"/>
      <c r="AG30" s="166"/>
      <c r="AH30" s="166"/>
      <c r="AI30" s="166"/>
    </row>
    <row r="31" spans="1:35" ht="18.75" thickBot="1">
      <c r="Y31" s="154"/>
    </row>
    <row r="32" spans="1:35" ht="15" customHeight="1">
      <c r="B32" s="339" t="s">
        <v>203</v>
      </c>
      <c r="C32" s="339"/>
      <c r="D32" s="339"/>
      <c r="E32" s="339"/>
      <c r="F32" s="339"/>
      <c r="G32" s="339"/>
      <c r="H32" s="339"/>
      <c r="I32" s="339"/>
      <c r="U32" s="220" t="s">
        <v>204</v>
      </c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2"/>
      <c r="AG32" s="222"/>
    </row>
  </sheetData>
  <mergeCells count="21">
    <mergeCell ref="B32:I32"/>
    <mergeCell ref="B8:B10"/>
    <mergeCell ref="A8:A10"/>
    <mergeCell ref="C8:C10"/>
    <mergeCell ref="D8:D10"/>
    <mergeCell ref="E8:E10"/>
    <mergeCell ref="F8:H9"/>
    <mergeCell ref="I8:K9"/>
    <mergeCell ref="L8:M9"/>
    <mergeCell ref="X8:Y9"/>
    <mergeCell ref="Z8:AA9"/>
    <mergeCell ref="AF8:AG9"/>
    <mergeCell ref="AH8:AI9"/>
    <mergeCell ref="R8:S9"/>
    <mergeCell ref="T8:U9"/>
    <mergeCell ref="V8:W9"/>
    <mergeCell ref="N8:O8"/>
    <mergeCell ref="N9:O9"/>
    <mergeCell ref="P8:Q9"/>
    <mergeCell ref="AB8:AC9"/>
    <mergeCell ref="AD8:AE9"/>
  </mergeCells>
  <printOptions horizontalCentered="1"/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DD2D-13C9-43ED-B2F1-15D55684454A}">
  <dimension ref="A7:AC18"/>
  <sheetViews>
    <sheetView rightToLeft="1" topLeftCell="A4" workbookViewId="0">
      <selection activeCell="K12" sqref="K12"/>
    </sheetView>
  </sheetViews>
  <sheetFormatPr defaultRowHeight="14.25"/>
  <cols>
    <col min="1" max="1" width="6.5" customWidth="1"/>
    <col min="2" max="2" width="4.5" customWidth="1"/>
    <col min="3" max="3" width="5.25" customWidth="1"/>
    <col min="4" max="6" width="5.375" customWidth="1"/>
    <col min="7" max="7" width="4" customWidth="1"/>
    <col min="8" max="8" width="4.25" customWidth="1"/>
    <col min="9" max="9" width="3.75" customWidth="1"/>
    <col min="10" max="10" width="5.25" customWidth="1"/>
    <col min="11" max="11" width="5.125" customWidth="1"/>
    <col min="12" max="12" width="4.875" customWidth="1"/>
    <col min="13" max="13" width="5" customWidth="1"/>
    <col min="14" max="14" width="5.25" customWidth="1"/>
    <col min="15" max="15" width="4.875" customWidth="1"/>
    <col min="16" max="16" width="5.125" customWidth="1"/>
    <col min="17" max="17" width="4.75" customWidth="1"/>
    <col min="18" max="18" width="5.125" customWidth="1"/>
    <col min="19" max="19" width="5.5" customWidth="1"/>
    <col min="20" max="20" width="5.375" customWidth="1"/>
    <col min="21" max="21" width="4.875" customWidth="1"/>
    <col min="22" max="22" width="4.625" customWidth="1"/>
    <col min="23" max="23" width="4.375" customWidth="1"/>
    <col min="24" max="24" width="5" customWidth="1"/>
    <col min="25" max="25" width="5.375" customWidth="1"/>
    <col min="26" max="26" width="4.75" customWidth="1"/>
    <col min="27" max="27" width="5.375" customWidth="1"/>
    <col min="28" max="28" width="4.75" customWidth="1"/>
    <col min="29" max="29" width="18" customWidth="1"/>
  </cols>
  <sheetData>
    <row r="7" spans="1:29" ht="26.25">
      <c r="A7" s="400" t="s">
        <v>327</v>
      </c>
      <c r="B7" s="400"/>
      <c r="C7" s="400"/>
      <c r="D7" s="400"/>
      <c r="E7" s="400"/>
      <c r="F7" s="400"/>
      <c r="G7" s="400"/>
      <c r="H7" s="400"/>
      <c r="I7" s="400"/>
      <c r="J7" s="400"/>
      <c r="K7" s="400"/>
      <c r="L7" s="400"/>
      <c r="M7" s="400"/>
      <c r="N7" s="400"/>
      <c r="O7" s="400"/>
      <c r="P7" s="400"/>
      <c r="Q7" s="400"/>
      <c r="R7" s="400"/>
      <c r="S7" s="400"/>
      <c r="T7" s="400"/>
      <c r="U7" s="400"/>
      <c r="V7" s="400"/>
      <c r="W7" s="400"/>
      <c r="X7" s="400"/>
      <c r="Y7" s="400"/>
      <c r="Z7" s="400"/>
      <c r="AA7" s="400"/>
      <c r="AB7" s="400"/>
      <c r="AC7" s="400"/>
    </row>
    <row r="8" spans="1:29" ht="26.25">
      <c r="A8" s="400" t="s">
        <v>331</v>
      </c>
      <c r="B8" s="400"/>
      <c r="C8" s="400"/>
      <c r="D8" s="400"/>
      <c r="E8" s="400"/>
      <c r="F8" s="400"/>
      <c r="G8" s="400"/>
      <c r="H8" s="400"/>
      <c r="I8" s="400"/>
      <c r="J8" s="400"/>
      <c r="K8" s="400"/>
      <c r="L8" s="400"/>
      <c r="M8" s="400"/>
      <c r="N8" s="400"/>
      <c r="O8" s="400"/>
      <c r="P8" s="400"/>
      <c r="Q8" s="400"/>
      <c r="R8" s="400"/>
      <c r="S8" s="400"/>
      <c r="T8" s="400"/>
      <c r="U8" s="400"/>
      <c r="V8" s="400"/>
      <c r="W8" s="400"/>
      <c r="X8" s="400"/>
      <c r="Y8" s="400"/>
      <c r="Z8" s="400"/>
      <c r="AA8" s="400"/>
      <c r="AB8" s="400"/>
      <c r="AC8" s="400"/>
    </row>
    <row r="9" spans="1:29" ht="21.75" customHeight="1" thickBot="1">
      <c r="A9" s="404" t="s">
        <v>326</v>
      </c>
      <c r="B9" s="405"/>
      <c r="C9" s="405"/>
      <c r="D9" s="405"/>
      <c r="E9" s="405"/>
      <c r="F9" s="405"/>
      <c r="G9" s="405"/>
      <c r="H9" s="405"/>
      <c r="I9" s="405"/>
      <c r="J9" s="405"/>
      <c r="K9" s="405"/>
      <c r="L9" s="405"/>
      <c r="M9" s="405"/>
      <c r="N9" s="405"/>
      <c r="O9" s="405"/>
      <c r="P9" s="405"/>
      <c r="Q9" s="405"/>
      <c r="R9" s="405"/>
      <c r="S9" s="405"/>
      <c r="T9" s="405"/>
      <c r="U9" s="405"/>
      <c r="V9" s="405"/>
      <c r="W9" s="405"/>
      <c r="X9" s="405"/>
      <c r="Y9" s="405"/>
      <c r="Z9" s="405"/>
      <c r="AA9" s="405"/>
      <c r="AB9" s="405"/>
      <c r="AC9" s="406"/>
    </row>
    <row r="10" spans="1:29" ht="42" customHeight="1">
      <c r="A10" s="455" t="s">
        <v>305</v>
      </c>
      <c r="B10" s="455" t="s">
        <v>168</v>
      </c>
      <c r="C10" s="457" t="s">
        <v>272</v>
      </c>
      <c r="D10" s="410" t="s">
        <v>329</v>
      </c>
      <c r="E10" s="411"/>
      <c r="F10" s="412"/>
      <c r="G10" s="401" t="s">
        <v>170</v>
      </c>
      <c r="H10" s="402"/>
      <c r="I10" s="413"/>
      <c r="J10" s="414" t="s">
        <v>307</v>
      </c>
      <c r="K10" s="401" t="s">
        <v>308</v>
      </c>
      <c r="L10" s="413"/>
      <c r="M10" s="401" t="s">
        <v>175</v>
      </c>
      <c r="N10" s="413"/>
      <c r="O10" s="401" t="s">
        <v>309</v>
      </c>
      <c r="P10" s="413"/>
      <c r="Q10" s="401" t="s">
        <v>310</v>
      </c>
      <c r="R10" s="402"/>
      <c r="S10" s="407" t="s">
        <v>315</v>
      </c>
      <c r="T10" s="407"/>
      <c r="U10" s="408" t="s">
        <v>312</v>
      </c>
      <c r="V10" s="409"/>
      <c r="W10" s="407" t="s">
        <v>313</v>
      </c>
      <c r="X10" s="407"/>
      <c r="Y10" s="407" t="s">
        <v>314</v>
      </c>
      <c r="Z10" s="407"/>
      <c r="AA10" s="407" t="s">
        <v>182</v>
      </c>
      <c r="AB10" s="407"/>
      <c r="AC10" s="403" t="s">
        <v>75</v>
      </c>
    </row>
    <row r="11" spans="1:29" ht="51.75" customHeight="1">
      <c r="A11" s="456"/>
      <c r="B11" s="456"/>
      <c r="C11" s="458"/>
      <c r="D11" s="265" t="s">
        <v>11</v>
      </c>
      <c r="E11" s="263" t="s">
        <v>12</v>
      </c>
      <c r="F11" s="260" t="s">
        <v>10</v>
      </c>
      <c r="G11" s="260" t="s">
        <v>177</v>
      </c>
      <c r="H11" s="260" t="s">
        <v>178</v>
      </c>
      <c r="I11" s="260" t="s">
        <v>179</v>
      </c>
      <c r="J11" s="415"/>
      <c r="K11" s="260" t="s">
        <v>180</v>
      </c>
      <c r="L11" s="260" t="s">
        <v>181</v>
      </c>
      <c r="M11" s="260" t="s">
        <v>180</v>
      </c>
      <c r="N11" s="260" t="s">
        <v>181</v>
      </c>
      <c r="O11" s="260" t="s">
        <v>180</v>
      </c>
      <c r="P11" s="260" t="s">
        <v>181</v>
      </c>
      <c r="Q11" s="260" t="s">
        <v>311</v>
      </c>
      <c r="R11" s="260" t="s">
        <v>282</v>
      </c>
      <c r="S11" s="261" t="s">
        <v>180</v>
      </c>
      <c r="T11" s="261" t="s">
        <v>181</v>
      </c>
      <c r="U11" s="260" t="s">
        <v>300</v>
      </c>
      <c r="V11" s="262" t="s">
        <v>273</v>
      </c>
      <c r="W11" s="265" t="s">
        <v>180</v>
      </c>
      <c r="X11" s="265" t="s">
        <v>181</v>
      </c>
      <c r="Y11" s="265" t="s">
        <v>180</v>
      </c>
      <c r="Z11" s="265" t="s">
        <v>181</v>
      </c>
      <c r="AA11" s="265" t="s">
        <v>180</v>
      </c>
      <c r="AB11" s="265" t="s">
        <v>181</v>
      </c>
      <c r="AC11" s="403"/>
    </row>
    <row r="12" spans="1:29" ht="21">
      <c r="A12" s="22"/>
      <c r="B12" s="22"/>
      <c r="C12" s="22"/>
      <c r="D12" s="264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66"/>
      <c r="W12" s="268"/>
      <c r="X12" s="268"/>
      <c r="Y12" s="268"/>
      <c r="Z12" s="268"/>
      <c r="AA12" s="272"/>
      <c r="AB12" s="272"/>
      <c r="AC12" s="272"/>
    </row>
    <row r="13" spans="1:29" ht="2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66"/>
      <c r="W13" s="268"/>
      <c r="X13" s="268"/>
      <c r="Y13" s="268"/>
      <c r="Z13" s="268"/>
      <c r="AA13" s="272"/>
      <c r="AB13" s="273"/>
      <c r="AC13" s="273"/>
    </row>
    <row r="14" spans="1:29" ht="2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66"/>
      <c r="W14" s="268"/>
      <c r="X14" s="268"/>
      <c r="Y14" s="268"/>
      <c r="Z14" s="268"/>
      <c r="AA14" s="272"/>
      <c r="AB14" s="273"/>
      <c r="AC14" s="273"/>
    </row>
    <row r="15" spans="1:29" ht="2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4"/>
      <c r="U15" s="23"/>
      <c r="V15" s="267"/>
      <c r="W15" s="270"/>
      <c r="X15" s="270"/>
      <c r="Y15" s="270"/>
      <c r="Z15" s="270"/>
      <c r="AA15" s="269"/>
      <c r="AB15" s="271"/>
      <c r="AC15" s="271"/>
    </row>
    <row r="17" spans="1:26" ht="15.75">
      <c r="A17" t="s">
        <v>328</v>
      </c>
      <c r="B17" s="195" t="s">
        <v>317</v>
      </c>
      <c r="C17" s="184"/>
      <c r="D17" s="184"/>
      <c r="E17" s="184"/>
      <c r="F17" s="184"/>
      <c r="G17" s="195"/>
      <c r="H17" s="195"/>
      <c r="I17" s="195"/>
      <c r="J17" s="195"/>
      <c r="K17" s="195"/>
      <c r="L17" s="184" t="s">
        <v>203</v>
      </c>
      <c r="M17" s="195"/>
      <c r="N17" s="195"/>
      <c r="O17" s="195"/>
      <c r="P17" s="195"/>
      <c r="Q17" s="195"/>
      <c r="R17" s="195"/>
      <c r="S17" s="195"/>
      <c r="T17" s="195"/>
      <c r="U17" s="195"/>
      <c r="V17" s="317" t="s">
        <v>204</v>
      </c>
      <c r="W17" s="317"/>
      <c r="X17" s="317"/>
      <c r="Y17" s="317"/>
      <c r="Z17" s="317"/>
    </row>
    <row r="18" spans="1:26" ht="15.75">
      <c r="B18" s="184"/>
      <c r="C18" s="184"/>
      <c r="D18" s="184"/>
      <c r="E18" s="184"/>
      <c r="F18" s="184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256"/>
      <c r="W18" s="256"/>
      <c r="X18" s="256"/>
      <c r="Y18" s="256"/>
      <c r="Z18" s="256"/>
    </row>
  </sheetData>
  <mergeCells count="20">
    <mergeCell ref="Y10:Z10"/>
    <mergeCell ref="AA10:AB10"/>
    <mergeCell ref="AC10:AC11"/>
    <mergeCell ref="V17:Z17"/>
    <mergeCell ref="M10:N10"/>
    <mergeCell ref="O10:P10"/>
    <mergeCell ref="Q10:R10"/>
    <mergeCell ref="S10:T10"/>
    <mergeCell ref="U10:V10"/>
    <mergeCell ref="W10:X10"/>
    <mergeCell ref="A7:AC7"/>
    <mergeCell ref="A8:AC8"/>
    <mergeCell ref="A9:AC9"/>
    <mergeCell ref="A10:A11"/>
    <mergeCell ref="B10:B11"/>
    <mergeCell ref="C10:C11"/>
    <mergeCell ref="D10:F10"/>
    <mergeCell ref="G10:I10"/>
    <mergeCell ref="J10:J11"/>
    <mergeCell ref="K10:L10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ورقة6">
    <tabColor rgb="FFFFFF00"/>
  </sheetPr>
  <dimension ref="A7:AJ35"/>
  <sheetViews>
    <sheetView rightToLeft="1" view="pageBreakPreview" zoomScaleNormal="100" zoomScaleSheetLayoutView="100" workbookViewId="0">
      <selection activeCell="U13" sqref="U13"/>
    </sheetView>
  </sheetViews>
  <sheetFormatPr defaultRowHeight="14.25"/>
  <cols>
    <col min="1" max="1" width="5" customWidth="1"/>
    <col min="2" max="3" width="4.875" customWidth="1"/>
    <col min="4" max="5" width="4.375" customWidth="1"/>
    <col min="6" max="6" width="4.125" customWidth="1"/>
    <col min="7" max="7" width="2.625" customWidth="1"/>
    <col min="8" max="8" width="4.375" customWidth="1"/>
    <col min="9" max="9" width="2.625" customWidth="1"/>
    <col min="10" max="11" width="4.375" customWidth="1"/>
    <col min="12" max="12" width="2.625" customWidth="1"/>
    <col min="13" max="13" width="4.375" customWidth="1"/>
    <col min="14" max="14" width="3.875" customWidth="1"/>
    <col min="15" max="16" width="2.625" customWidth="1"/>
    <col min="17" max="17" width="4.125" customWidth="1"/>
    <col min="18" max="19" width="4.375" customWidth="1"/>
    <col min="20" max="20" width="2.625" customWidth="1"/>
    <col min="21" max="22" width="4.375" customWidth="1"/>
    <col min="23" max="23" width="6.375" customWidth="1"/>
    <col min="24" max="26" width="4.375" customWidth="1"/>
    <col min="27" max="27" width="3.875" customWidth="1"/>
    <col min="28" max="35" width="4.125" customWidth="1"/>
    <col min="36" max="36" width="4.75" customWidth="1"/>
  </cols>
  <sheetData>
    <row r="7" spans="1:36" ht="26.25">
      <c r="A7" s="400" t="s">
        <v>74</v>
      </c>
      <c r="B7" s="400"/>
      <c r="C7" s="400"/>
      <c r="D7" s="400"/>
      <c r="E7" s="400"/>
      <c r="F7" s="400"/>
      <c r="G7" s="400"/>
      <c r="H7" s="400"/>
      <c r="I7" s="400"/>
      <c r="J7" s="400"/>
      <c r="K7" s="400"/>
      <c r="L7" s="400"/>
      <c r="M7" s="400"/>
      <c r="N7" s="400"/>
      <c r="O7" s="400"/>
      <c r="P7" s="400"/>
      <c r="Q7" s="400"/>
      <c r="R7" s="400"/>
      <c r="S7" s="400"/>
      <c r="T7" s="400"/>
      <c r="U7" s="400"/>
      <c r="V7" s="400"/>
      <c r="W7" s="400"/>
      <c r="X7" s="400"/>
      <c r="Y7" s="400"/>
      <c r="Z7" s="400"/>
      <c r="AA7" s="400"/>
      <c r="AB7" s="400"/>
      <c r="AC7" s="400"/>
      <c r="AD7" s="400"/>
      <c r="AE7" s="400"/>
      <c r="AF7" s="400"/>
      <c r="AG7" s="400"/>
      <c r="AH7" s="400"/>
      <c r="AI7" s="400"/>
      <c r="AJ7" s="400"/>
    </row>
    <row r="8" spans="1:36" ht="26.25">
      <c r="A8" s="400" t="s">
        <v>348</v>
      </c>
      <c r="B8" s="400"/>
      <c r="C8" s="400"/>
      <c r="D8" s="400"/>
      <c r="E8" s="400"/>
      <c r="F8" s="400"/>
      <c r="G8" s="400"/>
      <c r="H8" s="400"/>
      <c r="I8" s="400"/>
      <c r="J8" s="400"/>
      <c r="K8" s="400"/>
      <c r="L8" s="400"/>
      <c r="M8" s="400"/>
      <c r="N8" s="400"/>
      <c r="O8" s="400"/>
      <c r="P8" s="400"/>
      <c r="Q8" s="400"/>
      <c r="R8" s="400"/>
      <c r="S8" s="400"/>
      <c r="T8" s="400"/>
      <c r="U8" s="400"/>
      <c r="V8" s="400"/>
      <c r="W8" s="400"/>
      <c r="X8" s="400"/>
      <c r="Y8" s="400"/>
      <c r="Z8" s="400"/>
      <c r="AA8" s="400"/>
      <c r="AB8" s="400"/>
      <c r="AC8" s="400"/>
      <c r="AD8" s="400"/>
      <c r="AE8" s="400"/>
      <c r="AF8" s="400"/>
      <c r="AG8" s="400"/>
      <c r="AH8" s="400"/>
      <c r="AI8" s="400"/>
      <c r="AJ8" s="400"/>
    </row>
    <row r="9" spans="1:36" ht="41.25" customHeight="1">
      <c r="A9" s="476" t="s">
        <v>64</v>
      </c>
      <c r="B9" s="476"/>
      <c r="C9" s="476"/>
      <c r="D9" s="476"/>
      <c r="E9" s="476"/>
      <c r="F9" s="476"/>
      <c r="G9" s="476"/>
      <c r="H9" s="476"/>
      <c r="I9" s="47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76"/>
      <c r="W9" s="476"/>
      <c r="X9" s="476"/>
      <c r="Y9" s="476"/>
      <c r="Z9" s="476"/>
      <c r="AA9" s="476"/>
      <c r="AB9" s="476"/>
      <c r="AC9" s="476"/>
      <c r="AD9" s="476"/>
      <c r="AE9" s="476"/>
      <c r="AF9" s="476"/>
      <c r="AG9" s="476"/>
      <c r="AH9" s="476"/>
      <c r="AI9" s="476"/>
      <c r="AJ9" s="476"/>
    </row>
    <row r="10" spans="1:36" ht="44.25" customHeight="1">
      <c r="A10" s="260" t="s">
        <v>65</v>
      </c>
      <c r="B10" s="260" t="s">
        <v>269</v>
      </c>
      <c r="C10" s="260" t="s">
        <v>293</v>
      </c>
      <c r="D10" s="260" t="s">
        <v>294</v>
      </c>
      <c r="E10" s="260" t="s">
        <v>295</v>
      </c>
      <c r="F10" s="260" t="s">
        <v>66</v>
      </c>
      <c r="G10" s="260" t="s">
        <v>270</v>
      </c>
      <c r="H10" s="260" t="s">
        <v>184</v>
      </c>
      <c r="I10" s="260" t="s">
        <v>271</v>
      </c>
      <c r="J10" s="260" t="s">
        <v>296</v>
      </c>
      <c r="K10" s="260" t="s">
        <v>186</v>
      </c>
      <c r="L10" s="260" t="s">
        <v>297</v>
      </c>
      <c r="M10" s="260" t="s">
        <v>70</v>
      </c>
      <c r="N10" s="260" t="s">
        <v>68</v>
      </c>
      <c r="O10" s="260" t="s">
        <v>69</v>
      </c>
      <c r="P10" s="260" t="s">
        <v>71</v>
      </c>
      <c r="Q10" s="260" t="s">
        <v>187</v>
      </c>
      <c r="R10" s="260" t="s">
        <v>67</v>
      </c>
      <c r="S10" s="260" t="s">
        <v>298</v>
      </c>
      <c r="T10" s="260" t="s">
        <v>299</v>
      </c>
      <c r="U10" s="260" t="s">
        <v>300</v>
      </c>
      <c r="V10" s="260" t="s">
        <v>273</v>
      </c>
      <c r="W10" s="260" t="s">
        <v>301</v>
      </c>
      <c r="X10" s="260" t="s">
        <v>274</v>
      </c>
      <c r="Y10" s="260" t="s">
        <v>302</v>
      </c>
      <c r="Z10" s="260" t="s">
        <v>275</v>
      </c>
      <c r="AA10" s="260" t="s">
        <v>276</v>
      </c>
      <c r="AB10" s="260" t="s">
        <v>277</v>
      </c>
      <c r="AC10" s="260" t="s">
        <v>278</v>
      </c>
      <c r="AD10" s="260" t="s">
        <v>279</v>
      </c>
      <c r="AE10" s="260" t="s">
        <v>280</v>
      </c>
      <c r="AF10" s="260" t="s">
        <v>303</v>
      </c>
      <c r="AG10" s="260" t="s">
        <v>304</v>
      </c>
      <c r="AH10" s="260" t="s">
        <v>281</v>
      </c>
      <c r="AI10" s="260" t="s">
        <v>272</v>
      </c>
      <c r="AJ10" s="472"/>
    </row>
    <row r="11" spans="1:36" ht="2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473"/>
      <c r="AB11" s="473"/>
      <c r="AC11" s="473"/>
      <c r="AD11" s="473"/>
      <c r="AE11" s="473"/>
      <c r="AF11" s="473"/>
      <c r="AG11" s="473"/>
      <c r="AH11" s="473"/>
      <c r="AI11" s="473"/>
      <c r="AJ11" s="24"/>
    </row>
    <row r="12" spans="1:36" ht="2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473"/>
      <c r="AB12" s="474"/>
      <c r="AC12" s="474"/>
      <c r="AD12" s="474"/>
      <c r="AE12" s="474"/>
      <c r="AF12" s="474"/>
      <c r="AG12" s="474"/>
      <c r="AH12" s="474"/>
      <c r="AI12" s="474"/>
      <c r="AJ12" s="474"/>
    </row>
    <row r="13" spans="1:36" ht="21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473"/>
      <c r="AB13" s="474"/>
      <c r="AC13" s="474"/>
      <c r="AD13" s="474"/>
      <c r="AE13" s="474"/>
      <c r="AF13" s="474"/>
      <c r="AG13" s="474"/>
      <c r="AH13" s="474"/>
      <c r="AI13" s="474"/>
      <c r="AJ13" s="474"/>
    </row>
    <row r="14" spans="1:36" ht="2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4"/>
      <c r="U14" s="23"/>
      <c r="V14" s="23"/>
      <c r="W14" s="23"/>
      <c r="X14" s="23"/>
      <c r="Y14" s="23"/>
      <c r="Z14" s="23"/>
      <c r="AA14" s="473"/>
      <c r="AB14" s="475"/>
      <c r="AC14" s="475"/>
      <c r="AD14" s="475"/>
      <c r="AE14" s="475"/>
      <c r="AF14" s="475"/>
      <c r="AG14" s="475"/>
      <c r="AH14" s="475"/>
      <c r="AI14" s="475"/>
      <c r="AJ14" s="475"/>
    </row>
    <row r="16" spans="1:36" ht="15.75">
      <c r="B16" s="184" t="s">
        <v>317</v>
      </c>
      <c r="C16" s="184"/>
      <c r="D16" s="184"/>
      <c r="E16" s="184"/>
      <c r="F16" s="184"/>
      <c r="G16" s="195"/>
      <c r="H16" s="195"/>
      <c r="I16" s="195"/>
      <c r="J16" s="195"/>
      <c r="K16" s="195"/>
      <c r="L16" s="195"/>
      <c r="M16" s="195"/>
      <c r="N16" s="184" t="s">
        <v>203</v>
      </c>
      <c r="O16" s="195"/>
      <c r="P16" s="195"/>
      <c r="Q16" s="195"/>
      <c r="R16" s="195"/>
      <c r="S16" s="195"/>
      <c r="T16" s="195"/>
      <c r="U16" s="195"/>
      <c r="V16" s="317" t="s">
        <v>204</v>
      </c>
      <c r="W16" s="317"/>
      <c r="X16" s="317"/>
      <c r="Y16" s="317"/>
      <c r="Z16" s="317"/>
    </row>
    <row r="17" spans="2:26" ht="15.75">
      <c r="B17" s="184"/>
      <c r="C17" s="184"/>
      <c r="D17" s="184"/>
      <c r="E17" s="184"/>
      <c r="F17" s="184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81"/>
      <c r="W17" s="181"/>
      <c r="X17" s="181"/>
      <c r="Y17" s="181"/>
      <c r="Z17" s="181"/>
    </row>
    <row r="25" spans="2:26" ht="26.25" customHeight="1"/>
    <row r="26" spans="2:26" ht="27" customHeight="1"/>
    <row r="27" spans="2:26" ht="21.75" customHeight="1"/>
    <row r="35" spans="2:26" ht="15.75">
      <c r="B35" s="184"/>
      <c r="C35" s="184"/>
      <c r="D35" s="184"/>
      <c r="E35" s="184"/>
      <c r="F35" s="184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248"/>
      <c r="W35" s="248"/>
      <c r="X35" s="248"/>
      <c r="Y35" s="248"/>
      <c r="Z35" s="248"/>
    </row>
  </sheetData>
  <mergeCells count="4">
    <mergeCell ref="A7:AJ7"/>
    <mergeCell ref="A8:AJ8"/>
    <mergeCell ref="V16:Z16"/>
    <mergeCell ref="A9:AJ9"/>
  </mergeCells>
  <pageMargins left="0.7" right="0.7" top="0.75" bottom="0.75" header="0.3" footer="0.3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7:AL31"/>
  <sheetViews>
    <sheetView rightToLeft="1" view="pageBreakPreview" zoomScale="130" zoomScaleNormal="100" zoomScaleSheetLayoutView="130" workbookViewId="0">
      <selection activeCell="C9" sqref="C9"/>
    </sheetView>
  </sheetViews>
  <sheetFormatPr defaultRowHeight="14.25"/>
  <cols>
    <col min="1" max="1" width="3.375" customWidth="1"/>
    <col min="2" max="2" width="11.375" customWidth="1"/>
    <col min="3" max="3" width="4.5" customWidth="1"/>
    <col min="4" max="4" width="8" customWidth="1"/>
    <col min="5" max="5" width="4.5" customWidth="1"/>
    <col min="6" max="25" width="4.625" customWidth="1"/>
    <col min="26" max="26" width="5.875" customWidth="1"/>
    <col min="27" max="37" width="4.625" customWidth="1"/>
    <col min="38" max="38" width="5.25" customWidth="1"/>
  </cols>
  <sheetData>
    <row r="7" spans="1:38" ht="27.75" thickBot="1">
      <c r="C7" s="165"/>
    </row>
    <row r="8" spans="1:38" s="467" customFormat="1" ht="45.75" customHeight="1">
      <c r="A8" s="468" t="s">
        <v>1</v>
      </c>
      <c r="B8" s="468" t="s">
        <v>206</v>
      </c>
      <c r="C8" s="464" t="s">
        <v>183</v>
      </c>
      <c r="D8" s="465" t="s">
        <v>335</v>
      </c>
      <c r="E8" s="466" t="s">
        <v>336</v>
      </c>
      <c r="F8" s="465" t="s">
        <v>337</v>
      </c>
      <c r="G8" s="465" t="s">
        <v>295</v>
      </c>
      <c r="H8" s="465" t="s">
        <v>338</v>
      </c>
      <c r="I8" s="466" t="s">
        <v>339</v>
      </c>
      <c r="J8" s="465" t="s">
        <v>184</v>
      </c>
      <c r="K8" s="465" t="s">
        <v>185</v>
      </c>
      <c r="L8" s="465" t="s">
        <v>72</v>
      </c>
      <c r="M8" s="465" t="s">
        <v>186</v>
      </c>
      <c r="N8" s="465" t="s">
        <v>297</v>
      </c>
      <c r="O8" s="465" t="s">
        <v>340</v>
      </c>
      <c r="P8" s="465" t="s">
        <v>68</v>
      </c>
      <c r="Q8" s="465" t="s">
        <v>69</v>
      </c>
      <c r="R8" s="465" t="s">
        <v>71</v>
      </c>
      <c r="S8" s="465" t="s">
        <v>187</v>
      </c>
      <c r="T8" s="462" t="s">
        <v>67</v>
      </c>
      <c r="U8" s="465" t="s">
        <v>298</v>
      </c>
      <c r="V8" s="465" t="s">
        <v>299</v>
      </c>
      <c r="W8" s="462" t="s">
        <v>341</v>
      </c>
      <c r="X8" s="465" t="s">
        <v>342</v>
      </c>
      <c r="Y8" s="462" t="s">
        <v>301</v>
      </c>
      <c r="Z8" s="463" t="s">
        <v>343</v>
      </c>
      <c r="AA8" s="462" t="s">
        <v>344</v>
      </c>
      <c r="AB8" s="462" t="s">
        <v>345</v>
      </c>
      <c r="AC8" s="465" t="s">
        <v>275</v>
      </c>
      <c r="AD8" s="462" t="s">
        <v>276</v>
      </c>
      <c r="AE8" s="462" t="s">
        <v>277</v>
      </c>
      <c r="AF8" s="462" t="s">
        <v>278</v>
      </c>
      <c r="AG8" s="462" t="s">
        <v>279</v>
      </c>
      <c r="AH8" s="465" t="s">
        <v>280</v>
      </c>
      <c r="AI8" s="462" t="s">
        <v>303</v>
      </c>
      <c r="AJ8" s="462" t="s">
        <v>346</v>
      </c>
      <c r="AK8" s="462" t="s">
        <v>281</v>
      </c>
      <c r="AL8" s="465" t="s">
        <v>272</v>
      </c>
    </row>
    <row r="9" spans="1:38" ht="14.1" customHeight="1">
      <c r="A9" s="190">
        <v>1</v>
      </c>
      <c r="B9" s="191"/>
      <c r="C9" s="166"/>
      <c r="D9" s="166"/>
      <c r="E9" s="166"/>
      <c r="F9" s="192"/>
      <c r="G9" s="192"/>
      <c r="H9" s="192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460"/>
      <c r="W9" s="460"/>
      <c r="X9" s="194"/>
      <c r="Y9" s="460"/>
      <c r="Z9" s="460"/>
      <c r="AA9" s="460"/>
      <c r="AB9" s="460"/>
      <c r="AC9" s="460"/>
      <c r="AD9" s="460"/>
      <c r="AE9" s="460"/>
      <c r="AF9" s="460"/>
      <c r="AG9" s="460"/>
      <c r="AH9" s="460"/>
      <c r="AI9" s="460"/>
      <c r="AJ9" s="460"/>
      <c r="AK9" s="460"/>
      <c r="AL9" s="194"/>
    </row>
    <row r="10" spans="1:38" ht="14.1" customHeight="1">
      <c r="A10" s="190">
        <v>2</v>
      </c>
      <c r="B10" s="191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459"/>
      <c r="W10" s="459"/>
      <c r="X10" s="166"/>
      <c r="Y10" s="459"/>
      <c r="Z10" s="459"/>
      <c r="AA10" s="459"/>
      <c r="AB10" s="459"/>
      <c r="AC10" s="459"/>
      <c r="AD10" s="459"/>
      <c r="AE10" s="459"/>
      <c r="AF10" s="459"/>
      <c r="AG10" s="459"/>
      <c r="AH10" s="459"/>
      <c r="AI10" s="459"/>
      <c r="AJ10" s="459"/>
      <c r="AK10" s="459"/>
      <c r="AL10" s="166"/>
    </row>
    <row r="11" spans="1:38" ht="14.1" customHeight="1">
      <c r="A11" s="190">
        <v>3</v>
      </c>
      <c r="B11" s="191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459"/>
      <c r="W11" s="459"/>
      <c r="X11" s="166"/>
      <c r="Y11" s="459"/>
      <c r="Z11" s="459"/>
      <c r="AA11" s="459"/>
      <c r="AB11" s="459"/>
      <c r="AC11" s="459"/>
      <c r="AD11" s="459"/>
      <c r="AE11" s="459"/>
      <c r="AF11" s="459"/>
      <c r="AG11" s="459"/>
      <c r="AH11" s="459"/>
      <c r="AI11" s="459"/>
      <c r="AJ11" s="459"/>
      <c r="AK11" s="459"/>
      <c r="AL11" s="166"/>
    </row>
    <row r="12" spans="1:38" ht="14.1" customHeight="1">
      <c r="A12" s="190">
        <v>4</v>
      </c>
      <c r="B12" s="191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459"/>
      <c r="W12" s="459"/>
      <c r="X12" s="166"/>
      <c r="Y12" s="459"/>
      <c r="Z12" s="459"/>
      <c r="AA12" s="459"/>
      <c r="AB12" s="459"/>
      <c r="AC12" s="459"/>
      <c r="AD12" s="459"/>
      <c r="AE12" s="459"/>
      <c r="AF12" s="459"/>
      <c r="AG12" s="459"/>
      <c r="AH12" s="459"/>
      <c r="AI12" s="459"/>
      <c r="AJ12" s="459"/>
      <c r="AK12" s="459"/>
      <c r="AL12" s="166"/>
    </row>
    <row r="13" spans="1:38" ht="14.1" customHeight="1">
      <c r="A13" s="190">
        <v>5</v>
      </c>
      <c r="B13" s="191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459"/>
      <c r="W13" s="459"/>
      <c r="X13" s="166"/>
      <c r="Y13" s="459"/>
      <c r="Z13" s="459"/>
      <c r="AA13" s="459"/>
      <c r="AB13" s="459"/>
      <c r="AC13" s="459"/>
      <c r="AD13" s="459"/>
      <c r="AE13" s="459"/>
      <c r="AF13" s="459"/>
      <c r="AG13" s="459"/>
      <c r="AH13" s="459"/>
      <c r="AI13" s="459"/>
      <c r="AJ13" s="459"/>
      <c r="AK13" s="459"/>
      <c r="AL13" s="166"/>
    </row>
    <row r="14" spans="1:38" ht="14.1" customHeight="1">
      <c r="A14" s="190">
        <v>6</v>
      </c>
      <c r="B14" s="191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459"/>
      <c r="W14" s="459"/>
      <c r="X14" s="166"/>
      <c r="Y14" s="459"/>
      <c r="Z14" s="459"/>
      <c r="AA14" s="459"/>
      <c r="AB14" s="459"/>
      <c r="AC14" s="459"/>
      <c r="AD14" s="459"/>
      <c r="AE14" s="459"/>
      <c r="AF14" s="459"/>
      <c r="AG14" s="459"/>
      <c r="AH14" s="459"/>
      <c r="AI14" s="459"/>
      <c r="AJ14" s="459"/>
      <c r="AK14" s="459"/>
      <c r="AL14" s="166"/>
    </row>
    <row r="15" spans="1:38" ht="14.1" customHeight="1">
      <c r="A15" s="190">
        <v>7</v>
      </c>
      <c r="B15" s="191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459"/>
      <c r="W15" s="459"/>
      <c r="X15" s="166"/>
      <c r="Y15" s="459"/>
      <c r="Z15" s="459"/>
      <c r="AA15" s="459"/>
      <c r="AB15" s="459"/>
      <c r="AC15" s="459"/>
      <c r="AD15" s="459"/>
      <c r="AE15" s="459"/>
      <c r="AF15" s="459"/>
      <c r="AG15" s="459"/>
      <c r="AH15" s="459"/>
      <c r="AI15" s="459"/>
      <c r="AJ15" s="459"/>
      <c r="AK15" s="459"/>
      <c r="AL15" s="166"/>
    </row>
    <row r="16" spans="1:38" ht="14.1" customHeight="1">
      <c r="A16" s="190">
        <v>8</v>
      </c>
      <c r="B16" s="191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459"/>
      <c r="W16" s="459"/>
      <c r="X16" s="166"/>
      <c r="Y16" s="459"/>
      <c r="Z16" s="459"/>
      <c r="AA16" s="459"/>
      <c r="AB16" s="459"/>
      <c r="AC16" s="459"/>
      <c r="AD16" s="459"/>
      <c r="AE16" s="459"/>
      <c r="AF16" s="459"/>
      <c r="AG16" s="459"/>
      <c r="AH16" s="459"/>
      <c r="AI16" s="459"/>
      <c r="AJ16" s="459"/>
      <c r="AK16" s="459"/>
      <c r="AL16" s="166"/>
    </row>
    <row r="17" spans="1:38" ht="14.1" customHeight="1">
      <c r="A17" s="190">
        <v>9</v>
      </c>
      <c r="B17" s="191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459"/>
      <c r="W17" s="459"/>
      <c r="X17" s="166"/>
      <c r="Y17" s="459"/>
      <c r="Z17" s="459"/>
      <c r="AA17" s="459"/>
      <c r="AB17" s="459"/>
      <c r="AC17" s="459"/>
      <c r="AD17" s="459"/>
      <c r="AE17" s="459"/>
      <c r="AF17" s="459"/>
      <c r="AG17" s="459"/>
      <c r="AH17" s="459"/>
      <c r="AI17" s="459"/>
      <c r="AJ17" s="459"/>
      <c r="AK17" s="459"/>
      <c r="AL17" s="166"/>
    </row>
    <row r="18" spans="1:38" ht="14.1" customHeight="1">
      <c r="A18" s="190">
        <v>10</v>
      </c>
      <c r="B18" s="191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459"/>
      <c r="W18" s="459"/>
      <c r="X18" s="166"/>
      <c r="Y18" s="459"/>
      <c r="Z18" s="459"/>
      <c r="AA18" s="459"/>
      <c r="AB18" s="459"/>
      <c r="AC18" s="459"/>
      <c r="AD18" s="459"/>
      <c r="AE18" s="459"/>
      <c r="AF18" s="459"/>
      <c r="AG18" s="459"/>
      <c r="AH18" s="459"/>
      <c r="AI18" s="459"/>
      <c r="AJ18" s="459"/>
      <c r="AK18" s="459"/>
      <c r="AL18" s="166"/>
    </row>
    <row r="19" spans="1:38" ht="14.1" customHeight="1">
      <c r="A19" s="190">
        <v>11</v>
      </c>
      <c r="B19" s="191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459"/>
      <c r="W19" s="459"/>
      <c r="X19" s="166"/>
      <c r="Y19" s="459"/>
      <c r="Z19" s="459"/>
      <c r="AA19" s="459"/>
      <c r="AB19" s="459"/>
      <c r="AC19" s="459"/>
      <c r="AD19" s="459"/>
      <c r="AE19" s="459"/>
      <c r="AF19" s="459"/>
      <c r="AG19" s="459"/>
      <c r="AH19" s="459"/>
      <c r="AI19" s="459"/>
      <c r="AJ19" s="459"/>
      <c r="AK19" s="459"/>
      <c r="AL19" s="166"/>
    </row>
    <row r="20" spans="1:38" ht="14.1" customHeight="1">
      <c r="A20" s="190">
        <v>12</v>
      </c>
      <c r="B20" s="191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459"/>
      <c r="W20" s="459"/>
      <c r="X20" s="166"/>
      <c r="Y20" s="459"/>
      <c r="Z20" s="459"/>
      <c r="AA20" s="459"/>
      <c r="AB20" s="459"/>
      <c r="AC20" s="459"/>
      <c r="AD20" s="459"/>
      <c r="AE20" s="459"/>
      <c r="AF20" s="459"/>
      <c r="AG20" s="459"/>
      <c r="AH20" s="459"/>
      <c r="AI20" s="459"/>
      <c r="AJ20" s="459"/>
      <c r="AK20" s="459"/>
      <c r="AL20" s="166"/>
    </row>
    <row r="21" spans="1:38" ht="14.1" customHeight="1">
      <c r="A21" s="190">
        <v>13</v>
      </c>
      <c r="B21" s="191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459"/>
      <c r="W21" s="459"/>
      <c r="X21" s="166"/>
      <c r="Y21" s="459"/>
      <c r="Z21" s="459"/>
      <c r="AA21" s="459"/>
      <c r="AB21" s="459"/>
      <c r="AC21" s="459"/>
      <c r="AD21" s="459"/>
      <c r="AE21" s="459"/>
      <c r="AF21" s="459"/>
      <c r="AG21" s="459"/>
      <c r="AH21" s="459"/>
      <c r="AI21" s="459"/>
      <c r="AJ21" s="459"/>
      <c r="AK21" s="459"/>
      <c r="AL21" s="166"/>
    </row>
    <row r="22" spans="1:38" ht="14.1" customHeight="1">
      <c r="A22" s="190">
        <v>14</v>
      </c>
      <c r="B22" s="191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459"/>
      <c r="W22" s="459"/>
      <c r="X22" s="166"/>
      <c r="Y22" s="459"/>
      <c r="Z22" s="459"/>
      <c r="AA22" s="459"/>
      <c r="AB22" s="459"/>
      <c r="AC22" s="459"/>
      <c r="AD22" s="459"/>
      <c r="AE22" s="459"/>
      <c r="AF22" s="459"/>
      <c r="AG22" s="459"/>
      <c r="AH22" s="459"/>
      <c r="AI22" s="459"/>
      <c r="AJ22" s="459"/>
      <c r="AK22" s="459"/>
      <c r="AL22" s="166"/>
    </row>
    <row r="23" spans="1:38" ht="14.1" customHeight="1">
      <c r="A23" s="190">
        <v>15</v>
      </c>
      <c r="B23" s="191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459"/>
      <c r="W23" s="459"/>
      <c r="X23" s="166"/>
      <c r="Y23" s="459"/>
      <c r="Z23" s="459"/>
      <c r="AA23" s="459"/>
      <c r="AB23" s="459"/>
      <c r="AC23" s="459"/>
      <c r="AD23" s="459"/>
      <c r="AE23" s="459"/>
      <c r="AF23" s="459"/>
      <c r="AG23" s="459"/>
      <c r="AH23" s="459"/>
      <c r="AI23" s="459"/>
      <c r="AJ23" s="459"/>
      <c r="AK23" s="459"/>
      <c r="AL23" s="166"/>
    </row>
    <row r="24" spans="1:38" ht="14.1" customHeight="1">
      <c r="A24" s="190">
        <v>16</v>
      </c>
      <c r="B24" s="191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459"/>
      <c r="W24" s="459"/>
      <c r="X24" s="166"/>
      <c r="Y24" s="459"/>
      <c r="Z24" s="459"/>
      <c r="AA24" s="459"/>
      <c r="AB24" s="459"/>
      <c r="AC24" s="459"/>
      <c r="AD24" s="459"/>
      <c r="AE24" s="459"/>
      <c r="AF24" s="459"/>
      <c r="AG24" s="459"/>
      <c r="AH24" s="459"/>
      <c r="AI24" s="459"/>
      <c r="AJ24" s="459"/>
      <c r="AK24" s="459"/>
      <c r="AL24" s="166"/>
    </row>
    <row r="25" spans="1:38" ht="14.1" customHeight="1">
      <c r="A25" s="190">
        <v>17</v>
      </c>
      <c r="B25" s="191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459"/>
      <c r="W25" s="459"/>
      <c r="X25" s="166"/>
      <c r="Y25" s="459"/>
      <c r="Z25" s="459"/>
      <c r="AA25" s="459"/>
      <c r="AB25" s="459"/>
      <c r="AC25" s="459"/>
      <c r="AD25" s="459"/>
      <c r="AE25" s="459"/>
      <c r="AF25" s="459"/>
      <c r="AG25" s="459"/>
      <c r="AH25" s="459"/>
      <c r="AI25" s="459"/>
      <c r="AJ25" s="459"/>
      <c r="AK25" s="459"/>
      <c r="AL25" s="166"/>
    </row>
    <row r="26" spans="1:38" ht="14.1" customHeight="1">
      <c r="A26" s="190">
        <v>18</v>
      </c>
      <c r="B26" s="191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459"/>
      <c r="W26" s="459"/>
      <c r="X26" s="166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166"/>
    </row>
    <row r="27" spans="1:38" ht="14.1" customHeight="1">
      <c r="A27" s="190">
        <v>19</v>
      </c>
      <c r="B27" s="191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459"/>
      <c r="W27" s="459"/>
      <c r="X27" s="166"/>
      <c r="Y27" s="459"/>
      <c r="Z27" s="459"/>
      <c r="AA27" s="459"/>
      <c r="AB27" s="459"/>
      <c r="AC27" s="459"/>
      <c r="AD27" s="459"/>
      <c r="AE27" s="459"/>
      <c r="AF27" s="459"/>
      <c r="AG27" s="459"/>
      <c r="AH27" s="459"/>
      <c r="AI27" s="459"/>
      <c r="AJ27" s="459"/>
      <c r="AK27" s="459"/>
      <c r="AL27" s="166"/>
    </row>
    <row r="28" spans="1:38" ht="14.1" customHeight="1" thickBot="1">
      <c r="A28" s="190">
        <v>20</v>
      </c>
      <c r="B28" s="191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459"/>
      <c r="W28" s="459"/>
      <c r="X28" s="166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166"/>
    </row>
    <row r="29" spans="1:38" ht="15.75" thickBot="1">
      <c r="S29" s="219"/>
      <c r="T29" s="219"/>
      <c r="U29" s="219"/>
      <c r="V29" s="219"/>
      <c r="W29" s="219"/>
      <c r="X29" s="219"/>
      <c r="Y29" s="461"/>
      <c r="Z29" s="461"/>
      <c r="AA29" s="461"/>
      <c r="AB29" s="461"/>
      <c r="AC29" s="461"/>
      <c r="AD29" s="461"/>
      <c r="AE29" s="461"/>
      <c r="AF29" s="461"/>
      <c r="AG29" s="461"/>
      <c r="AH29" s="461"/>
      <c r="AI29" s="461"/>
      <c r="AJ29" s="461"/>
      <c r="AK29" s="461"/>
      <c r="AL29" s="35"/>
    </row>
    <row r="30" spans="1:38" ht="15">
      <c r="C30" s="339" t="s">
        <v>203</v>
      </c>
      <c r="D30" s="339"/>
      <c r="E30" s="339"/>
      <c r="F30" s="339"/>
      <c r="G30" s="339"/>
      <c r="Q30" s="317" t="s">
        <v>204</v>
      </c>
      <c r="R30" s="317"/>
      <c r="S30" s="317"/>
      <c r="T30" s="317"/>
      <c r="U30" s="317"/>
      <c r="V30" s="317"/>
      <c r="W30" s="317"/>
      <c r="X30" s="317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182"/>
    </row>
    <row r="31" spans="1:38" ht="14.25" customHeight="1"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</row>
  </sheetData>
  <mergeCells count="2">
    <mergeCell ref="C30:G30"/>
    <mergeCell ref="Q30:X30"/>
  </mergeCells>
  <printOptions horizontalCentered="1"/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B19E-5636-4716-962A-ADA7DC7CDDBA}">
  <dimension ref="A1:M25"/>
  <sheetViews>
    <sheetView rightToLeft="1" view="pageBreakPreview" topLeftCell="A10" zoomScale="115" zoomScaleNormal="100" zoomScaleSheetLayoutView="115" workbookViewId="0">
      <selection activeCell="B4" sqref="B4"/>
    </sheetView>
  </sheetViews>
  <sheetFormatPr defaultColWidth="9" defaultRowHeight="14.25"/>
  <cols>
    <col min="1" max="1" width="3.125" style="196" customWidth="1"/>
    <col min="2" max="2" width="18.75" style="196" customWidth="1"/>
    <col min="3" max="3" width="5.375" style="196" customWidth="1"/>
    <col min="4" max="4" width="6.875" style="196" customWidth="1"/>
    <col min="5" max="5" width="10.625" style="196" customWidth="1"/>
    <col min="6" max="6" width="6.125" style="196" customWidth="1"/>
    <col min="7" max="7" width="6.625" style="196" customWidth="1"/>
    <col min="8" max="8" width="8.875" style="196" customWidth="1"/>
    <col min="9" max="10" width="6.75" style="196" customWidth="1"/>
    <col min="11" max="11" width="10.875" style="196" customWidth="1"/>
    <col min="12" max="16384" width="9" style="196"/>
  </cols>
  <sheetData>
    <row r="1" spans="1:12" ht="87.75" customHeight="1" thickBot="1"/>
    <row r="2" spans="1:12" ht="48" customHeight="1" thickTop="1" thickBot="1">
      <c r="A2" s="197"/>
      <c r="B2" s="197"/>
      <c r="C2" s="197"/>
      <c r="D2" s="197"/>
      <c r="E2" s="197"/>
      <c r="F2" s="197"/>
      <c r="G2" s="197"/>
      <c r="H2" s="198"/>
      <c r="I2" s="198"/>
      <c r="J2" s="198"/>
      <c r="K2" s="198"/>
    </row>
    <row r="3" spans="1:12" s="204" customFormat="1" ht="33" customHeight="1" thickTop="1" thickBot="1">
      <c r="A3" s="199" t="s">
        <v>1</v>
      </c>
      <c r="B3" s="200" t="s">
        <v>189</v>
      </c>
      <c r="C3" s="201" t="s">
        <v>188</v>
      </c>
      <c r="D3" s="201" t="s">
        <v>190</v>
      </c>
      <c r="E3" s="201" t="s">
        <v>191</v>
      </c>
      <c r="F3" s="201" t="s">
        <v>192</v>
      </c>
      <c r="G3" s="201" t="s">
        <v>193</v>
      </c>
      <c r="H3" s="201" t="s">
        <v>194</v>
      </c>
      <c r="I3" s="201" t="s">
        <v>43</v>
      </c>
      <c r="J3" s="201" t="s">
        <v>195</v>
      </c>
      <c r="K3" s="202" t="s">
        <v>196</v>
      </c>
      <c r="L3" s="203"/>
    </row>
    <row r="4" spans="1:12" ht="20.100000000000001" customHeight="1">
      <c r="A4" s="205">
        <v>1</v>
      </c>
      <c r="B4" s="206"/>
      <c r="C4" s="207"/>
      <c r="D4" s="208"/>
      <c r="E4" s="207"/>
      <c r="F4" s="207"/>
      <c r="G4" s="208"/>
      <c r="H4" s="207"/>
      <c r="I4" s="208"/>
      <c r="J4" s="207"/>
      <c r="K4" s="209"/>
    </row>
    <row r="5" spans="1:12" ht="20.100000000000001" customHeight="1">
      <c r="A5" s="210">
        <v>2</v>
      </c>
      <c r="B5" s="211"/>
      <c r="C5" s="212"/>
      <c r="D5" s="212"/>
      <c r="E5" s="212"/>
      <c r="F5" s="212"/>
      <c r="G5" s="213"/>
      <c r="H5" s="213"/>
      <c r="I5" s="213"/>
      <c r="J5" s="213"/>
      <c r="K5" s="214"/>
    </row>
    <row r="6" spans="1:12" ht="20.100000000000001" customHeight="1">
      <c r="A6" s="210">
        <v>3</v>
      </c>
      <c r="B6" s="211"/>
      <c r="C6" s="212"/>
      <c r="D6" s="212"/>
      <c r="E6" s="212"/>
      <c r="F6" s="212"/>
      <c r="G6" s="213"/>
      <c r="H6" s="213"/>
      <c r="I6" s="213"/>
      <c r="J6" s="213"/>
      <c r="K6" s="214"/>
    </row>
    <row r="7" spans="1:12" ht="20.100000000000001" customHeight="1">
      <c r="A7" s="210">
        <v>4</v>
      </c>
      <c r="B7" s="211"/>
      <c r="C7" s="212"/>
      <c r="D7" s="212"/>
      <c r="E7" s="212"/>
      <c r="F7" s="212"/>
      <c r="G7" s="213"/>
      <c r="H7" s="213"/>
      <c r="I7" s="213"/>
      <c r="J7" s="213"/>
      <c r="K7" s="214"/>
    </row>
    <row r="8" spans="1:12" ht="20.100000000000001" customHeight="1">
      <c r="A8" s="210">
        <v>5</v>
      </c>
      <c r="B8" s="211"/>
      <c r="C8" s="212"/>
      <c r="D8" s="212"/>
      <c r="E8" s="212"/>
      <c r="F8" s="212"/>
      <c r="G8" s="213"/>
      <c r="H8" s="213"/>
      <c r="I8" s="213"/>
      <c r="J8" s="213"/>
      <c r="K8" s="214"/>
    </row>
    <row r="9" spans="1:12" ht="20.100000000000001" customHeight="1">
      <c r="A9" s="210">
        <v>6</v>
      </c>
      <c r="B9" s="211"/>
      <c r="C9" s="212"/>
      <c r="D9" s="212"/>
      <c r="E9" s="212"/>
      <c r="F9" s="212"/>
      <c r="G9" s="213"/>
      <c r="H9" s="213"/>
      <c r="I9" s="213"/>
      <c r="J9" s="213"/>
      <c r="K9" s="214"/>
    </row>
    <row r="10" spans="1:12" ht="20.100000000000001" customHeight="1">
      <c r="A10" s="210">
        <v>7</v>
      </c>
      <c r="B10" s="211"/>
      <c r="C10" s="212"/>
      <c r="D10" s="212"/>
      <c r="E10" s="212"/>
      <c r="F10" s="212"/>
      <c r="G10" s="213"/>
      <c r="H10" s="213"/>
      <c r="I10" s="213"/>
      <c r="J10" s="213"/>
      <c r="K10" s="214"/>
    </row>
    <row r="11" spans="1:12" ht="20.100000000000001" customHeight="1">
      <c r="A11" s="210">
        <v>8</v>
      </c>
      <c r="B11" s="211"/>
      <c r="C11" s="212"/>
      <c r="D11" s="212"/>
      <c r="E11" s="212"/>
      <c r="F11" s="212"/>
      <c r="G11" s="213"/>
      <c r="H11" s="213"/>
      <c r="I11" s="213"/>
      <c r="J11" s="213"/>
      <c r="K11" s="214"/>
    </row>
    <row r="12" spans="1:12" ht="20.100000000000001" customHeight="1">
      <c r="A12" s="210">
        <v>9</v>
      </c>
      <c r="B12" s="211"/>
      <c r="C12" s="212"/>
      <c r="D12" s="212"/>
      <c r="E12" s="212"/>
      <c r="F12" s="212"/>
      <c r="G12" s="213"/>
      <c r="H12" s="213"/>
      <c r="I12" s="213"/>
      <c r="J12" s="213"/>
      <c r="K12" s="214"/>
    </row>
    <row r="13" spans="1:12" ht="20.100000000000001" customHeight="1">
      <c r="A13" s="210">
        <v>10</v>
      </c>
      <c r="B13" s="211"/>
      <c r="C13" s="212"/>
      <c r="D13" s="212"/>
      <c r="E13" s="212"/>
      <c r="F13" s="212"/>
      <c r="G13" s="213"/>
      <c r="H13" s="213"/>
      <c r="I13" s="213"/>
      <c r="J13" s="213"/>
      <c r="K13" s="214"/>
    </row>
    <row r="14" spans="1:12" ht="20.100000000000001" customHeight="1">
      <c r="A14" s="210">
        <v>11</v>
      </c>
      <c r="B14" s="211"/>
      <c r="C14" s="212"/>
      <c r="D14" s="212"/>
      <c r="E14" s="212"/>
      <c r="F14" s="212"/>
      <c r="G14" s="213"/>
      <c r="H14" s="213"/>
      <c r="I14" s="213"/>
      <c r="J14" s="213"/>
      <c r="K14" s="214"/>
    </row>
    <row r="15" spans="1:12" ht="20.100000000000001" customHeight="1">
      <c r="A15" s="210">
        <v>12</v>
      </c>
      <c r="B15" s="211"/>
      <c r="C15" s="212"/>
      <c r="D15" s="212"/>
      <c r="E15" s="212"/>
      <c r="F15" s="212"/>
      <c r="G15" s="213"/>
      <c r="H15" s="213"/>
      <c r="I15" s="213"/>
      <c r="J15" s="213"/>
      <c r="K15" s="214"/>
    </row>
    <row r="16" spans="1:12" ht="20.100000000000001" customHeight="1">
      <c r="A16" s="210">
        <v>13</v>
      </c>
      <c r="B16" s="211"/>
      <c r="C16" s="212"/>
      <c r="D16" s="212"/>
      <c r="E16" s="212"/>
      <c r="F16" s="212"/>
      <c r="G16" s="213"/>
      <c r="H16" s="213"/>
      <c r="I16" s="213"/>
      <c r="J16" s="213"/>
      <c r="K16" s="214"/>
    </row>
    <row r="17" spans="1:13" ht="20.100000000000001" customHeight="1">
      <c r="A17" s="210">
        <v>14</v>
      </c>
      <c r="B17" s="211"/>
      <c r="C17" s="212"/>
      <c r="D17" s="212"/>
      <c r="E17" s="212"/>
      <c r="F17" s="212"/>
      <c r="G17" s="213"/>
      <c r="H17" s="213"/>
      <c r="I17" s="213"/>
      <c r="J17" s="213"/>
      <c r="K17" s="214"/>
    </row>
    <row r="18" spans="1:13" ht="20.100000000000001" customHeight="1">
      <c r="A18" s="210">
        <v>15</v>
      </c>
      <c r="B18" s="211"/>
      <c r="C18" s="212"/>
      <c r="D18" s="212"/>
      <c r="E18" s="212"/>
      <c r="F18" s="212"/>
      <c r="G18" s="213"/>
      <c r="H18" s="213"/>
      <c r="I18" s="213"/>
      <c r="J18" s="213"/>
      <c r="K18" s="214"/>
    </row>
    <row r="19" spans="1:13" ht="20.100000000000001" customHeight="1">
      <c r="A19" s="210">
        <v>16</v>
      </c>
      <c r="B19" s="211"/>
      <c r="C19" s="212"/>
      <c r="D19" s="212"/>
      <c r="E19" s="212"/>
      <c r="F19" s="212"/>
      <c r="G19" s="213"/>
      <c r="H19" s="213"/>
      <c r="I19" s="213"/>
      <c r="J19" s="213"/>
      <c r="K19" s="214"/>
    </row>
    <row r="20" spans="1:13" ht="20.100000000000001" customHeight="1">
      <c r="A20" s="210">
        <v>17</v>
      </c>
      <c r="B20" s="211"/>
      <c r="C20" s="212"/>
      <c r="D20" s="212"/>
      <c r="E20" s="212"/>
      <c r="F20" s="212"/>
      <c r="G20" s="213"/>
      <c r="H20" s="213"/>
      <c r="I20" s="213"/>
      <c r="J20" s="213"/>
      <c r="K20" s="214"/>
    </row>
    <row r="21" spans="1:13" ht="20.100000000000001" customHeight="1">
      <c r="A21" s="210">
        <v>18</v>
      </c>
      <c r="B21" s="211"/>
      <c r="C21" s="212"/>
      <c r="D21" s="212"/>
      <c r="E21" s="212"/>
      <c r="F21" s="212"/>
      <c r="G21" s="213"/>
      <c r="H21" s="213"/>
      <c r="I21" s="213"/>
      <c r="J21" s="213"/>
      <c r="K21" s="214"/>
    </row>
    <row r="22" spans="1:13" ht="20.100000000000001" customHeight="1">
      <c r="A22" s="210">
        <v>19</v>
      </c>
      <c r="B22" s="211"/>
      <c r="C22" s="212"/>
      <c r="D22" s="212"/>
      <c r="E22" s="212"/>
      <c r="F22" s="212"/>
      <c r="G22" s="213"/>
      <c r="H22" s="213"/>
      <c r="I22" s="213"/>
      <c r="J22" s="213"/>
      <c r="K22" s="214"/>
    </row>
    <row r="23" spans="1:13" ht="20.100000000000001" customHeight="1">
      <c r="A23" s="210">
        <v>20</v>
      </c>
      <c r="B23" s="211"/>
      <c r="C23" s="212"/>
      <c r="D23" s="212"/>
      <c r="E23" s="212"/>
      <c r="F23" s="212"/>
      <c r="G23" s="213"/>
      <c r="H23" s="213"/>
      <c r="I23" s="213"/>
      <c r="J23" s="213"/>
      <c r="K23" s="214"/>
    </row>
    <row r="24" spans="1:13" ht="30" customHeight="1"/>
    <row r="25" spans="1:13" ht="30" customHeight="1">
      <c r="B25" s="215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</row>
  </sheetData>
  <printOptions horizontalCentered="1" verticalCentered="1"/>
  <pageMargins left="0.11811023622047245" right="0.11811023622047245" top="0.15748031496062992" bottom="0.15748031496062992" header="0.11811023622047245" footer="0.11811023622047245"/>
  <pageSetup paperSize="9" orientation="portrait" r:id="rId1"/>
  <colBreaks count="1" manualBreakCount="1">
    <brk id="11" max="2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25"/>
  <sheetViews>
    <sheetView rightToLeft="1" view="pageBreakPreview" zoomScale="115" zoomScaleNormal="100" zoomScaleSheetLayoutView="115" workbookViewId="0">
      <selection activeCell="B4" sqref="B4"/>
    </sheetView>
  </sheetViews>
  <sheetFormatPr defaultColWidth="9" defaultRowHeight="14.25"/>
  <cols>
    <col min="1" max="1" width="3.125" style="196" customWidth="1"/>
    <col min="2" max="2" width="18.75" style="196" customWidth="1"/>
    <col min="3" max="3" width="5.375" style="196" customWidth="1"/>
    <col min="4" max="4" width="6.875" style="196" customWidth="1"/>
    <col min="5" max="5" width="10.625" style="196" customWidth="1"/>
    <col min="6" max="6" width="6.125" style="196" customWidth="1"/>
    <col min="7" max="7" width="6.625" style="196" customWidth="1"/>
    <col min="8" max="8" width="8.875" style="196" customWidth="1"/>
    <col min="9" max="10" width="6.75" style="196" customWidth="1"/>
    <col min="11" max="11" width="10.875" style="196" customWidth="1"/>
    <col min="12" max="16384" width="9" style="196"/>
  </cols>
  <sheetData>
    <row r="1" spans="1:12" ht="87.75" customHeight="1" thickBot="1"/>
    <row r="2" spans="1:12" ht="48" customHeight="1" thickTop="1" thickBot="1">
      <c r="A2" s="197"/>
      <c r="B2" s="197"/>
      <c r="C2" s="197"/>
      <c r="D2" s="197"/>
      <c r="E2" s="197"/>
      <c r="F2" s="197"/>
      <c r="G2" s="197"/>
      <c r="H2" s="198"/>
      <c r="I2" s="198"/>
      <c r="J2" s="198"/>
      <c r="K2" s="198"/>
    </row>
    <row r="3" spans="1:12" s="204" customFormat="1" ht="33" customHeight="1" thickTop="1" thickBot="1">
      <c r="A3" s="199" t="s">
        <v>1</v>
      </c>
      <c r="B3" s="200" t="s">
        <v>189</v>
      </c>
      <c r="C3" s="201" t="s">
        <v>188</v>
      </c>
      <c r="D3" s="201" t="s">
        <v>190</v>
      </c>
      <c r="E3" s="201" t="s">
        <v>191</v>
      </c>
      <c r="F3" s="201" t="s">
        <v>192</v>
      </c>
      <c r="G3" s="201" t="s">
        <v>193</v>
      </c>
      <c r="H3" s="201" t="s">
        <v>194</v>
      </c>
      <c r="I3" s="201" t="s">
        <v>43</v>
      </c>
      <c r="J3" s="201" t="s">
        <v>195</v>
      </c>
      <c r="K3" s="202" t="s">
        <v>196</v>
      </c>
      <c r="L3" s="203"/>
    </row>
    <row r="4" spans="1:12" ht="20.100000000000001" customHeight="1">
      <c r="A4" s="205">
        <v>1</v>
      </c>
      <c r="B4" s="206"/>
      <c r="C4" s="207"/>
      <c r="D4" s="208"/>
      <c r="E4" s="207"/>
      <c r="F4" s="207"/>
      <c r="G4" s="208"/>
      <c r="H4" s="207"/>
      <c r="I4" s="208"/>
      <c r="J4" s="207"/>
      <c r="K4" s="209"/>
    </row>
    <row r="5" spans="1:12" ht="20.100000000000001" customHeight="1">
      <c r="A5" s="210">
        <v>2</v>
      </c>
      <c r="B5" s="211"/>
      <c r="C5" s="212"/>
      <c r="D5" s="212"/>
      <c r="E5" s="212"/>
      <c r="F5" s="212"/>
      <c r="G5" s="213"/>
      <c r="H5" s="213"/>
      <c r="I5" s="213"/>
      <c r="J5" s="213"/>
      <c r="K5" s="214"/>
    </row>
    <row r="6" spans="1:12" ht="20.100000000000001" customHeight="1">
      <c r="A6" s="210">
        <v>3</v>
      </c>
      <c r="B6" s="211"/>
      <c r="C6" s="212"/>
      <c r="D6" s="212"/>
      <c r="E6" s="212"/>
      <c r="F6" s="212"/>
      <c r="G6" s="213"/>
      <c r="H6" s="213"/>
      <c r="I6" s="213"/>
      <c r="J6" s="213"/>
      <c r="K6" s="214"/>
    </row>
    <row r="7" spans="1:12" ht="20.100000000000001" customHeight="1">
      <c r="A7" s="210">
        <v>4</v>
      </c>
      <c r="B7" s="211"/>
      <c r="C7" s="212"/>
      <c r="D7" s="212"/>
      <c r="E7" s="212"/>
      <c r="F7" s="212"/>
      <c r="G7" s="213"/>
      <c r="H7" s="213"/>
      <c r="I7" s="213"/>
      <c r="J7" s="213"/>
      <c r="K7" s="214"/>
    </row>
    <row r="8" spans="1:12" ht="20.100000000000001" customHeight="1">
      <c r="A8" s="210">
        <v>5</v>
      </c>
      <c r="B8" s="211"/>
      <c r="C8" s="212"/>
      <c r="D8" s="212"/>
      <c r="E8" s="212"/>
      <c r="F8" s="212"/>
      <c r="G8" s="213"/>
      <c r="H8" s="213"/>
      <c r="I8" s="213"/>
      <c r="J8" s="213"/>
      <c r="K8" s="214"/>
    </row>
    <row r="9" spans="1:12" ht="20.100000000000001" customHeight="1">
      <c r="A9" s="210">
        <v>6</v>
      </c>
      <c r="B9" s="211"/>
      <c r="C9" s="212"/>
      <c r="D9" s="212"/>
      <c r="E9" s="212"/>
      <c r="F9" s="212"/>
      <c r="G9" s="213"/>
      <c r="H9" s="213"/>
      <c r="I9" s="213"/>
      <c r="J9" s="213"/>
      <c r="K9" s="214"/>
    </row>
    <row r="10" spans="1:12" ht="20.100000000000001" customHeight="1">
      <c r="A10" s="210">
        <v>7</v>
      </c>
      <c r="B10" s="211"/>
      <c r="C10" s="212"/>
      <c r="D10" s="212"/>
      <c r="E10" s="212"/>
      <c r="F10" s="212"/>
      <c r="G10" s="213"/>
      <c r="H10" s="213"/>
      <c r="I10" s="213"/>
      <c r="J10" s="213"/>
      <c r="K10" s="214"/>
    </row>
    <row r="11" spans="1:12" ht="20.100000000000001" customHeight="1">
      <c r="A11" s="210">
        <v>8</v>
      </c>
      <c r="B11" s="211"/>
      <c r="C11" s="212"/>
      <c r="D11" s="212"/>
      <c r="E11" s="212"/>
      <c r="F11" s="212"/>
      <c r="G11" s="213"/>
      <c r="H11" s="213"/>
      <c r="I11" s="213"/>
      <c r="J11" s="213"/>
      <c r="K11" s="214"/>
    </row>
    <row r="12" spans="1:12" ht="20.100000000000001" customHeight="1">
      <c r="A12" s="210">
        <v>9</v>
      </c>
      <c r="B12" s="211"/>
      <c r="C12" s="212"/>
      <c r="D12" s="212"/>
      <c r="E12" s="212"/>
      <c r="F12" s="212"/>
      <c r="G12" s="213"/>
      <c r="H12" s="213"/>
      <c r="I12" s="213"/>
      <c r="J12" s="213"/>
      <c r="K12" s="214"/>
    </row>
    <row r="13" spans="1:12" ht="20.100000000000001" customHeight="1">
      <c r="A13" s="210">
        <v>10</v>
      </c>
      <c r="B13" s="211"/>
      <c r="C13" s="212"/>
      <c r="D13" s="212"/>
      <c r="E13" s="212"/>
      <c r="F13" s="212"/>
      <c r="G13" s="213"/>
      <c r="H13" s="213"/>
      <c r="I13" s="213"/>
      <c r="J13" s="213"/>
      <c r="K13" s="214"/>
    </row>
    <row r="14" spans="1:12" ht="20.100000000000001" customHeight="1">
      <c r="A14" s="210">
        <v>11</v>
      </c>
      <c r="B14" s="211"/>
      <c r="C14" s="212"/>
      <c r="D14" s="212"/>
      <c r="E14" s="212"/>
      <c r="F14" s="212"/>
      <c r="G14" s="213"/>
      <c r="H14" s="213"/>
      <c r="I14" s="213"/>
      <c r="J14" s="213"/>
      <c r="K14" s="214"/>
    </row>
    <row r="15" spans="1:12" ht="20.100000000000001" customHeight="1">
      <c r="A15" s="210">
        <v>12</v>
      </c>
      <c r="B15" s="211"/>
      <c r="C15" s="212"/>
      <c r="D15" s="212"/>
      <c r="E15" s="212"/>
      <c r="F15" s="212"/>
      <c r="G15" s="213"/>
      <c r="H15" s="213"/>
      <c r="I15" s="213"/>
      <c r="J15" s="213"/>
      <c r="K15" s="214"/>
    </row>
    <row r="16" spans="1:12" ht="20.100000000000001" customHeight="1">
      <c r="A16" s="210">
        <v>13</v>
      </c>
      <c r="B16" s="211"/>
      <c r="C16" s="212"/>
      <c r="D16" s="212"/>
      <c r="E16" s="212"/>
      <c r="F16" s="212"/>
      <c r="G16" s="213"/>
      <c r="H16" s="213"/>
      <c r="I16" s="213"/>
      <c r="J16" s="213"/>
      <c r="K16" s="214"/>
    </row>
    <row r="17" spans="1:13" ht="20.100000000000001" customHeight="1">
      <c r="A17" s="210">
        <v>14</v>
      </c>
      <c r="B17" s="211"/>
      <c r="C17" s="212"/>
      <c r="D17" s="212"/>
      <c r="E17" s="212"/>
      <c r="F17" s="212"/>
      <c r="G17" s="213"/>
      <c r="H17" s="213"/>
      <c r="I17" s="213"/>
      <c r="J17" s="213"/>
      <c r="K17" s="214"/>
    </row>
    <row r="18" spans="1:13" ht="20.100000000000001" customHeight="1">
      <c r="A18" s="210">
        <v>15</v>
      </c>
      <c r="B18" s="211"/>
      <c r="C18" s="212"/>
      <c r="D18" s="212"/>
      <c r="E18" s="212"/>
      <c r="F18" s="212"/>
      <c r="G18" s="213"/>
      <c r="H18" s="213"/>
      <c r="I18" s="213"/>
      <c r="J18" s="213"/>
      <c r="K18" s="214"/>
    </row>
    <row r="19" spans="1:13" ht="20.100000000000001" customHeight="1">
      <c r="A19" s="210">
        <v>16</v>
      </c>
      <c r="B19" s="211"/>
      <c r="C19" s="212"/>
      <c r="D19" s="212"/>
      <c r="E19" s="212"/>
      <c r="F19" s="212"/>
      <c r="G19" s="213"/>
      <c r="H19" s="213"/>
      <c r="I19" s="213"/>
      <c r="J19" s="213"/>
      <c r="K19" s="214"/>
    </row>
    <row r="20" spans="1:13" ht="20.100000000000001" customHeight="1">
      <c r="A20" s="210">
        <v>17</v>
      </c>
      <c r="B20" s="211"/>
      <c r="C20" s="212"/>
      <c r="D20" s="212"/>
      <c r="E20" s="212"/>
      <c r="F20" s="212"/>
      <c r="G20" s="213"/>
      <c r="H20" s="213"/>
      <c r="I20" s="213"/>
      <c r="J20" s="213"/>
      <c r="K20" s="214"/>
    </row>
    <row r="21" spans="1:13" ht="20.100000000000001" customHeight="1">
      <c r="A21" s="210">
        <v>18</v>
      </c>
      <c r="B21" s="211"/>
      <c r="C21" s="212"/>
      <c r="D21" s="212"/>
      <c r="E21" s="212"/>
      <c r="F21" s="212"/>
      <c r="G21" s="213"/>
      <c r="H21" s="213"/>
      <c r="I21" s="213"/>
      <c r="J21" s="213"/>
      <c r="K21" s="214"/>
    </row>
    <row r="22" spans="1:13" ht="20.100000000000001" customHeight="1">
      <c r="A22" s="210">
        <v>19</v>
      </c>
      <c r="B22" s="211"/>
      <c r="C22" s="212"/>
      <c r="D22" s="212"/>
      <c r="E22" s="212"/>
      <c r="F22" s="212"/>
      <c r="G22" s="213"/>
      <c r="H22" s="213"/>
      <c r="I22" s="213"/>
      <c r="J22" s="213"/>
      <c r="K22" s="214"/>
    </row>
    <row r="23" spans="1:13" ht="20.100000000000001" customHeight="1">
      <c r="A23" s="210">
        <v>20</v>
      </c>
      <c r="B23" s="211"/>
      <c r="C23" s="212"/>
      <c r="D23" s="212"/>
      <c r="E23" s="212"/>
      <c r="F23" s="212"/>
      <c r="G23" s="213"/>
      <c r="H23" s="213"/>
      <c r="I23" s="213"/>
      <c r="J23" s="213"/>
      <c r="K23" s="214"/>
    </row>
    <row r="24" spans="1:13" ht="30" customHeight="1"/>
    <row r="25" spans="1:13" ht="30" customHeight="1">
      <c r="B25" s="215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</row>
  </sheetData>
  <printOptions horizontalCentered="1" verticalCentered="1"/>
  <pageMargins left="0.11811023622047245" right="0.11811023622047245" top="0.15748031496062992" bottom="0.15748031496062992" header="0.11811023622047245" footer="0.11811023622047245"/>
  <pageSetup paperSize="9" orientation="portrait" r:id="rId1"/>
  <colBreaks count="1" manualBreakCount="1">
    <brk id="11" max="25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9727-28A8-4959-B95E-33D1DFEC57E2}">
  <dimension ref="A1:N25"/>
  <sheetViews>
    <sheetView rightToLeft="1" view="pageBreakPreview" zoomScale="115" zoomScaleNormal="100" zoomScaleSheetLayoutView="115" workbookViewId="0">
      <selection activeCell="K4" sqref="K4"/>
    </sheetView>
  </sheetViews>
  <sheetFormatPr defaultColWidth="9" defaultRowHeight="14.25"/>
  <cols>
    <col min="1" max="1" width="3.125" style="196" customWidth="1"/>
    <col min="2" max="2" width="18.75" style="196" customWidth="1"/>
    <col min="3" max="3" width="5.375" style="196" customWidth="1"/>
    <col min="4" max="4" width="6.875" style="196" customWidth="1"/>
    <col min="5" max="5" width="10.625" style="196" customWidth="1"/>
    <col min="6" max="6" width="6.125" style="196" customWidth="1"/>
    <col min="7" max="7" width="6.625" style="196" customWidth="1"/>
    <col min="8" max="8" width="8.875" style="196" customWidth="1"/>
    <col min="9" max="11" width="6.75" style="196" customWidth="1"/>
    <col min="12" max="12" width="15.5" style="196" customWidth="1"/>
    <col min="13" max="16384" width="9" style="196"/>
  </cols>
  <sheetData>
    <row r="1" spans="1:13" ht="87.75" customHeight="1" thickBot="1"/>
    <row r="2" spans="1:13" ht="48" customHeight="1" thickTop="1" thickBot="1">
      <c r="A2" s="197"/>
      <c r="B2" s="197"/>
      <c r="C2" s="197"/>
      <c r="D2" s="197"/>
      <c r="E2" s="197"/>
      <c r="F2" s="197"/>
      <c r="G2" s="197"/>
      <c r="H2" s="198"/>
      <c r="I2" s="198"/>
      <c r="J2" s="198"/>
      <c r="K2" s="198"/>
      <c r="L2" s="198"/>
    </row>
    <row r="3" spans="1:13" s="204" customFormat="1" ht="44.25" customHeight="1" thickTop="1" thickBot="1">
      <c r="A3" s="199" t="s">
        <v>1</v>
      </c>
      <c r="B3" s="200" t="s">
        <v>189</v>
      </c>
      <c r="C3" s="201" t="s">
        <v>188</v>
      </c>
      <c r="D3" s="201" t="s">
        <v>190</v>
      </c>
      <c r="E3" s="201" t="s">
        <v>191</v>
      </c>
      <c r="F3" s="201" t="s">
        <v>192</v>
      </c>
      <c r="G3" s="201" t="s">
        <v>193</v>
      </c>
      <c r="H3" s="201" t="s">
        <v>316</v>
      </c>
      <c r="I3" s="201" t="s">
        <v>43</v>
      </c>
      <c r="J3" s="201" t="s">
        <v>195</v>
      </c>
      <c r="K3" s="469" t="s">
        <v>347</v>
      </c>
      <c r="L3" s="202" t="s">
        <v>196</v>
      </c>
      <c r="M3" s="203"/>
    </row>
    <row r="4" spans="1:13" ht="20.100000000000001" customHeight="1">
      <c r="A4" s="205">
        <v>1</v>
      </c>
      <c r="B4" s="206"/>
      <c r="C4" s="207"/>
      <c r="D4" s="208"/>
      <c r="E4" s="207"/>
      <c r="F4" s="207"/>
      <c r="G4" s="208"/>
      <c r="H4" s="207"/>
      <c r="I4" s="208"/>
      <c r="J4" s="207"/>
      <c r="K4" s="470"/>
      <c r="L4" s="209"/>
    </row>
    <row r="5" spans="1:13" ht="20.100000000000001" customHeight="1">
      <c r="A5" s="210">
        <v>2</v>
      </c>
      <c r="B5" s="211"/>
      <c r="C5" s="212"/>
      <c r="D5" s="212"/>
      <c r="E5" s="212"/>
      <c r="F5" s="212"/>
      <c r="G5" s="213"/>
      <c r="H5" s="213"/>
      <c r="I5" s="213"/>
      <c r="J5" s="213"/>
      <c r="K5" s="471"/>
      <c r="L5" s="214"/>
    </row>
    <row r="6" spans="1:13" ht="20.100000000000001" customHeight="1">
      <c r="A6" s="210">
        <v>3</v>
      </c>
      <c r="B6" s="211"/>
      <c r="C6" s="212"/>
      <c r="D6" s="212"/>
      <c r="E6" s="212"/>
      <c r="F6" s="212"/>
      <c r="G6" s="213"/>
      <c r="H6" s="213"/>
      <c r="I6" s="213"/>
      <c r="J6" s="213"/>
      <c r="K6" s="471"/>
      <c r="L6" s="214"/>
    </row>
    <row r="7" spans="1:13" ht="20.100000000000001" customHeight="1">
      <c r="A7" s="210">
        <v>4</v>
      </c>
      <c r="B7" s="211"/>
      <c r="C7" s="212"/>
      <c r="D7" s="212"/>
      <c r="E7" s="212"/>
      <c r="F7" s="212"/>
      <c r="G7" s="213"/>
      <c r="H7" s="213"/>
      <c r="I7" s="213"/>
      <c r="J7" s="213"/>
      <c r="K7" s="471"/>
      <c r="L7" s="214"/>
    </row>
    <row r="8" spans="1:13" ht="20.100000000000001" customHeight="1">
      <c r="A8" s="210">
        <v>5</v>
      </c>
      <c r="B8" s="211"/>
      <c r="C8" s="212"/>
      <c r="D8" s="212"/>
      <c r="E8" s="212"/>
      <c r="F8" s="212"/>
      <c r="G8" s="213"/>
      <c r="H8" s="213"/>
      <c r="I8" s="213"/>
      <c r="J8" s="213"/>
      <c r="K8" s="471"/>
      <c r="L8" s="214"/>
    </row>
    <row r="9" spans="1:13" ht="20.100000000000001" customHeight="1">
      <c r="A9" s="210">
        <v>6</v>
      </c>
      <c r="B9" s="211"/>
      <c r="C9" s="212"/>
      <c r="D9" s="212"/>
      <c r="E9" s="212"/>
      <c r="F9" s="212"/>
      <c r="G9" s="213"/>
      <c r="H9" s="213"/>
      <c r="I9" s="213"/>
      <c r="J9" s="213"/>
      <c r="K9" s="471"/>
      <c r="L9" s="214"/>
    </row>
    <row r="10" spans="1:13" ht="20.100000000000001" customHeight="1">
      <c r="A10" s="210">
        <v>7</v>
      </c>
      <c r="B10" s="211"/>
      <c r="C10" s="212"/>
      <c r="D10" s="212"/>
      <c r="E10" s="212"/>
      <c r="F10" s="212"/>
      <c r="G10" s="213"/>
      <c r="H10" s="213"/>
      <c r="I10" s="213"/>
      <c r="J10" s="213"/>
      <c r="K10" s="471"/>
      <c r="L10" s="214"/>
    </row>
    <row r="11" spans="1:13" ht="20.100000000000001" customHeight="1">
      <c r="A11" s="210">
        <v>8</v>
      </c>
      <c r="B11" s="211"/>
      <c r="C11" s="212"/>
      <c r="D11" s="212"/>
      <c r="E11" s="212"/>
      <c r="F11" s="212"/>
      <c r="G11" s="213"/>
      <c r="H11" s="213"/>
      <c r="I11" s="213"/>
      <c r="J11" s="213"/>
      <c r="K11" s="471"/>
      <c r="L11" s="214"/>
    </row>
    <row r="12" spans="1:13" ht="20.100000000000001" customHeight="1">
      <c r="A12" s="210">
        <v>9</v>
      </c>
      <c r="B12" s="211"/>
      <c r="C12" s="212"/>
      <c r="D12" s="212"/>
      <c r="E12" s="212"/>
      <c r="F12" s="212"/>
      <c r="G12" s="213"/>
      <c r="H12" s="213"/>
      <c r="I12" s="213"/>
      <c r="J12" s="213"/>
      <c r="K12" s="471"/>
      <c r="L12" s="214"/>
    </row>
    <row r="13" spans="1:13" ht="20.100000000000001" customHeight="1">
      <c r="A13" s="210">
        <v>10</v>
      </c>
      <c r="B13" s="211"/>
      <c r="C13" s="212"/>
      <c r="D13" s="212"/>
      <c r="E13" s="212"/>
      <c r="F13" s="212"/>
      <c r="G13" s="213"/>
      <c r="H13" s="213"/>
      <c r="I13" s="213"/>
      <c r="J13" s="213"/>
      <c r="K13" s="471"/>
      <c r="L13" s="214"/>
    </row>
    <row r="14" spans="1:13" ht="20.100000000000001" customHeight="1">
      <c r="A14" s="210">
        <v>11</v>
      </c>
      <c r="B14" s="211"/>
      <c r="C14" s="212"/>
      <c r="D14" s="212"/>
      <c r="E14" s="212"/>
      <c r="F14" s="212"/>
      <c r="G14" s="213"/>
      <c r="H14" s="213"/>
      <c r="I14" s="213"/>
      <c r="J14" s="213"/>
      <c r="K14" s="471"/>
      <c r="L14" s="214"/>
    </row>
    <row r="15" spans="1:13" ht="20.100000000000001" customHeight="1">
      <c r="A15" s="210">
        <v>12</v>
      </c>
      <c r="B15" s="211"/>
      <c r="C15" s="212"/>
      <c r="D15" s="212"/>
      <c r="E15" s="212"/>
      <c r="F15" s="212"/>
      <c r="G15" s="213"/>
      <c r="H15" s="213"/>
      <c r="I15" s="213"/>
      <c r="J15" s="213"/>
      <c r="K15" s="471"/>
      <c r="L15" s="214"/>
    </row>
    <row r="16" spans="1:13" ht="20.100000000000001" customHeight="1">
      <c r="A16" s="210">
        <v>13</v>
      </c>
      <c r="B16" s="211"/>
      <c r="C16" s="212"/>
      <c r="D16" s="212"/>
      <c r="E16" s="212"/>
      <c r="F16" s="212"/>
      <c r="G16" s="213"/>
      <c r="H16" s="213"/>
      <c r="I16" s="213"/>
      <c r="J16" s="213"/>
      <c r="K16" s="471"/>
      <c r="L16" s="214"/>
    </row>
    <row r="17" spans="1:14" ht="20.100000000000001" customHeight="1">
      <c r="A17" s="210">
        <v>14</v>
      </c>
      <c r="B17" s="211"/>
      <c r="C17" s="212"/>
      <c r="D17" s="212"/>
      <c r="E17" s="212"/>
      <c r="F17" s="212"/>
      <c r="G17" s="213"/>
      <c r="H17" s="213"/>
      <c r="I17" s="213"/>
      <c r="J17" s="213"/>
      <c r="K17" s="471"/>
      <c r="L17" s="214"/>
    </row>
    <row r="18" spans="1:14" ht="20.100000000000001" customHeight="1">
      <c r="A18" s="210">
        <v>15</v>
      </c>
      <c r="B18" s="211"/>
      <c r="C18" s="212"/>
      <c r="D18" s="212"/>
      <c r="E18" s="212"/>
      <c r="F18" s="212"/>
      <c r="G18" s="213"/>
      <c r="H18" s="213"/>
      <c r="I18" s="213"/>
      <c r="J18" s="213"/>
      <c r="K18" s="471"/>
      <c r="L18" s="214"/>
    </row>
    <row r="19" spans="1:14" ht="20.100000000000001" customHeight="1">
      <c r="A19" s="210">
        <v>16</v>
      </c>
      <c r="B19" s="211"/>
      <c r="C19" s="212"/>
      <c r="D19" s="212"/>
      <c r="E19" s="212"/>
      <c r="F19" s="212"/>
      <c r="G19" s="213"/>
      <c r="H19" s="213"/>
      <c r="I19" s="213"/>
      <c r="J19" s="213"/>
      <c r="K19" s="471"/>
      <c r="L19" s="214"/>
    </row>
    <row r="20" spans="1:14" ht="20.100000000000001" customHeight="1">
      <c r="A20" s="210">
        <v>17</v>
      </c>
      <c r="B20" s="211"/>
      <c r="C20" s="212"/>
      <c r="D20" s="212"/>
      <c r="E20" s="212"/>
      <c r="F20" s="212"/>
      <c r="G20" s="213"/>
      <c r="H20" s="213"/>
      <c r="I20" s="213"/>
      <c r="J20" s="213"/>
      <c r="K20" s="471"/>
      <c r="L20" s="214"/>
    </row>
    <row r="21" spans="1:14" ht="20.100000000000001" customHeight="1">
      <c r="A21" s="210">
        <v>18</v>
      </c>
      <c r="B21" s="211"/>
      <c r="C21" s="212"/>
      <c r="D21" s="212"/>
      <c r="E21" s="212"/>
      <c r="F21" s="212"/>
      <c r="G21" s="213"/>
      <c r="H21" s="213"/>
      <c r="I21" s="213"/>
      <c r="J21" s="213"/>
      <c r="K21" s="471"/>
      <c r="L21" s="214"/>
    </row>
    <row r="22" spans="1:14" ht="20.100000000000001" customHeight="1">
      <c r="A22" s="210">
        <v>19</v>
      </c>
      <c r="B22" s="211"/>
      <c r="C22" s="212"/>
      <c r="D22" s="212"/>
      <c r="E22" s="212"/>
      <c r="F22" s="212"/>
      <c r="G22" s="213"/>
      <c r="H22" s="213"/>
      <c r="I22" s="213"/>
      <c r="J22" s="213"/>
      <c r="K22" s="471"/>
      <c r="L22" s="214"/>
    </row>
    <row r="23" spans="1:14" ht="20.100000000000001" customHeight="1">
      <c r="A23" s="210">
        <v>20</v>
      </c>
      <c r="B23" s="211"/>
      <c r="C23" s="212"/>
      <c r="D23" s="212"/>
      <c r="E23" s="212"/>
      <c r="F23" s="212"/>
      <c r="G23" s="213"/>
      <c r="H23" s="213"/>
      <c r="I23" s="213"/>
      <c r="J23" s="213"/>
      <c r="K23" s="471"/>
      <c r="L23" s="214"/>
    </row>
    <row r="24" spans="1:14" ht="30" customHeight="1"/>
    <row r="25" spans="1:14" ht="30" customHeight="1">
      <c r="B25" s="215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</row>
  </sheetData>
  <printOptions horizontalCentered="1" verticalCentered="1"/>
  <pageMargins left="0.11811023622047245" right="0.11811023622047245" top="0.15748031496062992" bottom="0.15748031496062992" header="0.11811023622047245" footer="0.11811023622047245"/>
  <pageSetup paperSize="9" orientation="portrait" r:id="rId1"/>
  <colBreaks count="1" manualBreakCount="1">
    <brk id="12" max="25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8680-D839-4EA9-A415-3C25FED44B52}">
  <dimension ref="A1:M25"/>
  <sheetViews>
    <sheetView rightToLeft="1" view="pageBreakPreview" zoomScale="115" zoomScaleNormal="100" zoomScaleSheetLayoutView="115" workbookViewId="0">
      <selection activeCell="B4" sqref="B4"/>
    </sheetView>
  </sheetViews>
  <sheetFormatPr defaultColWidth="9" defaultRowHeight="14.25"/>
  <cols>
    <col min="1" max="1" width="3.125" style="196" customWidth="1"/>
    <col min="2" max="2" width="18.75" style="196" customWidth="1"/>
    <col min="3" max="3" width="5.375" style="196" customWidth="1"/>
    <col min="4" max="4" width="6.875" style="196" customWidth="1"/>
    <col min="5" max="5" width="9.25" style="196" customWidth="1"/>
    <col min="6" max="6" width="4.75" style="196" customWidth="1"/>
    <col min="7" max="7" width="6.625" style="196" customWidth="1"/>
    <col min="8" max="8" width="10.75" style="196" customWidth="1"/>
    <col min="9" max="9" width="6.75" style="196" customWidth="1"/>
    <col min="10" max="10" width="10.375" style="196" customWidth="1"/>
    <col min="11" max="11" width="8.75" style="196" customWidth="1"/>
    <col min="12" max="16384" width="9" style="196"/>
  </cols>
  <sheetData>
    <row r="1" spans="1:12" ht="87.75" customHeight="1" thickBot="1"/>
    <row r="2" spans="1:12" ht="63.75" customHeight="1" thickTop="1" thickBot="1">
      <c r="A2" s="197"/>
      <c r="B2" s="197"/>
      <c r="C2" s="197"/>
      <c r="D2" s="197"/>
      <c r="E2" s="197"/>
      <c r="F2" s="197"/>
      <c r="G2" s="197"/>
      <c r="H2" s="198"/>
      <c r="I2" s="198"/>
      <c r="J2" s="198"/>
      <c r="K2" s="198"/>
    </row>
    <row r="3" spans="1:12" s="204" customFormat="1" ht="43.5" customHeight="1" thickTop="1" thickBot="1">
      <c r="A3" s="199" t="s">
        <v>1</v>
      </c>
      <c r="B3" s="200" t="s">
        <v>189</v>
      </c>
      <c r="C3" s="201" t="s">
        <v>188</v>
      </c>
      <c r="D3" s="201" t="s">
        <v>190</v>
      </c>
      <c r="E3" s="201" t="s">
        <v>191</v>
      </c>
      <c r="F3" s="201" t="s">
        <v>192</v>
      </c>
      <c r="G3" s="201" t="s">
        <v>193</v>
      </c>
      <c r="H3" s="201" t="s">
        <v>197</v>
      </c>
      <c r="I3" s="201" t="s">
        <v>198</v>
      </c>
      <c r="J3" s="201" t="s">
        <v>196</v>
      </c>
      <c r="K3" s="202" t="s">
        <v>199</v>
      </c>
      <c r="L3" s="203"/>
    </row>
    <row r="4" spans="1:12" ht="20.100000000000001" customHeight="1">
      <c r="A4" s="205">
        <v>1</v>
      </c>
      <c r="B4" s="206"/>
      <c r="C4" s="207"/>
      <c r="D4" s="208"/>
      <c r="E4" s="207"/>
      <c r="F4" s="207"/>
      <c r="G4" s="208"/>
      <c r="H4" s="207"/>
      <c r="I4" s="208"/>
      <c r="J4" s="207"/>
      <c r="K4" s="209"/>
    </row>
    <row r="5" spans="1:12" ht="20.100000000000001" customHeight="1">
      <c r="A5" s="210">
        <v>2</v>
      </c>
      <c r="B5" s="211"/>
      <c r="C5" s="212"/>
      <c r="D5" s="212"/>
      <c r="E5" s="212"/>
      <c r="F5" s="212"/>
      <c r="G5" s="213"/>
      <c r="H5" s="213"/>
      <c r="I5" s="213"/>
      <c r="J5" s="213"/>
      <c r="K5" s="214"/>
    </row>
    <row r="6" spans="1:12" ht="20.100000000000001" customHeight="1">
      <c r="A6" s="210">
        <v>3</v>
      </c>
      <c r="B6" s="211"/>
      <c r="C6" s="212"/>
      <c r="D6" s="212"/>
      <c r="E6" s="212"/>
      <c r="F6" s="212"/>
      <c r="G6" s="213"/>
      <c r="H6" s="213"/>
      <c r="I6" s="213"/>
      <c r="J6" s="213"/>
      <c r="K6" s="214"/>
    </row>
    <row r="7" spans="1:12" ht="20.100000000000001" customHeight="1">
      <c r="A7" s="210">
        <v>4</v>
      </c>
      <c r="B7" s="211"/>
      <c r="C7" s="212"/>
      <c r="D7" s="212"/>
      <c r="E7" s="212"/>
      <c r="F7" s="212"/>
      <c r="G7" s="213"/>
      <c r="H7" s="213"/>
      <c r="I7" s="213"/>
      <c r="J7" s="213"/>
      <c r="K7" s="214"/>
    </row>
    <row r="8" spans="1:12" ht="20.100000000000001" customHeight="1">
      <c r="A8" s="210">
        <v>5</v>
      </c>
      <c r="B8" s="211"/>
      <c r="C8" s="212"/>
      <c r="D8" s="212"/>
      <c r="E8" s="212"/>
      <c r="F8" s="212"/>
      <c r="G8" s="213"/>
      <c r="H8" s="213"/>
      <c r="I8" s="213"/>
      <c r="J8" s="213"/>
      <c r="K8" s="214"/>
    </row>
    <row r="9" spans="1:12" ht="20.100000000000001" customHeight="1">
      <c r="A9" s="210">
        <v>6</v>
      </c>
      <c r="B9" s="211"/>
      <c r="C9" s="212"/>
      <c r="D9" s="212"/>
      <c r="E9" s="212"/>
      <c r="F9" s="212"/>
      <c r="G9" s="213"/>
      <c r="H9" s="213"/>
      <c r="I9" s="213"/>
      <c r="J9" s="213"/>
      <c r="K9" s="214"/>
    </row>
    <row r="10" spans="1:12" ht="20.100000000000001" customHeight="1">
      <c r="A10" s="210">
        <v>7</v>
      </c>
      <c r="B10" s="211"/>
      <c r="C10" s="212"/>
      <c r="D10" s="212"/>
      <c r="E10" s="212"/>
      <c r="F10" s="212"/>
      <c r="G10" s="213"/>
      <c r="H10" s="213"/>
      <c r="I10" s="213"/>
      <c r="J10" s="213"/>
      <c r="K10" s="214"/>
    </row>
    <row r="11" spans="1:12" ht="20.100000000000001" customHeight="1">
      <c r="A11" s="210">
        <v>8</v>
      </c>
      <c r="B11" s="211"/>
      <c r="C11" s="212"/>
      <c r="D11" s="212"/>
      <c r="E11" s="212"/>
      <c r="F11" s="212"/>
      <c r="G11" s="213"/>
      <c r="H11" s="213"/>
      <c r="I11" s="213"/>
      <c r="J11" s="213"/>
      <c r="K11" s="214"/>
    </row>
    <row r="12" spans="1:12" ht="20.100000000000001" customHeight="1">
      <c r="A12" s="210">
        <v>9</v>
      </c>
      <c r="B12" s="211"/>
      <c r="C12" s="212"/>
      <c r="D12" s="212"/>
      <c r="E12" s="212"/>
      <c r="F12" s="212"/>
      <c r="G12" s="213"/>
      <c r="H12" s="213"/>
      <c r="I12" s="213"/>
      <c r="J12" s="213"/>
      <c r="K12" s="214"/>
    </row>
    <row r="13" spans="1:12" ht="20.100000000000001" customHeight="1">
      <c r="A13" s="210">
        <v>10</v>
      </c>
      <c r="B13" s="211"/>
      <c r="C13" s="212"/>
      <c r="D13" s="212"/>
      <c r="E13" s="212"/>
      <c r="F13" s="212"/>
      <c r="G13" s="213"/>
      <c r="H13" s="213"/>
      <c r="I13" s="213"/>
      <c r="J13" s="213"/>
      <c r="K13" s="214"/>
    </row>
    <row r="14" spans="1:12" ht="20.100000000000001" customHeight="1">
      <c r="A14" s="210">
        <v>11</v>
      </c>
      <c r="B14" s="211"/>
      <c r="C14" s="212"/>
      <c r="D14" s="212"/>
      <c r="E14" s="212"/>
      <c r="F14" s="212"/>
      <c r="G14" s="213"/>
      <c r="H14" s="213"/>
      <c r="I14" s="213"/>
      <c r="J14" s="213"/>
      <c r="K14" s="214"/>
    </row>
    <row r="15" spans="1:12" ht="20.100000000000001" customHeight="1">
      <c r="A15" s="210">
        <v>12</v>
      </c>
      <c r="B15" s="211"/>
      <c r="C15" s="212"/>
      <c r="D15" s="212"/>
      <c r="E15" s="212"/>
      <c r="F15" s="212"/>
      <c r="G15" s="213"/>
      <c r="H15" s="213"/>
      <c r="I15" s="213"/>
      <c r="J15" s="213"/>
      <c r="K15" s="214"/>
    </row>
    <row r="16" spans="1:12" ht="20.100000000000001" customHeight="1">
      <c r="A16" s="210">
        <v>13</v>
      </c>
      <c r="B16" s="211"/>
      <c r="C16" s="212"/>
      <c r="D16" s="212"/>
      <c r="E16" s="212"/>
      <c r="F16" s="212"/>
      <c r="G16" s="213"/>
      <c r="H16" s="213"/>
      <c r="I16" s="213"/>
      <c r="J16" s="213"/>
      <c r="K16" s="214"/>
    </row>
    <row r="17" spans="1:13" ht="20.100000000000001" customHeight="1">
      <c r="A17" s="210">
        <v>14</v>
      </c>
      <c r="B17" s="211"/>
      <c r="C17" s="212"/>
      <c r="D17" s="212"/>
      <c r="E17" s="212"/>
      <c r="F17" s="212"/>
      <c r="G17" s="213"/>
      <c r="H17" s="213"/>
      <c r="I17" s="213"/>
      <c r="J17" s="213"/>
      <c r="K17" s="214"/>
    </row>
    <row r="18" spans="1:13" ht="20.100000000000001" customHeight="1">
      <c r="A18" s="210">
        <v>15</v>
      </c>
      <c r="B18" s="211"/>
      <c r="C18" s="212"/>
      <c r="D18" s="212"/>
      <c r="E18" s="212"/>
      <c r="F18" s="212"/>
      <c r="G18" s="213"/>
      <c r="H18" s="213"/>
      <c r="I18" s="213"/>
      <c r="J18" s="213"/>
      <c r="K18" s="214"/>
    </row>
    <row r="19" spans="1:13" ht="20.100000000000001" customHeight="1">
      <c r="A19" s="210">
        <v>16</v>
      </c>
      <c r="B19" s="211"/>
      <c r="C19" s="212"/>
      <c r="D19" s="212"/>
      <c r="E19" s="212"/>
      <c r="F19" s="212"/>
      <c r="G19" s="213"/>
      <c r="H19" s="213"/>
      <c r="I19" s="213"/>
      <c r="J19" s="213"/>
      <c r="K19" s="214"/>
    </row>
    <row r="20" spans="1:13" ht="20.100000000000001" customHeight="1">
      <c r="A20" s="210">
        <v>17</v>
      </c>
      <c r="B20" s="211"/>
      <c r="C20" s="212"/>
      <c r="D20" s="212"/>
      <c r="E20" s="212"/>
      <c r="F20" s="212"/>
      <c r="G20" s="213"/>
      <c r="H20" s="213"/>
      <c r="I20" s="213"/>
      <c r="J20" s="213"/>
      <c r="K20" s="214"/>
    </row>
    <row r="21" spans="1:13" ht="20.100000000000001" customHeight="1">
      <c r="A21" s="210">
        <v>18</v>
      </c>
      <c r="B21" s="211"/>
      <c r="C21" s="212"/>
      <c r="D21" s="212"/>
      <c r="E21" s="212"/>
      <c r="F21" s="212"/>
      <c r="G21" s="213"/>
      <c r="H21" s="213"/>
      <c r="I21" s="213"/>
      <c r="J21" s="213"/>
      <c r="K21" s="214"/>
    </row>
    <row r="22" spans="1:13" ht="20.100000000000001" customHeight="1">
      <c r="A22" s="210">
        <v>19</v>
      </c>
      <c r="B22" s="211"/>
      <c r="C22" s="212"/>
      <c r="D22" s="212"/>
      <c r="E22" s="212"/>
      <c r="F22" s="212"/>
      <c r="G22" s="213"/>
      <c r="H22" s="213"/>
      <c r="I22" s="213"/>
      <c r="J22" s="213"/>
      <c r="K22" s="214"/>
    </row>
    <row r="23" spans="1:13" ht="20.100000000000001" customHeight="1">
      <c r="A23" s="210">
        <v>20</v>
      </c>
      <c r="B23" s="211"/>
      <c r="C23" s="212"/>
      <c r="D23" s="212"/>
      <c r="E23" s="212"/>
      <c r="F23" s="212"/>
      <c r="G23" s="213"/>
      <c r="H23" s="213"/>
      <c r="I23" s="213"/>
      <c r="J23" s="213"/>
      <c r="K23" s="214"/>
    </row>
    <row r="24" spans="1:13" ht="30" customHeight="1"/>
    <row r="25" spans="1:13" ht="30" customHeight="1">
      <c r="B25" s="215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</row>
  </sheetData>
  <printOptions horizontalCentered="1" verticalCentered="1"/>
  <pageMargins left="0.11811023622047245" right="0.11811023622047245" top="0.15748031496062992" bottom="0.15748031496062992" header="0.11811023622047245" footer="0.11811023622047245"/>
  <pageSetup paperSize="9" orientation="portrait" r:id="rId1"/>
  <colBreaks count="1" manualBreakCount="1">
    <brk id="11" max="25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25"/>
  <sheetViews>
    <sheetView rightToLeft="1" view="pageBreakPreview" zoomScale="115" zoomScaleNormal="100" zoomScaleSheetLayoutView="115" workbookViewId="0">
      <selection activeCell="B4" sqref="B4"/>
    </sheetView>
  </sheetViews>
  <sheetFormatPr defaultColWidth="9" defaultRowHeight="14.25"/>
  <cols>
    <col min="1" max="1" width="3.125" style="196" customWidth="1"/>
    <col min="2" max="2" width="18.75" style="196" customWidth="1"/>
    <col min="3" max="3" width="5.375" style="196" customWidth="1"/>
    <col min="4" max="4" width="6.875" style="196" customWidth="1"/>
    <col min="5" max="5" width="9.25" style="196" customWidth="1"/>
    <col min="6" max="6" width="4.75" style="196" customWidth="1"/>
    <col min="7" max="7" width="6.625" style="196" customWidth="1"/>
    <col min="8" max="8" width="10.75" style="196" customWidth="1"/>
    <col min="9" max="9" width="6.75" style="196" customWidth="1"/>
    <col min="10" max="10" width="10.375" style="196" customWidth="1"/>
    <col min="11" max="11" width="8.75" style="196" customWidth="1"/>
    <col min="12" max="16384" width="9" style="196"/>
  </cols>
  <sheetData>
    <row r="1" spans="1:12" ht="87.75" customHeight="1" thickBot="1"/>
    <row r="2" spans="1:12" ht="48" customHeight="1" thickTop="1" thickBot="1">
      <c r="A2" s="197"/>
      <c r="B2" s="197"/>
      <c r="C2" s="197"/>
      <c r="D2" s="197"/>
      <c r="E2" s="197"/>
      <c r="F2" s="197"/>
      <c r="G2" s="197"/>
      <c r="H2" s="198"/>
      <c r="I2" s="198"/>
      <c r="J2" s="198"/>
      <c r="K2" s="198"/>
    </row>
    <row r="3" spans="1:12" s="204" customFormat="1" ht="43.5" customHeight="1" thickTop="1" thickBot="1">
      <c r="A3" s="199" t="s">
        <v>1</v>
      </c>
      <c r="B3" s="200" t="s">
        <v>189</v>
      </c>
      <c r="C3" s="201" t="s">
        <v>188</v>
      </c>
      <c r="D3" s="201" t="s">
        <v>190</v>
      </c>
      <c r="E3" s="201" t="s">
        <v>191</v>
      </c>
      <c r="F3" s="201" t="s">
        <v>192</v>
      </c>
      <c r="G3" s="201" t="s">
        <v>193</v>
      </c>
      <c r="H3" s="201" t="s">
        <v>197</v>
      </c>
      <c r="I3" s="201" t="s">
        <v>198</v>
      </c>
      <c r="J3" s="201" t="s">
        <v>196</v>
      </c>
      <c r="K3" s="202" t="s">
        <v>199</v>
      </c>
      <c r="L3" s="203"/>
    </row>
    <row r="4" spans="1:12" ht="20.100000000000001" customHeight="1">
      <c r="A4" s="205">
        <v>1</v>
      </c>
      <c r="B4" s="206"/>
      <c r="C4" s="207"/>
      <c r="D4" s="208"/>
      <c r="E4" s="207"/>
      <c r="F4" s="207"/>
      <c r="G4" s="208"/>
      <c r="H4" s="207"/>
      <c r="I4" s="208"/>
      <c r="J4" s="207"/>
      <c r="K4" s="209"/>
    </row>
    <row r="5" spans="1:12" ht="20.100000000000001" customHeight="1">
      <c r="A5" s="210">
        <v>2</v>
      </c>
      <c r="B5" s="211"/>
      <c r="C5" s="212"/>
      <c r="D5" s="212"/>
      <c r="E5" s="212"/>
      <c r="F5" s="212"/>
      <c r="G5" s="213"/>
      <c r="H5" s="213"/>
      <c r="I5" s="213"/>
      <c r="J5" s="213"/>
      <c r="K5" s="214"/>
    </row>
    <row r="6" spans="1:12" ht="20.100000000000001" customHeight="1">
      <c r="A6" s="210">
        <v>3</v>
      </c>
      <c r="B6" s="211"/>
      <c r="C6" s="212"/>
      <c r="D6" s="212"/>
      <c r="E6" s="212"/>
      <c r="F6" s="212"/>
      <c r="G6" s="213"/>
      <c r="H6" s="213"/>
      <c r="I6" s="213"/>
      <c r="J6" s="213"/>
      <c r="K6" s="214"/>
    </row>
    <row r="7" spans="1:12" ht="20.100000000000001" customHeight="1">
      <c r="A7" s="210">
        <v>4</v>
      </c>
      <c r="B7" s="211"/>
      <c r="C7" s="212"/>
      <c r="D7" s="212"/>
      <c r="E7" s="212"/>
      <c r="F7" s="212"/>
      <c r="G7" s="213"/>
      <c r="H7" s="213"/>
      <c r="I7" s="213"/>
      <c r="J7" s="213"/>
      <c r="K7" s="214"/>
    </row>
    <row r="8" spans="1:12" ht="20.100000000000001" customHeight="1">
      <c r="A8" s="210">
        <v>5</v>
      </c>
      <c r="B8" s="211"/>
      <c r="C8" s="212"/>
      <c r="D8" s="212"/>
      <c r="E8" s="212"/>
      <c r="F8" s="212"/>
      <c r="G8" s="213"/>
      <c r="H8" s="213"/>
      <c r="I8" s="213"/>
      <c r="J8" s="213"/>
      <c r="K8" s="214"/>
    </row>
    <row r="9" spans="1:12" ht="20.100000000000001" customHeight="1">
      <c r="A9" s="210">
        <v>6</v>
      </c>
      <c r="B9" s="211"/>
      <c r="C9" s="212"/>
      <c r="D9" s="212"/>
      <c r="E9" s="212"/>
      <c r="F9" s="212"/>
      <c r="G9" s="213"/>
      <c r="H9" s="213"/>
      <c r="I9" s="213"/>
      <c r="J9" s="213"/>
      <c r="K9" s="214"/>
    </row>
    <row r="10" spans="1:12" ht="20.100000000000001" customHeight="1">
      <c r="A10" s="210">
        <v>7</v>
      </c>
      <c r="B10" s="211"/>
      <c r="C10" s="212"/>
      <c r="D10" s="212"/>
      <c r="E10" s="212"/>
      <c r="F10" s="212"/>
      <c r="G10" s="213"/>
      <c r="H10" s="213"/>
      <c r="I10" s="213"/>
      <c r="J10" s="213"/>
      <c r="K10" s="214"/>
    </row>
    <row r="11" spans="1:12" ht="20.100000000000001" customHeight="1">
      <c r="A11" s="210">
        <v>8</v>
      </c>
      <c r="B11" s="211"/>
      <c r="C11" s="212"/>
      <c r="D11" s="212"/>
      <c r="E11" s="212"/>
      <c r="F11" s="212"/>
      <c r="G11" s="213"/>
      <c r="H11" s="213"/>
      <c r="I11" s="213"/>
      <c r="J11" s="213"/>
      <c r="K11" s="214"/>
    </row>
    <row r="12" spans="1:12" ht="20.100000000000001" customHeight="1">
      <c r="A12" s="210">
        <v>9</v>
      </c>
      <c r="B12" s="211"/>
      <c r="C12" s="212"/>
      <c r="D12" s="212"/>
      <c r="E12" s="212"/>
      <c r="F12" s="212"/>
      <c r="G12" s="213"/>
      <c r="H12" s="213"/>
      <c r="I12" s="213"/>
      <c r="J12" s="213"/>
      <c r="K12" s="214"/>
    </row>
    <row r="13" spans="1:12" ht="20.100000000000001" customHeight="1">
      <c r="A13" s="210">
        <v>10</v>
      </c>
      <c r="B13" s="211"/>
      <c r="C13" s="212"/>
      <c r="D13" s="212"/>
      <c r="E13" s="212"/>
      <c r="F13" s="212"/>
      <c r="G13" s="213"/>
      <c r="H13" s="213"/>
      <c r="I13" s="213"/>
      <c r="J13" s="213"/>
      <c r="K13" s="214"/>
    </row>
    <row r="14" spans="1:12" ht="20.100000000000001" customHeight="1">
      <c r="A14" s="210">
        <v>11</v>
      </c>
      <c r="B14" s="211"/>
      <c r="C14" s="212"/>
      <c r="D14" s="212"/>
      <c r="E14" s="212"/>
      <c r="F14" s="212"/>
      <c r="G14" s="213"/>
      <c r="H14" s="213"/>
      <c r="I14" s="213"/>
      <c r="J14" s="213"/>
      <c r="K14" s="214"/>
    </row>
    <row r="15" spans="1:12" ht="20.100000000000001" customHeight="1">
      <c r="A15" s="210">
        <v>12</v>
      </c>
      <c r="B15" s="211"/>
      <c r="C15" s="212"/>
      <c r="D15" s="212"/>
      <c r="E15" s="212"/>
      <c r="F15" s="212"/>
      <c r="G15" s="213"/>
      <c r="H15" s="213"/>
      <c r="I15" s="213"/>
      <c r="J15" s="213"/>
      <c r="K15" s="214"/>
    </row>
    <row r="16" spans="1:12" ht="20.100000000000001" customHeight="1">
      <c r="A16" s="210">
        <v>13</v>
      </c>
      <c r="B16" s="211"/>
      <c r="C16" s="212"/>
      <c r="D16" s="212"/>
      <c r="E16" s="212"/>
      <c r="F16" s="212"/>
      <c r="G16" s="213"/>
      <c r="H16" s="213"/>
      <c r="I16" s="213"/>
      <c r="J16" s="213"/>
      <c r="K16" s="214"/>
    </row>
    <row r="17" spans="1:13" ht="20.100000000000001" customHeight="1">
      <c r="A17" s="210">
        <v>14</v>
      </c>
      <c r="B17" s="211"/>
      <c r="C17" s="212"/>
      <c r="D17" s="212"/>
      <c r="E17" s="212"/>
      <c r="F17" s="212"/>
      <c r="G17" s="213"/>
      <c r="H17" s="213"/>
      <c r="I17" s="213"/>
      <c r="J17" s="213"/>
      <c r="K17" s="214"/>
    </row>
    <row r="18" spans="1:13" ht="20.100000000000001" customHeight="1">
      <c r="A18" s="210">
        <v>15</v>
      </c>
      <c r="B18" s="211"/>
      <c r="C18" s="212"/>
      <c r="D18" s="212"/>
      <c r="E18" s="212"/>
      <c r="F18" s="212"/>
      <c r="G18" s="213"/>
      <c r="H18" s="213"/>
      <c r="I18" s="213"/>
      <c r="J18" s="213"/>
      <c r="K18" s="214"/>
    </row>
    <row r="19" spans="1:13" ht="20.100000000000001" customHeight="1">
      <c r="A19" s="210">
        <v>16</v>
      </c>
      <c r="B19" s="211"/>
      <c r="C19" s="212"/>
      <c r="D19" s="212"/>
      <c r="E19" s="212"/>
      <c r="F19" s="212"/>
      <c r="G19" s="213"/>
      <c r="H19" s="213"/>
      <c r="I19" s="213"/>
      <c r="J19" s="213"/>
      <c r="K19" s="214"/>
    </row>
    <row r="20" spans="1:13" ht="20.100000000000001" customHeight="1">
      <c r="A20" s="210">
        <v>17</v>
      </c>
      <c r="B20" s="211"/>
      <c r="C20" s="212"/>
      <c r="D20" s="212"/>
      <c r="E20" s="212"/>
      <c r="F20" s="212"/>
      <c r="G20" s="213"/>
      <c r="H20" s="213"/>
      <c r="I20" s="213"/>
      <c r="J20" s="213"/>
      <c r="K20" s="214"/>
    </row>
    <row r="21" spans="1:13" ht="20.100000000000001" customHeight="1">
      <c r="A21" s="210">
        <v>18</v>
      </c>
      <c r="B21" s="211"/>
      <c r="C21" s="212"/>
      <c r="D21" s="212"/>
      <c r="E21" s="212"/>
      <c r="F21" s="212"/>
      <c r="G21" s="213"/>
      <c r="H21" s="213"/>
      <c r="I21" s="213"/>
      <c r="J21" s="213"/>
      <c r="K21" s="214"/>
    </row>
    <row r="22" spans="1:13" ht="20.100000000000001" customHeight="1">
      <c r="A22" s="210">
        <v>19</v>
      </c>
      <c r="B22" s="211"/>
      <c r="C22" s="212"/>
      <c r="D22" s="212"/>
      <c r="E22" s="212"/>
      <c r="F22" s="212"/>
      <c r="G22" s="213"/>
      <c r="H22" s="213"/>
      <c r="I22" s="213"/>
      <c r="J22" s="213"/>
      <c r="K22" s="214"/>
    </row>
    <row r="23" spans="1:13" ht="20.100000000000001" customHeight="1">
      <c r="A23" s="210">
        <v>20</v>
      </c>
      <c r="B23" s="211"/>
      <c r="C23" s="212"/>
      <c r="D23" s="212"/>
      <c r="E23" s="212"/>
      <c r="F23" s="212"/>
      <c r="G23" s="213"/>
      <c r="H23" s="213"/>
      <c r="I23" s="213"/>
      <c r="J23" s="213"/>
      <c r="K23" s="214"/>
    </row>
    <row r="24" spans="1:13" ht="30" customHeight="1"/>
    <row r="25" spans="1:13" ht="30" customHeight="1">
      <c r="B25" s="215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</row>
  </sheetData>
  <printOptions horizontalCentered="1" verticalCentered="1"/>
  <pageMargins left="0.11811023622047245" right="0.11811023622047245" top="0.15748031496062992" bottom="0.15748031496062992" header="0.11811023622047245" footer="0.11811023622047245"/>
  <pageSetup paperSize="9" orientation="portrait" r:id="rId1"/>
  <colBreaks count="1" manualBreakCount="1">
    <brk id="11" max="2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39</vt:i4>
      </vt:variant>
      <vt:variant>
        <vt:lpstr>النطاقات المسماة</vt:lpstr>
      </vt:variant>
      <vt:variant>
        <vt:i4>21</vt:i4>
      </vt:variant>
    </vt:vector>
  </HeadingPairs>
  <TitlesOfParts>
    <vt:vector size="60" baseType="lpstr">
      <vt:lpstr>قوى عاملة تحفيظ أولي (2)</vt:lpstr>
      <vt:lpstr>مدرسة حكومي- أهلي طلاب ثانوي </vt:lpstr>
      <vt:lpstr>اجمالي طلاب ثانوي حكومي +اهلي</vt:lpstr>
      <vt:lpstr>طلاب ثانوي حكومي تجميع مديرية</vt:lpstr>
      <vt:lpstr>مدرسة طلاب اساسي حكومي أهلي  </vt:lpstr>
      <vt:lpstr>  تجميع م طلاب اساسي حكومي </vt:lpstr>
      <vt:lpstr>طلاب اساسي اهلي تجميع م</vt:lpstr>
      <vt:lpstr>طلاب ثانوي اهلي تجميع م</vt:lpstr>
      <vt:lpstr>اجمالي طلاب اساسي حكومي+اهلي</vt:lpstr>
      <vt:lpstr>  عدد الشعب أساسي مديرية</vt:lpstr>
      <vt:lpstr>عدد الشعب الدراسية ثانوي مديرية</vt:lpstr>
      <vt:lpstr> مديرية عدد المدارس</vt:lpstr>
      <vt:lpstr>احصائية عامة بعدد المدارس</vt:lpstr>
      <vt:lpstr>م المؤهلات الدراسية للمعلمين</vt:lpstr>
      <vt:lpstr>تخصصات المعلمين اساسي</vt:lpstr>
      <vt:lpstr>تخصصات المعلمين ثانوي</vt:lpstr>
      <vt:lpstr>قوى عاملة أساسي مديرية</vt:lpstr>
      <vt:lpstr>قوى عاملة ثانوي مديرية </vt:lpstr>
      <vt:lpstr>مديرية معلمين اساسي</vt:lpstr>
      <vt:lpstr>معلمين  ثانوي مديرية)</vt:lpstr>
      <vt:lpstr>احصائية بموظفي المديرية</vt:lpstr>
      <vt:lpstr>الموجهين </vt:lpstr>
      <vt:lpstr>رياض اطفال  الطلبه والمربي حكوم</vt:lpstr>
      <vt:lpstr>رياض اطفال  الطلبه والمربي أهلي</vt:lpstr>
      <vt:lpstr> حكومي  مكونات المبنى المدرسي</vt:lpstr>
      <vt:lpstr>اساسي من 6-9</vt:lpstr>
      <vt:lpstr>ورقة1</vt:lpstr>
      <vt:lpstr>طلاب تحفيظ أولي</vt:lpstr>
      <vt:lpstr>طلاب تحفيظ تكميلي</vt:lpstr>
      <vt:lpstr>قوى عاملة تحفيظ أولي وتكميلي</vt:lpstr>
      <vt:lpstr>احصائيات بمكونات المبنى تجميع م</vt:lpstr>
      <vt:lpstr>  مكونات المبنى المدرسة </vt:lpstr>
      <vt:lpstr>التجهيزات المدرسة</vt:lpstr>
      <vt:lpstr>المديرية بالتجهيزات المدرسية</vt:lpstr>
      <vt:lpstr> خاص بالمدرسة النازحين تجميع م</vt:lpstr>
      <vt:lpstr> خاص بالمدرسة النازحين</vt:lpstr>
      <vt:lpstr>النازحين خارج المدرسة</vt:lpstr>
      <vt:lpstr>المتطوعين في المدرسة</vt:lpstr>
      <vt:lpstr> المتطوعين تجميع المديرية</vt:lpstr>
      <vt:lpstr>' المتطوعين تجميع المديرية'!Print_Area</vt:lpstr>
      <vt:lpstr>' خاص بالمدرسة النازحين'!Print_Area</vt:lpstr>
      <vt:lpstr>' خاص بالمدرسة النازحين تجميع م'!Print_Area</vt:lpstr>
      <vt:lpstr>' مديرية عدد المدارس'!Print_Area</vt:lpstr>
      <vt:lpstr>'احصائيات بمكونات المبنى تجميع م'!Print_Area</vt:lpstr>
      <vt:lpstr>'احصائية عامة بعدد المدارس'!Print_Area</vt:lpstr>
      <vt:lpstr>'التجهيزات المدرسة'!Print_Area</vt:lpstr>
      <vt:lpstr>'المتطوعين في المدرسة'!Print_Area</vt:lpstr>
      <vt:lpstr>'المديرية بالتجهيزات المدرسية'!Print_Area</vt:lpstr>
      <vt:lpstr>'الموجهين '!Print_Area</vt:lpstr>
      <vt:lpstr>'النازحين خارج المدرسة'!Print_Area</vt:lpstr>
      <vt:lpstr>'تخصصات المعلمين اساسي'!Print_Area</vt:lpstr>
      <vt:lpstr>'تخصصات المعلمين ثانوي'!Print_Area</vt:lpstr>
      <vt:lpstr>'طلاب تحفيظ أولي'!Print_Area</vt:lpstr>
      <vt:lpstr>'قوى عاملة أساسي مديرية'!Print_Area</vt:lpstr>
      <vt:lpstr>'قوى عاملة تحفيظ أولي (2)'!Print_Area</vt:lpstr>
      <vt:lpstr>'قوى عاملة تحفيظ أولي وتكميلي'!Print_Area</vt:lpstr>
      <vt:lpstr>'قوى عاملة ثانوي مديرية '!Print_Area</vt:lpstr>
      <vt:lpstr>'م المؤهلات الدراسية للمعلمين'!Print_Area</vt:lpstr>
      <vt:lpstr>'طلاب تحفيظ أولي'!Print_Titles</vt:lpstr>
      <vt:lpstr>'مديرية معلمين اساسي'!Print_Titles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2025-12-16T08:17:40Z</dcterms:modified>
</cp:coreProperties>
</file>