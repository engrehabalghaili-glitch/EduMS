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showInkAnnotation="0" codeName="ThisWorkbook" defaultThemeVersion="124226"/>
  <xr:revisionPtr revIDLastSave="0" documentId="13_ncr:1_{40BF3E88-E57E-4211-A56E-8D46C6D85344}" xr6:coauthVersionLast="37" xr6:coauthVersionMax="37" xr10:uidLastSave="{00000000-0000-0000-0000-000000000000}"/>
  <bookViews>
    <workbookView xWindow="-105" yWindow="-105" windowWidth="23250" windowHeight="12720" tabRatio="928" xr2:uid="{00000000-000D-0000-FFFF-FFFF00000000}"/>
  </bookViews>
  <sheets>
    <sheet name="مدرسة حكومي- أهلي طلاب ثانوي " sheetId="61" r:id="rId1"/>
    <sheet name="طلاب ثانوي حكومي" sheetId="71" r:id="rId2"/>
    <sheet name="طلاب ثانوي اهلي " sheetId="59" r:id="rId3"/>
    <sheet name="طلاب اساسي اهلي" sheetId="56" r:id="rId4"/>
    <sheet name="اجمالي طلاب اساسي حكومي" sheetId="54" r:id="rId5"/>
    <sheet name="  عدد الشعب أساسي مديرية" sheetId="16" r:id="rId6"/>
    <sheet name="عدد الشعب الدراسية ثانوي مديرية" sheetId="17" r:id="rId7"/>
    <sheet name="تخصصات المعلمين ثانوي" sheetId="45" r:id="rId8"/>
    <sheet name="قوى عاملة أساسي مديرية" sheetId="40" r:id="rId9"/>
    <sheet name="قوى عاملة ثانوي مديرية " sheetId="13" r:id="rId10"/>
    <sheet name="مديرية معلمين اساسي" sheetId="7" r:id="rId11"/>
    <sheet name="معلمين  ثانوي مدرسة)" sheetId="64" r:id="rId12"/>
    <sheet name="رياض اطفال  الطلبه والمربي حكوم" sheetId="77" r:id="rId13"/>
    <sheet name="رياض اطفال  الطلبه والمربي أهلي" sheetId="72" r:id="rId14"/>
    <sheet name="اساسي من 6-9" sheetId="21" state="hidden" r:id="rId15"/>
    <sheet name="ورقة1" sheetId="19" state="hidden" r:id="rId16"/>
    <sheet name="طلاب تحفيظ أولي" sheetId="38" r:id="rId17"/>
    <sheet name="طلاب تحفيظ تكميلي" sheetId="39" r:id="rId18"/>
    <sheet name=" حكومي  مكونات المبنى المدرسي" sheetId="67" r:id="rId19"/>
    <sheet name="  مكونات المبنى المدرسي أهلي " sheetId="73" r:id="rId20"/>
    <sheet name="التجهيزات المدرسية أهلي" sheetId="18" r:id="rId21"/>
    <sheet name="المديرية بالتجهيزات المدرسية" sheetId="47" r:id="rId22"/>
    <sheet name=" خاص بالمدرسة النازحين" sheetId="49" r:id="rId23"/>
    <sheet name="النازحين خارج المدرسة" sheetId="68" r:id="rId24"/>
    <sheet name="المتطوعين في المدرسة" sheetId="69" r:id="rId25"/>
  </sheets>
  <definedNames>
    <definedName name="_xlnm._FilterDatabase" localSheetId="16" hidden="1">'طلاب تحفيظ أولي'!$A$3:$AP$26</definedName>
    <definedName name="_xlnm._FilterDatabase" localSheetId="8" hidden="1">'قوى عاملة أساسي مديرية'!$A$5:$AJ$26</definedName>
    <definedName name="_xlnm._FilterDatabase" localSheetId="9" hidden="1">'قوى عاملة ثانوي مديرية '!$A$6:$AK$27</definedName>
    <definedName name="_xlnm.Print_Area" localSheetId="22">' خاص بالمدرسة النازحين'!$A$1:$K$25</definedName>
    <definedName name="_xlnm.Print_Area" localSheetId="20">'التجهيزات المدرسية أهلي'!$A$1:$AJ$18</definedName>
    <definedName name="_xlnm.Print_Area" localSheetId="24">'المتطوعين في المدرسة'!$A$1:$K$25</definedName>
    <definedName name="_xlnm.Print_Area" localSheetId="21">'المديرية بالتجهيزات المدرسية'!$A$1:$AL$31</definedName>
    <definedName name="_xlnm.Print_Area" localSheetId="23">'النازحين خارج المدرسة'!$A$1:$L$25</definedName>
    <definedName name="_xlnm.Print_Area" localSheetId="7">'تخصصات المعلمين ثانوي'!$A$1:$AM$15</definedName>
    <definedName name="_xlnm.Print_Area" localSheetId="16">'طلاب تحفيظ أولي'!$A$1:$AP$29</definedName>
    <definedName name="_xlnm.Print_Area" localSheetId="8">'قوى عاملة أساسي مديرية'!$A$1:$AG$30</definedName>
    <definedName name="_xlnm.Print_Area" localSheetId="9">'قوى عاملة ثانوي مديرية '!$A$1:$AG$32</definedName>
    <definedName name="_xlnm.Print_Titles" localSheetId="16">'طلاب تحفيظ أولي'!$A:$B</definedName>
    <definedName name="_xlnm.Print_Titles" localSheetId="10">'مديرية معلمين اساسي'!$1:$9</definedName>
  </definedNames>
  <calcPr calcId="179021"/>
</workbook>
</file>

<file path=xl/calcChain.xml><?xml version="1.0" encoding="utf-8"?>
<calcChain xmlns="http://schemas.openxmlformats.org/spreadsheetml/2006/main">
  <c r="H9" i="77" l="1"/>
  <c r="G9" i="77"/>
  <c r="E9" i="77"/>
  <c r="D9" i="77"/>
  <c r="I8" i="77"/>
  <c r="I9" i="77" s="1"/>
  <c r="F8" i="77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 s="1"/>
  <c r="I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8" i="72"/>
  <c r="H28" i="72"/>
  <c r="G28" i="72"/>
  <c r="E28" i="72"/>
  <c r="D28" i="72"/>
  <c r="B14" i="16"/>
  <c r="F9" i="77" l="1"/>
  <c r="F28" i="72"/>
  <c r="P12" i="39"/>
  <c r="Q12" i="39"/>
  <c r="O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D11" i="64" l="1"/>
  <c r="C11" i="64"/>
  <c r="D12" i="64" l="1"/>
  <c r="E11" i="64"/>
  <c r="C12" i="64"/>
  <c r="E12" i="64" l="1"/>
  <c r="AD26" i="40" l="1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AF25" i="40"/>
  <c r="AE25" i="40"/>
  <c r="AF24" i="40"/>
  <c r="AE24" i="40"/>
  <c r="AF23" i="40"/>
  <c r="AE23" i="40"/>
  <c r="AG23" i="40" s="1"/>
  <c r="AF22" i="40"/>
  <c r="AE22" i="40"/>
  <c r="AF21" i="40"/>
  <c r="AE21" i="40"/>
  <c r="AF20" i="40"/>
  <c r="AE20" i="40"/>
  <c r="AF19" i="40"/>
  <c r="AE19" i="40"/>
  <c r="AF18" i="40"/>
  <c r="AE18" i="40"/>
  <c r="AF17" i="40"/>
  <c r="AE17" i="40"/>
  <c r="AG17" i="40" s="1"/>
  <c r="AF16" i="40"/>
  <c r="AE16" i="40"/>
  <c r="AF15" i="40"/>
  <c r="AE15" i="40"/>
  <c r="AF14" i="40"/>
  <c r="AE14" i="40"/>
  <c r="AG14" i="40" s="1"/>
  <c r="AF13" i="40"/>
  <c r="AE13" i="40"/>
  <c r="AF12" i="40"/>
  <c r="AE12" i="40"/>
  <c r="AF11" i="40"/>
  <c r="AE11" i="40"/>
  <c r="AF10" i="40"/>
  <c r="AE10" i="40"/>
  <c r="AF9" i="40"/>
  <c r="AE9" i="40"/>
  <c r="AF8" i="40"/>
  <c r="AE8" i="40"/>
  <c r="AF7" i="40"/>
  <c r="AE7" i="40"/>
  <c r="AF6" i="40"/>
  <c r="AE6" i="40"/>
  <c r="M32" i="39"/>
  <c r="L32" i="39"/>
  <c r="K32" i="39"/>
  <c r="I32" i="39"/>
  <c r="H32" i="39"/>
  <c r="G32" i="39"/>
  <c r="E32" i="39"/>
  <c r="D32" i="39"/>
  <c r="C32" i="39"/>
  <c r="R31" i="39"/>
  <c r="J31" i="39"/>
  <c r="F31" i="39"/>
  <c r="J30" i="39"/>
  <c r="F30" i="39"/>
  <c r="R29" i="39"/>
  <c r="J29" i="39"/>
  <c r="F29" i="39"/>
  <c r="J28" i="39"/>
  <c r="F28" i="39"/>
  <c r="J27" i="39"/>
  <c r="F27" i="39"/>
  <c r="J26" i="39"/>
  <c r="F26" i="39"/>
  <c r="J25" i="39"/>
  <c r="F25" i="39"/>
  <c r="J24" i="39"/>
  <c r="F24" i="39"/>
  <c r="J23" i="39"/>
  <c r="F23" i="39"/>
  <c r="J22" i="39"/>
  <c r="F22" i="39"/>
  <c r="J21" i="39"/>
  <c r="F21" i="39"/>
  <c r="J20" i="39"/>
  <c r="F20" i="39"/>
  <c r="J19" i="39"/>
  <c r="F19" i="39"/>
  <c r="J18" i="39"/>
  <c r="F18" i="39"/>
  <c r="N17" i="39"/>
  <c r="J17" i="39"/>
  <c r="F17" i="39"/>
  <c r="J16" i="39"/>
  <c r="F16" i="39"/>
  <c r="N15" i="39"/>
  <c r="J15" i="39"/>
  <c r="F15" i="39"/>
  <c r="N14" i="39"/>
  <c r="J14" i="39"/>
  <c r="F14" i="39"/>
  <c r="N13" i="39"/>
  <c r="J13" i="39"/>
  <c r="F13" i="39"/>
  <c r="N12" i="39"/>
  <c r="J12" i="39"/>
  <c r="F12" i="39"/>
  <c r="AK26" i="38"/>
  <c r="AJ26" i="38"/>
  <c r="AI26" i="38"/>
  <c r="AG26" i="38"/>
  <c r="AF26" i="38"/>
  <c r="AE26" i="38"/>
  <c r="AC26" i="38"/>
  <c r="AB26" i="38"/>
  <c r="AA26" i="38"/>
  <c r="Y26" i="38"/>
  <c r="X26" i="38"/>
  <c r="W26" i="38"/>
  <c r="U26" i="38"/>
  <c r="T26" i="38"/>
  <c r="S26" i="38"/>
  <c r="Q26" i="38"/>
  <c r="P26" i="38"/>
  <c r="O26" i="38"/>
  <c r="M26" i="38"/>
  <c r="L26" i="38"/>
  <c r="K26" i="38"/>
  <c r="I26" i="38"/>
  <c r="H26" i="38"/>
  <c r="G26" i="38"/>
  <c r="E26" i="38"/>
  <c r="D26" i="38"/>
  <c r="C26" i="38"/>
  <c r="AO25" i="38"/>
  <c r="AN25" i="38"/>
  <c r="AM25" i="38"/>
  <c r="AL25" i="38"/>
  <c r="AH25" i="38"/>
  <c r="AD25" i="38"/>
  <c r="Z25" i="38"/>
  <c r="V25" i="38"/>
  <c r="R25" i="38"/>
  <c r="N25" i="38"/>
  <c r="J25" i="38"/>
  <c r="F25" i="38"/>
  <c r="AO24" i="38"/>
  <c r="AN24" i="38"/>
  <c r="AM24" i="38"/>
  <c r="AL24" i="38"/>
  <c r="AH24" i="38"/>
  <c r="AD24" i="38"/>
  <c r="Z24" i="38"/>
  <c r="V24" i="38"/>
  <c r="R24" i="38"/>
  <c r="N24" i="38"/>
  <c r="J24" i="38"/>
  <c r="F24" i="38"/>
  <c r="AO23" i="38"/>
  <c r="AN23" i="38"/>
  <c r="AM23" i="38"/>
  <c r="AL23" i="38"/>
  <c r="AH23" i="38"/>
  <c r="AD23" i="38"/>
  <c r="Z23" i="38"/>
  <c r="V23" i="38"/>
  <c r="R23" i="38"/>
  <c r="N23" i="38"/>
  <c r="J23" i="38"/>
  <c r="F23" i="38"/>
  <c r="AO22" i="38"/>
  <c r="AN22" i="38"/>
  <c r="AM22" i="38"/>
  <c r="AL22" i="38"/>
  <c r="AH22" i="38"/>
  <c r="AD22" i="38"/>
  <c r="Z22" i="38"/>
  <c r="V22" i="38"/>
  <c r="R22" i="38"/>
  <c r="N22" i="38"/>
  <c r="J22" i="38"/>
  <c r="F22" i="38"/>
  <c r="AO21" i="38"/>
  <c r="AN21" i="38"/>
  <c r="AM21" i="38"/>
  <c r="AL21" i="38"/>
  <c r="AH21" i="38"/>
  <c r="AD21" i="38"/>
  <c r="Z21" i="38"/>
  <c r="V21" i="38"/>
  <c r="R21" i="38"/>
  <c r="N21" i="38"/>
  <c r="J21" i="38"/>
  <c r="F21" i="38"/>
  <c r="AO20" i="38"/>
  <c r="AN20" i="38"/>
  <c r="AM20" i="38"/>
  <c r="AL20" i="38"/>
  <c r="AH20" i="38"/>
  <c r="AD20" i="38"/>
  <c r="Z20" i="38"/>
  <c r="V20" i="38"/>
  <c r="R20" i="38"/>
  <c r="N20" i="38"/>
  <c r="J20" i="38"/>
  <c r="F20" i="38"/>
  <c r="AO19" i="38"/>
  <c r="AN19" i="38"/>
  <c r="AM19" i="38"/>
  <c r="AL19" i="38"/>
  <c r="AH19" i="38"/>
  <c r="AD19" i="38"/>
  <c r="Z19" i="38"/>
  <c r="V19" i="38"/>
  <c r="R19" i="38"/>
  <c r="N19" i="38"/>
  <c r="J19" i="38"/>
  <c r="F19" i="38"/>
  <c r="AO18" i="38"/>
  <c r="AP18" i="38" s="1"/>
  <c r="AN18" i="38"/>
  <c r="AM18" i="38"/>
  <c r="AL18" i="38"/>
  <c r="AH18" i="38"/>
  <c r="AD18" i="38"/>
  <c r="Z18" i="38"/>
  <c r="V18" i="38"/>
  <c r="R18" i="38"/>
  <c r="N18" i="38"/>
  <c r="J18" i="38"/>
  <c r="F18" i="38"/>
  <c r="AO17" i="38"/>
  <c r="AN17" i="38"/>
  <c r="AM17" i="38"/>
  <c r="AL17" i="38"/>
  <c r="AH17" i="38"/>
  <c r="AD17" i="38"/>
  <c r="Z17" i="38"/>
  <c r="V17" i="38"/>
  <c r="R17" i="38"/>
  <c r="N17" i="38"/>
  <c r="J17" i="38"/>
  <c r="F17" i="38"/>
  <c r="AO16" i="38"/>
  <c r="AN16" i="38"/>
  <c r="AM16" i="38"/>
  <c r="AL16" i="38"/>
  <c r="AH16" i="38"/>
  <c r="AD16" i="38"/>
  <c r="Z16" i="38"/>
  <c r="V16" i="38"/>
  <c r="R16" i="38"/>
  <c r="N16" i="38"/>
  <c r="J16" i="38"/>
  <c r="F16" i="38"/>
  <c r="AO15" i="38"/>
  <c r="AN15" i="38"/>
  <c r="AM15" i="38"/>
  <c r="AL15" i="38"/>
  <c r="AH15" i="38"/>
  <c r="AD15" i="38"/>
  <c r="Z15" i="38"/>
  <c r="V15" i="38"/>
  <c r="R15" i="38"/>
  <c r="N15" i="38"/>
  <c r="J15" i="38"/>
  <c r="F15" i="38"/>
  <c r="AO14" i="38"/>
  <c r="AN14" i="38"/>
  <c r="AM14" i="38"/>
  <c r="AL14" i="38"/>
  <c r="AH14" i="38"/>
  <c r="AD14" i="38"/>
  <c r="Z14" i="38"/>
  <c r="V14" i="38"/>
  <c r="R14" i="38"/>
  <c r="N14" i="38"/>
  <c r="J14" i="38"/>
  <c r="F14" i="38"/>
  <c r="AO13" i="38"/>
  <c r="AN13" i="38"/>
  <c r="AP13" i="38" s="1"/>
  <c r="AM13" i="38"/>
  <c r="AL13" i="38"/>
  <c r="AH13" i="38"/>
  <c r="AD13" i="38"/>
  <c r="Z13" i="38"/>
  <c r="V13" i="38"/>
  <c r="R13" i="38"/>
  <c r="N13" i="38"/>
  <c r="J13" i="38"/>
  <c r="F13" i="38"/>
  <c r="AO12" i="38"/>
  <c r="AN12" i="38"/>
  <c r="AM12" i="38"/>
  <c r="AL12" i="38"/>
  <c r="AH12" i="38"/>
  <c r="AD12" i="38"/>
  <c r="Z12" i="38"/>
  <c r="V12" i="38"/>
  <c r="R12" i="38"/>
  <c r="N12" i="38"/>
  <c r="J12" i="38"/>
  <c r="F12" i="38"/>
  <c r="AO11" i="38"/>
  <c r="AN11" i="38"/>
  <c r="AP11" i="38" s="1"/>
  <c r="AM11" i="38"/>
  <c r="AL11" i="38"/>
  <c r="AH11" i="38"/>
  <c r="AD11" i="38"/>
  <c r="Z11" i="38"/>
  <c r="V11" i="38"/>
  <c r="R11" i="38"/>
  <c r="N11" i="38"/>
  <c r="J11" i="38"/>
  <c r="F11" i="38"/>
  <c r="AO10" i="38"/>
  <c r="AN10" i="38"/>
  <c r="AM10" i="38"/>
  <c r="AL10" i="38"/>
  <c r="AH10" i="38"/>
  <c r="AD10" i="38"/>
  <c r="Z10" i="38"/>
  <c r="V10" i="38"/>
  <c r="R10" i="38"/>
  <c r="N10" i="38"/>
  <c r="J10" i="38"/>
  <c r="F10" i="38"/>
  <c r="AO9" i="38"/>
  <c r="AN9" i="38"/>
  <c r="AP9" i="38" s="1"/>
  <c r="AM9" i="38"/>
  <c r="AL9" i="38"/>
  <c r="AH9" i="38"/>
  <c r="AD9" i="38"/>
  <c r="Z9" i="38"/>
  <c r="V9" i="38"/>
  <c r="R9" i="38"/>
  <c r="N9" i="38"/>
  <c r="J9" i="38"/>
  <c r="F9" i="38"/>
  <c r="AO8" i="38"/>
  <c r="AN8" i="38"/>
  <c r="AM8" i="38"/>
  <c r="AL8" i="38"/>
  <c r="AH8" i="38"/>
  <c r="AD8" i="38"/>
  <c r="Z8" i="38"/>
  <c r="V8" i="38"/>
  <c r="R8" i="38"/>
  <c r="N8" i="38"/>
  <c r="J8" i="38"/>
  <c r="F8" i="38"/>
  <c r="AO7" i="38"/>
  <c r="AN7" i="38"/>
  <c r="AM7" i="38"/>
  <c r="AL7" i="38"/>
  <c r="AH7" i="38"/>
  <c r="AD7" i="38"/>
  <c r="Z7" i="38"/>
  <c r="V7" i="38"/>
  <c r="R7" i="38"/>
  <c r="N7" i="38"/>
  <c r="J7" i="38"/>
  <c r="F7" i="38"/>
  <c r="AO6" i="38"/>
  <c r="AN6" i="38"/>
  <c r="AM6" i="38"/>
  <c r="AL6" i="38"/>
  <c r="AH6" i="38"/>
  <c r="AD6" i="38"/>
  <c r="Z6" i="38"/>
  <c r="V6" i="38"/>
  <c r="R6" i="38"/>
  <c r="N6" i="38"/>
  <c r="J6" i="38"/>
  <c r="F6" i="38"/>
  <c r="O32" i="39" l="1"/>
  <c r="R21" i="39"/>
  <c r="AG13" i="40"/>
  <c r="AG19" i="40"/>
  <c r="AG8" i="40"/>
  <c r="AG20" i="40"/>
  <c r="AP17" i="38"/>
  <c r="AP25" i="38"/>
  <c r="AG9" i="40"/>
  <c r="AP10" i="38"/>
  <c r="AP6" i="38"/>
  <c r="R16" i="39"/>
  <c r="AG6" i="40"/>
  <c r="AP16" i="38"/>
  <c r="AP22" i="38"/>
  <c r="AH26" i="38"/>
  <c r="AP21" i="38"/>
  <c r="AG21" i="40"/>
  <c r="AG25" i="40"/>
  <c r="AG7" i="40"/>
  <c r="AD26" i="38"/>
  <c r="AP7" i="38"/>
  <c r="AP24" i="38"/>
  <c r="AF26" i="40"/>
  <c r="AG10" i="40"/>
  <c r="AG24" i="40"/>
  <c r="F26" i="38"/>
  <c r="AL26" i="38"/>
  <c r="AP15" i="38"/>
  <c r="R17" i="39"/>
  <c r="R25" i="39"/>
  <c r="AG11" i="40"/>
  <c r="AG18" i="40"/>
  <c r="J26" i="38"/>
  <c r="AM26" i="38"/>
  <c r="AP19" i="38"/>
  <c r="AG15" i="40"/>
  <c r="AG22" i="40"/>
  <c r="N26" i="38"/>
  <c r="AN26" i="38"/>
  <c r="AP8" i="38"/>
  <c r="AP23" i="38"/>
  <c r="R26" i="38"/>
  <c r="AP12" i="38"/>
  <c r="R13" i="39"/>
  <c r="AG12" i="40"/>
  <c r="V26" i="38"/>
  <c r="AG16" i="40"/>
  <c r="Z26" i="38"/>
  <c r="AP14" i="38"/>
  <c r="AP20" i="38"/>
  <c r="R14" i="39"/>
  <c r="F32" i="39"/>
  <c r="R15" i="39"/>
  <c r="J32" i="39"/>
  <c r="R19" i="39"/>
  <c r="R23" i="39"/>
  <c r="R27" i="39"/>
  <c r="N32" i="39"/>
  <c r="R12" i="39"/>
  <c r="R18" i="39"/>
  <c r="R22" i="39"/>
  <c r="R26" i="39"/>
  <c r="R30" i="39"/>
  <c r="R20" i="39"/>
  <c r="R24" i="39"/>
  <c r="R28" i="39"/>
  <c r="AE26" i="40"/>
  <c r="R32" i="39"/>
  <c r="AO26" i="38"/>
  <c r="AP26" i="38" l="1"/>
  <c r="AG26" i="40"/>
  <c r="D10" i="7" l="1"/>
  <c r="C10" i="7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C27" i="13"/>
  <c r="AE8" i="13"/>
  <c r="AF8" i="13"/>
  <c r="AE9" i="13"/>
  <c r="AF9" i="13"/>
  <c r="AE10" i="13"/>
  <c r="AF10" i="13"/>
  <c r="AE11" i="13"/>
  <c r="AF11" i="13"/>
  <c r="AE12" i="13"/>
  <c r="AF12" i="13"/>
  <c r="AE13" i="13"/>
  <c r="AF13" i="13"/>
  <c r="AE14" i="13"/>
  <c r="AF14" i="13"/>
  <c r="AE15" i="13"/>
  <c r="AF15" i="13"/>
  <c r="AE16" i="13"/>
  <c r="AF16" i="13"/>
  <c r="AE17" i="13"/>
  <c r="AF17" i="13"/>
  <c r="AE18" i="13"/>
  <c r="AF18" i="13"/>
  <c r="AE19" i="13"/>
  <c r="AF19" i="13"/>
  <c r="AE20" i="13"/>
  <c r="AF20" i="13"/>
  <c r="AE21" i="13"/>
  <c r="AF21" i="13"/>
  <c r="AE22" i="13"/>
  <c r="AF22" i="13"/>
  <c r="AE23" i="13"/>
  <c r="AF23" i="13"/>
  <c r="AE24" i="13"/>
  <c r="AF24" i="13"/>
  <c r="AE25" i="13"/>
  <c r="AF25" i="13"/>
  <c r="AE26" i="13"/>
  <c r="AF26" i="13"/>
  <c r="AF7" i="13"/>
  <c r="AE7" i="13"/>
  <c r="AG7" i="13" l="1"/>
  <c r="AG25" i="13"/>
  <c r="AG11" i="13"/>
  <c r="AG22" i="13"/>
  <c r="AG20" i="13"/>
  <c r="AG16" i="13"/>
  <c r="AG10" i="13"/>
  <c r="AG24" i="13"/>
  <c r="AG12" i="13"/>
  <c r="AG26" i="13"/>
  <c r="AG23" i="13"/>
  <c r="AG21" i="13"/>
  <c r="AG19" i="13"/>
  <c r="AG18" i="13"/>
  <c r="AG17" i="13"/>
  <c r="AG15" i="13"/>
  <c r="AG14" i="13"/>
  <c r="AF27" i="13"/>
  <c r="AG13" i="13"/>
  <c r="AG9" i="13"/>
  <c r="AG8" i="13"/>
  <c r="AE27" i="13"/>
  <c r="AG27" i="13" l="1"/>
  <c r="E17" i="17" l="1"/>
  <c r="E15" i="17"/>
  <c r="E16" i="17"/>
  <c r="E14" i="17"/>
  <c r="C18" i="17"/>
  <c r="F18" i="17"/>
  <c r="D18" i="17"/>
  <c r="E13" i="17"/>
  <c r="B18" i="17" l="1"/>
  <c r="E18" i="17" l="1"/>
  <c r="X32" i="21" l="1"/>
  <c r="W32" i="21"/>
  <c r="V32" i="21"/>
  <c r="T32" i="21"/>
  <c r="S32" i="21"/>
  <c r="R32" i="21"/>
  <c r="P32" i="21"/>
  <c r="O32" i="21"/>
  <c r="N32" i="21"/>
  <c r="L32" i="21"/>
  <c r="K32" i="21"/>
  <c r="J32" i="21"/>
  <c r="H32" i="21"/>
  <c r="G32" i="21"/>
  <c r="F32" i="21"/>
  <c r="E32" i="21"/>
  <c r="D32" i="21"/>
  <c r="Y31" i="21"/>
  <c r="U31" i="21"/>
  <c r="Q31" i="21"/>
  <c r="M31" i="21"/>
  <c r="I31" i="21"/>
  <c r="Y30" i="21"/>
  <c r="U30" i="21"/>
  <c r="Q30" i="21"/>
  <c r="M30" i="21"/>
  <c r="I30" i="21"/>
  <c r="Y29" i="21"/>
  <c r="U29" i="21"/>
  <c r="Q29" i="21"/>
  <c r="M29" i="21"/>
  <c r="I29" i="21"/>
  <c r="Y28" i="21"/>
  <c r="U28" i="21"/>
  <c r="Q28" i="21"/>
  <c r="M28" i="21"/>
  <c r="I28" i="21"/>
  <c r="Y27" i="21"/>
  <c r="U27" i="21"/>
  <c r="Q27" i="21"/>
  <c r="M27" i="21"/>
  <c r="I27" i="21"/>
  <c r="Y26" i="21"/>
  <c r="U26" i="21"/>
  <c r="Q26" i="21"/>
  <c r="M26" i="21"/>
  <c r="I26" i="21"/>
  <c r="Y25" i="21"/>
  <c r="U25" i="21"/>
  <c r="Q25" i="21"/>
  <c r="M25" i="21"/>
  <c r="I25" i="21"/>
  <c r="Y24" i="21"/>
  <c r="U24" i="21"/>
  <c r="Q24" i="21"/>
  <c r="M24" i="21"/>
  <c r="I24" i="21"/>
  <c r="Y23" i="21"/>
  <c r="U23" i="21"/>
  <c r="Q23" i="21"/>
  <c r="M23" i="21"/>
  <c r="I23" i="21"/>
  <c r="Y22" i="21"/>
  <c r="U22" i="21"/>
  <c r="Q22" i="21"/>
  <c r="M22" i="21"/>
  <c r="I22" i="21"/>
  <c r="Y21" i="21"/>
  <c r="U21" i="21"/>
  <c r="Q21" i="21"/>
  <c r="M21" i="21"/>
  <c r="I21" i="21"/>
  <c r="Y20" i="21"/>
  <c r="U20" i="21"/>
  <c r="Q20" i="21"/>
  <c r="M20" i="21"/>
  <c r="I20" i="21"/>
  <c r="Y19" i="21"/>
  <c r="U19" i="21"/>
  <c r="Q19" i="21"/>
  <c r="M19" i="21"/>
  <c r="I19" i="21"/>
  <c r="Y18" i="21"/>
  <c r="U18" i="21"/>
  <c r="Q18" i="21"/>
  <c r="M18" i="21"/>
  <c r="I18" i="21"/>
  <c r="Y17" i="21"/>
  <c r="U17" i="21"/>
  <c r="Q17" i="21"/>
  <c r="M17" i="21"/>
  <c r="I17" i="21"/>
  <c r="Y16" i="21"/>
  <c r="U16" i="21"/>
  <c r="Q16" i="21"/>
  <c r="M16" i="21"/>
  <c r="I16" i="21"/>
  <c r="Y15" i="21"/>
  <c r="U15" i="21"/>
  <c r="Q15" i="21"/>
  <c r="M15" i="21"/>
  <c r="I15" i="21"/>
  <c r="Y14" i="21"/>
  <c r="U14" i="21"/>
  <c r="Q14" i="21"/>
  <c r="M14" i="21"/>
  <c r="I14" i="21"/>
  <c r="Y13" i="21"/>
  <c r="U13" i="21"/>
  <c r="Q13" i="21"/>
  <c r="M13" i="21"/>
  <c r="I13" i="21"/>
  <c r="Y12" i="21"/>
  <c r="U12" i="21"/>
  <c r="Q12" i="21"/>
  <c r="M12" i="21"/>
  <c r="I12" i="21"/>
  <c r="Y11" i="21"/>
  <c r="U11" i="21"/>
  <c r="Q11" i="21"/>
  <c r="M11" i="21"/>
  <c r="I11" i="21"/>
  <c r="Y10" i="21"/>
  <c r="U10" i="21"/>
  <c r="Q10" i="21"/>
  <c r="M10" i="21"/>
  <c r="I10" i="21"/>
  <c r="Y9" i="21"/>
  <c r="U9" i="21"/>
  <c r="Q9" i="21"/>
  <c r="M9" i="21"/>
  <c r="I9" i="21"/>
  <c r="B22" i="16" l="1"/>
  <c r="E22" i="16" s="1"/>
  <c r="B21" i="16"/>
  <c r="E21" i="16" s="1"/>
  <c r="B19" i="16"/>
  <c r="E19" i="16" s="1"/>
  <c r="B20" i="16"/>
  <c r="E20" i="16" s="1"/>
  <c r="I32" i="21"/>
  <c r="Y32" i="21"/>
  <c r="U32" i="21"/>
  <c r="Q32" i="21"/>
  <c r="M32" i="21"/>
  <c r="B18" i="16" l="1"/>
  <c r="E10" i="7"/>
  <c r="D11" i="7"/>
  <c r="C11" i="7"/>
  <c r="E18" i="16" l="1"/>
  <c r="B15" i="16"/>
  <c r="E15" i="16" s="1"/>
  <c r="B17" i="16"/>
  <c r="E17" i="16" s="1"/>
  <c r="E14" i="16"/>
  <c r="B16" i="16"/>
  <c r="E16" i="16" s="1"/>
  <c r="F23" i="16"/>
  <c r="E11" i="7"/>
  <c r="C24" i="16" l="1"/>
  <c r="D24" i="16"/>
  <c r="B23" i="16"/>
  <c r="B24" i="16" l="1"/>
  <c r="E23" i="16"/>
</calcChain>
</file>

<file path=xl/sharedStrings.xml><?xml version="1.0" encoding="utf-8"?>
<sst xmlns="http://schemas.openxmlformats.org/spreadsheetml/2006/main" count="841" uniqueCount="272">
  <si>
    <t xml:space="preserve"> </t>
  </si>
  <si>
    <t>م</t>
  </si>
  <si>
    <t>عدد</t>
  </si>
  <si>
    <t>المدارس</t>
  </si>
  <si>
    <t xml:space="preserve">شعب </t>
  </si>
  <si>
    <t xml:space="preserve">ذكور </t>
  </si>
  <si>
    <t>إناث</t>
  </si>
  <si>
    <t>الإجمالي</t>
  </si>
  <si>
    <t>شعب</t>
  </si>
  <si>
    <t>ذكور</t>
  </si>
  <si>
    <t>إجمالي</t>
  </si>
  <si>
    <t>أساسي</t>
  </si>
  <si>
    <t>ثانوي</t>
  </si>
  <si>
    <t>الاجمالي</t>
  </si>
  <si>
    <t xml:space="preserve">مدير </t>
  </si>
  <si>
    <t xml:space="preserve">وكيل </t>
  </si>
  <si>
    <t>مشرف إداري</t>
  </si>
  <si>
    <t>مشرف أنشطة</t>
  </si>
  <si>
    <t xml:space="preserve">مشرف صحي </t>
  </si>
  <si>
    <t>مشرف وسيلة</t>
  </si>
  <si>
    <t xml:space="preserve">مشرف إجتماعي </t>
  </si>
  <si>
    <t xml:space="preserve">أمين معمل </t>
  </si>
  <si>
    <t>امين مخزن</t>
  </si>
  <si>
    <t>امين مكتبة</t>
  </si>
  <si>
    <t>مدرس</t>
  </si>
  <si>
    <t>حارس</t>
  </si>
  <si>
    <t>عمال</t>
  </si>
  <si>
    <t>أشياء أخرى</t>
  </si>
  <si>
    <t>ذ</t>
  </si>
  <si>
    <t>ث</t>
  </si>
  <si>
    <t>ج</t>
  </si>
  <si>
    <t>الجمهورية اليمنية</t>
  </si>
  <si>
    <t xml:space="preserve">الإدارة العامة للإحصاء والتخطيط </t>
  </si>
  <si>
    <t>وزارة التربية والتعليم / العاصمة عدن</t>
  </si>
  <si>
    <t>المديريات</t>
  </si>
  <si>
    <t>المديرية</t>
  </si>
  <si>
    <t>إجمالي التلاميذ</t>
  </si>
  <si>
    <t>متوسط</t>
  </si>
  <si>
    <t>كثافة الشعبة</t>
  </si>
  <si>
    <t>عدد الشعب</t>
  </si>
  <si>
    <t>الصفوف</t>
  </si>
  <si>
    <t>الأول أساسي</t>
  </si>
  <si>
    <t>الثاني أساسي</t>
  </si>
  <si>
    <t>الثالث أساسي</t>
  </si>
  <si>
    <t>الرابع أساسي</t>
  </si>
  <si>
    <t>الخامس أساسي</t>
  </si>
  <si>
    <t>السادس أساسي</t>
  </si>
  <si>
    <t>السابع أساسي</t>
  </si>
  <si>
    <t>الثامن أساسي</t>
  </si>
  <si>
    <t>التاسع أساسي</t>
  </si>
  <si>
    <t>نسبة الذكور والاناث الى اجمالي التلاميذ  %</t>
  </si>
  <si>
    <t xml:space="preserve"> الاول ثانوي عام</t>
  </si>
  <si>
    <t xml:space="preserve"> الثاني ثانوي علمي</t>
  </si>
  <si>
    <t xml:space="preserve"> الثالث ثانوي علمي</t>
  </si>
  <si>
    <t>الثاني ثانوي ادبي</t>
  </si>
  <si>
    <t>الثالث ثانوي ادبي</t>
  </si>
  <si>
    <t>توزيع الأثاث والتجهيزات</t>
  </si>
  <si>
    <t>معمل أساسي</t>
  </si>
  <si>
    <t>إذاعة</t>
  </si>
  <si>
    <t>ثلاجة</t>
  </si>
  <si>
    <t>مكيف</t>
  </si>
  <si>
    <t>مراوح</t>
  </si>
  <si>
    <t>طاولات اجتماعات</t>
  </si>
  <si>
    <t>دواليب</t>
  </si>
  <si>
    <t>مقاعد مزدوجة</t>
  </si>
  <si>
    <t>اسم المدرسة</t>
  </si>
  <si>
    <t>أ/ قائد السامعي</t>
  </si>
  <si>
    <t>أ/ عبدالواسع شداد</t>
  </si>
  <si>
    <t xml:space="preserve">القاهرة </t>
  </si>
  <si>
    <t>المظفر</t>
  </si>
  <si>
    <t>صالة</t>
  </si>
  <si>
    <t>الموادم</t>
  </si>
  <si>
    <t>مشرعة</t>
  </si>
  <si>
    <t>جبل حبشي</t>
  </si>
  <si>
    <t>المسراخ</t>
  </si>
  <si>
    <t>الشمايتين</t>
  </si>
  <si>
    <t>المعافر</t>
  </si>
  <si>
    <t>المواسط</t>
  </si>
  <si>
    <t>سامع</t>
  </si>
  <si>
    <t>الصلو</t>
  </si>
  <si>
    <t>المخاء</t>
  </si>
  <si>
    <t>موزع</t>
  </si>
  <si>
    <t>الوازعية</t>
  </si>
  <si>
    <t>ذباب</t>
  </si>
  <si>
    <t>مقبنة</t>
  </si>
  <si>
    <t>خدير</t>
  </si>
  <si>
    <t>حيفان</t>
  </si>
  <si>
    <t>ماوية</t>
  </si>
  <si>
    <t>التعزية</t>
  </si>
  <si>
    <t>السلام</t>
  </si>
  <si>
    <t>الرونة</t>
  </si>
  <si>
    <t>مدير مكب التربية والتعليم</t>
  </si>
  <si>
    <t>مدير ادارة الاحصاء والتخطيط</t>
  </si>
  <si>
    <t>الصف السادس</t>
  </si>
  <si>
    <t>الصف السابع</t>
  </si>
  <si>
    <t xml:space="preserve">الصف الثامن </t>
  </si>
  <si>
    <t>الصف التاسع</t>
  </si>
  <si>
    <t>اجمالي عام (1 - 9)</t>
  </si>
  <si>
    <t>المحافظة</t>
  </si>
  <si>
    <t xml:space="preserve">المحافظة </t>
  </si>
  <si>
    <t>تعــــــز</t>
  </si>
  <si>
    <t>تعـــز</t>
  </si>
  <si>
    <t>اجمالي</t>
  </si>
  <si>
    <t xml:space="preserve">م / اداري </t>
  </si>
  <si>
    <t>م/أنشطة</t>
  </si>
  <si>
    <t xml:space="preserve">م/ صحي </t>
  </si>
  <si>
    <t xml:space="preserve">أ /معمل </t>
  </si>
  <si>
    <t>أ /مكتبة</t>
  </si>
  <si>
    <t xml:space="preserve">اخرى </t>
  </si>
  <si>
    <t>اول تكميلي</t>
  </si>
  <si>
    <t>ثاني تكميلي</t>
  </si>
  <si>
    <t>ثالث تكميلي</t>
  </si>
  <si>
    <t>اخرى</t>
  </si>
  <si>
    <t>قرآن</t>
  </si>
  <si>
    <t>إسلامية</t>
  </si>
  <si>
    <t>عربي</t>
  </si>
  <si>
    <t>إنجليزي</t>
  </si>
  <si>
    <t>رياضيات</t>
  </si>
  <si>
    <t>رياضة</t>
  </si>
  <si>
    <t>فيزياء</t>
  </si>
  <si>
    <t>كيمياء</t>
  </si>
  <si>
    <t>أحياء</t>
  </si>
  <si>
    <t>جغرافيا</t>
  </si>
  <si>
    <t xml:space="preserve">تاريخ </t>
  </si>
  <si>
    <t>مجتمع</t>
  </si>
  <si>
    <t>مواد فلسفية</t>
  </si>
  <si>
    <t>فرنسي</t>
  </si>
  <si>
    <t>حاسوب</t>
  </si>
  <si>
    <t>احصائي</t>
  </si>
  <si>
    <t>عمارة</t>
  </si>
  <si>
    <t>صلاحية الغرف الدراسية</t>
  </si>
  <si>
    <t>استراحة مدرسين</t>
  </si>
  <si>
    <t>صالح</t>
  </si>
  <si>
    <t>يحتاج ترميم</t>
  </si>
  <si>
    <t>غير صالح</t>
  </si>
  <si>
    <t>يوجد</t>
  </si>
  <si>
    <t>لا يوجد</t>
  </si>
  <si>
    <t>طريق سيارة</t>
  </si>
  <si>
    <t>معمل اساسي</t>
  </si>
  <si>
    <t>مكتب للإدارة</t>
  </si>
  <si>
    <t>كنب للإدارة</t>
  </si>
  <si>
    <t>مقاعد فردية</t>
  </si>
  <si>
    <t>مكاتب سكرتارية</t>
  </si>
  <si>
    <t>المؤهل</t>
  </si>
  <si>
    <t>الاســــم</t>
  </si>
  <si>
    <t>التخصص</t>
  </si>
  <si>
    <t>المادة التي يدرسها</t>
  </si>
  <si>
    <t>الصف</t>
  </si>
  <si>
    <t>عدد الحصص</t>
  </si>
  <si>
    <t>المحافظة الوافد منها</t>
  </si>
  <si>
    <t>المدرسة</t>
  </si>
  <si>
    <t>رقم الهاتف</t>
  </si>
  <si>
    <t>رقم البطاقة</t>
  </si>
  <si>
    <t xml:space="preserve"> سنوات التطوع</t>
  </si>
  <si>
    <t>ملاحظات</t>
  </si>
  <si>
    <t xml:space="preserve">قسم الاحصاء والتخطيط </t>
  </si>
  <si>
    <t>اسم المدسة</t>
  </si>
  <si>
    <t xml:space="preserve">مدير ادارة  التربية والتعليم بالمديرية </t>
  </si>
  <si>
    <t>رئيس قسم  التخطيط والاحصاء</t>
  </si>
  <si>
    <t>مدير ادارة التربية والتعليم بالمديرية</t>
  </si>
  <si>
    <t xml:space="preserve">اسم المدرسة </t>
  </si>
  <si>
    <t xml:space="preserve">اسم المدرسة  </t>
  </si>
  <si>
    <r>
      <rPr>
        <b/>
        <sz val="9"/>
        <color theme="1"/>
        <rFont val="Arial"/>
        <family val="2"/>
        <scheme val="minor"/>
      </rPr>
      <t>اسم المدرسة</t>
    </r>
    <r>
      <rPr>
        <b/>
        <sz val="11"/>
        <color theme="1"/>
        <rFont val="Arial"/>
        <family val="2"/>
        <scheme val="minor"/>
      </rPr>
      <t xml:space="preserve">  </t>
    </r>
  </si>
  <si>
    <t>اجمالي عام</t>
  </si>
  <si>
    <t>راسب</t>
  </si>
  <si>
    <t>ناجح</t>
  </si>
  <si>
    <t xml:space="preserve">                                                                                                        </t>
  </si>
  <si>
    <t>اناث</t>
  </si>
  <si>
    <t xml:space="preserve">اناث </t>
  </si>
  <si>
    <t>الإجمالي العام</t>
  </si>
  <si>
    <t>التاسع</t>
  </si>
  <si>
    <t>الثامن</t>
  </si>
  <si>
    <t>السابع</t>
  </si>
  <si>
    <t>السادس</t>
  </si>
  <si>
    <t>الخامس</t>
  </si>
  <si>
    <t xml:space="preserve">الرابع </t>
  </si>
  <si>
    <t>الثالث</t>
  </si>
  <si>
    <t>الثاني</t>
  </si>
  <si>
    <t>الأول</t>
  </si>
  <si>
    <t>البيان</t>
  </si>
  <si>
    <t>الثالث الثانوي - أدبي</t>
  </si>
  <si>
    <t>الثالث الثانوي - علمي</t>
  </si>
  <si>
    <t>الثاني الثانوي - أدبي</t>
  </si>
  <si>
    <t>الثاني الثانوي - علمي</t>
  </si>
  <si>
    <t>الأول  الثانوي</t>
  </si>
  <si>
    <t>الإحصائية العامة بإجمالي طلاب و طالبات المرحلة الأساسية حكومي + اهلي بمديرية/.............. للعام الدراسي   2023 -  2024م</t>
  </si>
  <si>
    <t>الأجمالي</t>
  </si>
  <si>
    <t xml:space="preserve">اسم المدرسة/ الروضة </t>
  </si>
  <si>
    <t xml:space="preserve">مديرية.......................للعام الدراسي 2025 - 2026 م  </t>
  </si>
  <si>
    <t>معمل ثانوي ونوعه</t>
  </si>
  <si>
    <t>طابعة</t>
  </si>
  <si>
    <t>كنب</t>
  </si>
  <si>
    <t>أخرى تذكر</t>
  </si>
  <si>
    <t>منظومة طاقة</t>
  </si>
  <si>
    <t>كاميرة رقمية</t>
  </si>
  <si>
    <t>شبكة نت</t>
  </si>
  <si>
    <t>قاعة تدريب</t>
  </si>
  <si>
    <t>غرفة أنشطة</t>
  </si>
  <si>
    <t>غرفة تدبير منزلي</t>
  </si>
  <si>
    <t>سبورات بيضاء</t>
  </si>
  <si>
    <t>سبورات سوداء</t>
  </si>
  <si>
    <t>ملعب قدم</t>
  </si>
  <si>
    <t>غير صالحة</t>
  </si>
  <si>
    <t xml:space="preserve"> الاولأولي</t>
  </si>
  <si>
    <t>لثاني أولي</t>
  </si>
  <si>
    <t xml:space="preserve"> الثالث أولي</t>
  </si>
  <si>
    <t xml:space="preserve"> الرابع أولي</t>
  </si>
  <si>
    <t xml:space="preserve"> الخامس أولي</t>
  </si>
  <si>
    <t xml:space="preserve"> السادس أولي</t>
  </si>
  <si>
    <t xml:space="preserve"> السابع أولي</t>
  </si>
  <si>
    <t xml:space="preserve"> الثامن أولي</t>
  </si>
  <si>
    <t xml:space="preserve"> التاسع أولي</t>
  </si>
  <si>
    <t xml:space="preserve">معمل رياضيات </t>
  </si>
  <si>
    <t>معمل حاسوب</t>
  </si>
  <si>
    <t>معمل خياطة</t>
  </si>
  <si>
    <t>مقاعد مندوجة</t>
  </si>
  <si>
    <t>طاولات فردية</t>
  </si>
  <si>
    <t>تلفون ثابت</t>
  </si>
  <si>
    <t>جهاز عرض</t>
  </si>
  <si>
    <t>شاشة تلفزيون</t>
  </si>
  <si>
    <t>مولد كهرباء</t>
  </si>
  <si>
    <t>آلة تصوير</t>
  </si>
  <si>
    <t>سبورات الكترونية</t>
  </si>
  <si>
    <t xml:space="preserve">ملعب طائرة </t>
  </si>
  <si>
    <t>مبنى مدرسي</t>
  </si>
  <si>
    <t>عدد الغرف المدرسية في المبنى</t>
  </si>
  <si>
    <t xml:space="preserve">الغرف الدراسيسة فقط </t>
  </si>
  <si>
    <t xml:space="preserve">إدارة المدرسة </t>
  </si>
  <si>
    <t xml:space="preserve">مسرح/ محتوياته </t>
  </si>
  <si>
    <t>عدد الحمامات</t>
  </si>
  <si>
    <t xml:space="preserve">صالحة </t>
  </si>
  <si>
    <t>كهرباء حكومي/ أهلي</t>
  </si>
  <si>
    <t xml:space="preserve">المياه </t>
  </si>
  <si>
    <t>مقصف</t>
  </si>
  <si>
    <t>سور المدرسة يحيط بها</t>
  </si>
  <si>
    <t>مكان النزوح الحالي</t>
  </si>
  <si>
    <t>مدير المدرسة</t>
  </si>
  <si>
    <t>م/ وسيائل</t>
  </si>
  <si>
    <t xml:space="preserve">خ/  إجتماعي </t>
  </si>
  <si>
    <t>أ / مخزن</t>
  </si>
  <si>
    <t>عامل</t>
  </si>
  <si>
    <t>مكونات المبنى المدرسي</t>
  </si>
  <si>
    <t xml:space="preserve">إحصائيات توضح مكونات المبنى المدرسي في المدارس العاملة وبحسب المرحلة الدراسية حكومي </t>
  </si>
  <si>
    <t xml:space="preserve">   </t>
  </si>
  <si>
    <t>عدد الغرف المدرسية في المبنى كاملة</t>
  </si>
  <si>
    <t xml:space="preserve">مدرسة:.............................مديرية.......................للعام الدراسي 2025 - 2026 م  </t>
  </si>
  <si>
    <t>معمل ثانوي/ نوعه</t>
  </si>
  <si>
    <t>معمل رياضيات</t>
  </si>
  <si>
    <t xml:space="preserve">معمل حاسوب </t>
  </si>
  <si>
    <t>إذاعة مدرسية</t>
  </si>
  <si>
    <t>طابعة كمبيوتر</t>
  </si>
  <si>
    <t>طاولة اجتماعات</t>
  </si>
  <si>
    <t>شاشة عرض</t>
  </si>
  <si>
    <t>منظومة طاقة شمسية</t>
  </si>
  <si>
    <t>كاميرة تصوير رقمية</t>
  </si>
  <si>
    <t>مسرح</t>
  </si>
  <si>
    <t>آلة تصوير ورق</t>
  </si>
  <si>
    <t>ملعب طائرة ملعب قدم</t>
  </si>
  <si>
    <t>يعمل / لايعمل</t>
  </si>
  <si>
    <t xml:space="preserve">مدرسة:  .........................مديرية.......................للعام الدراسي 2025 - 2026 م  </t>
  </si>
  <si>
    <t>عدد الطلبة</t>
  </si>
  <si>
    <t>الإجمالي المعلمين</t>
  </si>
  <si>
    <t>عدد المعلمين</t>
  </si>
  <si>
    <t>إجمالي الطلبة</t>
  </si>
  <si>
    <t>متعاقد</t>
  </si>
  <si>
    <t>متطوع</t>
  </si>
  <si>
    <t>إحصائيات توضح توزيع التجهيزات في المدارس العاملة وبحسب المرحلة الدراسية أهلي</t>
  </si>
  <si>
    <t>عدد الطلبة المتسربين</t>
  </si>
  <si>
    <t>الإحصائية العامة لطلاب و طالبات المرحلة الأساسية اهلي مدرسة .................................. بمديرية/.............. للعام الدراسي   2025 -  2026م</t>
  </si>
  <si>
    <t>الطلاب المتسربون</t>
  </si>
  <si>
    <t>الطلاب المتقدمون</t>
  </si>
  <si>
    <t>حالة الطلاب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</si>
</sst>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_-* #,##0.00\-;_-* &quot;-&quot;??_-;_-@_-"/>
    <numFmt numFmtId="166" formatCode="[$-1010409]General"/>
    <numFmt numFmtId="167" formatCode="_-* #,##0_-;_-* #,##0\-;_-* &quot;-&quot;??_-;_-@_-"/>
  </numFmts>
  <fonts count="7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6"/>
      <color theme="1"/>
      <name val="Microsoft Uighu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Microsoft Uighur"/>
    </font>
    <font>
      <sz val="12"/>
      <color indexed="8"/>
      <name val="PT Bold Heading"/>
      <charset val="178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PT Bold Heading"/>
      <charset val="178"/>
    </font>
    <font>
      <b/>
      <sz val="12"/>
      <color indexed="8"/>
      <name val="PT Bold Heading"/>
      <charset val="178"/>
    </font>
    <font>
      <b/>
      <sz val="12"/>
      <color indexed="8"/>
      <name val="mohammad bold art 1"/>
      <charset val="178"/>
    </font>
    <font>
      <sz val="10"/>
      <name val="Arial"/>
      <family val="2"/>
    </font>
    <font>
      <sz val="8"/>
      <color indexed="8"/>
      <name val="Times New Roman"/>
      <family val="1"/>
    </font>
    <font>
      <sz val="6.95"/>
      <color indexed="8"/>
      <name val="Arial"/>
      <family val="2"/>
    </font>
    <font>
      <sz val="8"/>
      <color indexed="8"/>
      <name val="PT Bold Heading"/>
      <charset val="178"/>
    </font>
    <font>
      <sz val="10"/>
      <color indexed="8"/>
      <name val="PT Bold Heading"/>
      <charset val="178"/>
    </font>
    <font>
      <sz val="14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b/>
      <sz val="10"/>
      <color theme="1"/>
      <name val="Microsoft Uighur"/>
    </font>
    <font>
      <b/>
      <sz val="10"/>
      <color rgb="FFFF0000"/>
      <name val="Microsoft Uighur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  <scheme val="minor"/>
    </font>
    <font>
      <b/>
      <sz val="10"/>
      <color indexed="8"/>
      <name val="Calibri"/>
      <family val="2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charset val="178"/>
      <scheme val="minor"/>
    </font>
    <font>
      <b/>
      <sz val="12"/>
      <name val="Khalid Art bold"/>
      <charset val="178"/>
    </font>
    <font>
      <b/>
      <sz val="18"/>
      <color rgb="FFFF0000"/>
      <name val="PT Bold Heading"/>
      <charset val="178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sz val="14"/>
      <color indexed="8"/>
      <name val="Arial"/>
      <family val="2"/>
      <charset val="178"/>
    </font>
    <font>
      <sz val="14"/>
      <color indexed="9"/>
      <name val="Arial"/>
      <family val="2"/>
      <charset val="178"/>
    </font>
    <font>
      <b/>
      <sz val="14"/>
      <color indexed="8"/>
      <name val="Arial"/>
      <family val="2"/>
      <charset val="178"/>
    </font>
    <font>
      <b/>
      <sz val="14"/>
      <color indexed="63"/>
      <name val="Arial"/>
      <family val="2"/>
      <charset val="178"/>
    </font>
    <font>
      <sz val="14"/>
      <color indexed="62"/>
      <name val="Arial"/>
      <family val="2"/>
      <charset val="178"/>
    </font>
    <font>
      <sz val="14"/>
      <color indexed="17"/>
      <name val="Arial"/>
      <family val="2"/>
      <charset val="178"/>
    </font>
    <font>
      <b/>
      <sz val="14"/>
      <color indexed="52"/>
      <name val="Arial"/>
      <family val="2"/>
      <charset val="178"/>
    </font>
    <font>
      <b/>
      <sz val="14"/>
      <color indexed="9"/>
      <name val="Arial"/>
      <family val="2"/>
      <charset val="178"/>
    </font>
    <font>
      <sz val="14"/>
      <color indexed="52"/>
      <name val="Arial"/>
      <family val="2"/>
      <charset val="178"/>
    </font>
    <font>
      <sz val="14"/>
      <color indexed="20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4"/>
      <color indexed="60"/>
      <name val="Arial"/>
      <family val="2"/>
      <charset val="178"/>
    </font>
    <font>
      <sz val="14"/>
      <color indexed="10"/>
      <name val="Arial"/>
      <family val="2"/>
      <charset val="178"/>
    </font>
    <font>
      <i/>
      <sz val="14"/>
      <color indexed="23"/>
      <name val="Arial"/>
      <family val="2"/>
      <charset val="178"/>
    </font>
    <font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3"/>
      <color theme="1"/>
      <name val="PT Bold Heading"/>
      <charset val="178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e_AlMateen"/>
      <family val="1"/>
    </font>
    <font>
      <sz val="14"/>
      <color theme="1"/>
      <name val="PT Bold Heading"/>
      <charset val="178"/>
    </font>
    <font>
      <b/>
      <sz val="9"/>
      <color theme="1"/>
      <name val="Arial"/>
      <family val="2"/>
      <scheme val="minor"/>
    </font>
    <font>
      <sz val="12"/>
      <name val="Arial Rounded MT Bold"/>
      <family val="2"/>
    </font>
    <font>
      <b/>
      <sz val="12"/>
      <name val="Arial Rounded MT Bold"/>
      <family val="2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b/>
      <sz val="18"/>
      <name val="Arial Rounded MT Bold"/>
      <family val="2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4"/>
      <color indexed="8"/>
      <name val="PT Bold Heading"/>
      <charset val="178"/>
    </font>
    <font>
      <b/>
      <sz val="20"/>
      <color theme="1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rgb="FFCFF7A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/>
        <bgColor indexed="64"/>
      </patternFill>
    </fill>
  </fills>
  <borders count="1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2">
    <xf numFmtId="0" fontId="0" fillId="0" borderId="0"/>
    <xf numFmtId="0" fontId="6" fillId="0" borderId="0"/>
    <xf numFmtId="0" fontId="4" fillId="0" borderId="0"/>
    <xf numFmtId="0" fontId="17" fillId="0" borderId="0">
      <alignment wrapText="1"/>
    </xf>
    <xf numFmtId="0" fontId="3" fillId="0" borderId="0"/>
    <xf numFmtId="0" fontId="3" fillId="0" borderId="0"/>
    <xf numFmtId="0" fontId="17" fillId="0" borderId="0"/>
    <xf numFmtId="164" fontId="37" fillId="0" borderId="0" applyFont="0" applyFill="0" applyBorder="0" applyAlignment="0" applyProtection="0"/>
    <xf numFmtId="0" fontId="2" fillId="0" borderId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5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1" borderId="0" applyNumberFormat="0" applyBorder="0" applyAlignment="0" applyProtection="0"/>
    <xf numFmtId="0" fontId="39" fillId="5" borderId="0" applyNumberFormat="0" applyBorder="0" applyAlignment="0" applyProtection="0"/>
    <xf numFmtId="0" fontId="39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2" fillId="21" borderId="50" applyNumberFormat="0" applyAlignment="0" applyProtection="0"/>
    <xf numFmtId="0" fontId="43" fillId="13" borderId="51" applyNumberFormat="0" applyAlignment="0" applyProtection="0"/>
    <xf numFmtId="0" fontId="41" fillId="0" borderId="52" applyNumberFormat="0" applyFill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5" borderId="0" applyNumberFormat="0" applyBorder="0" applyAlignment="0" applyProtection="0"/>
    <xf numFmtId="0" fontId="44" fillId="10" borderId="0" applyNumberFormat="0" applyBorder="0" applyAlignment="0" applyProtection="0"/>
    <xf numFmtId="0" fontId="45" fillId="21" borderId="51" applyNumberFormat="0" applyAlignment="0" applyProtection="0"/>
    <xf numFmtId="0" fontId="46" fillId="26" borderId="53" applyNumberFormat="0" applyAlignment="0" applyProtection="0"/>
    <xf numFmtId="0" fontId="47" fillId="0" borderId="54" applyNumberFormat="0" applyFill="0" applyAlignment="0" applyProtection="0"/>
    <xf numFmtId="0" fontId="48" fillId="9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55" applyNumberFormat="0" applyFill="0" applyAlignment="0" applyProtection="0"/>
    <xf numFmtId="0" fontId="51" fillId="0" borderId="56" applyNumberFormat="0" applyFill="0" applyAlignment="0" applyProtection="0"/>
    <xf numFmtId="0" fontId="52" fillId="0" borderId="57" applyNumberFormat="0" applyFill="0" applyAlignment="0" applyProtection="0"/>
    <xf numFmtId="0" fontId="52" fillId="0" borderId="0" applyNumberFormat="0" applyFill="0" applyBorder="0" applyAlignment="0" applyProtection="0"/>
    <xf numFmtId="0" fontId="53" fillId="27" borderId="0" applyNumberFormat="0" applyBorder="0" applyAlignment="0" applyProtection="0"/>
    <xf numFmtId="0" fontId="17" fillId="28" borderId="58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" fillId="0" borderId="0"/>
    <xf numFmtId="0" fontId="37" fillId="0" borderId="0"/>
  </cellStyleXfs>
  <cellXfs count="374">
    <xf numFmtId="0" fontId="0" fillId="0" borderId="0" xfId="0"/>
    <xf numFmtId="0" fontId="8" fillId="0" borderId="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4" fillId="0" borderId="0" xfId="2"/>
    <xf numFmtId="0" fontId="5" fillId="2" borderId="17" xfId="2" applyFont="1" applyFill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5" fillId="2" borderId="28" xfId="2" applyFont="1" applyFill="1" applyBorder="1" applyAlignment="1">
      <alignment horizontal="center"/>
    </xf>
    <xf numFmtId="0" fontId="4" fillId="0" borderId="30" xfId="2" applyBorder="1"/>
    <xf numFmtId="166" fontId="12" fillId="0" borderId="31" xfId="0" applyNumberFormat="1" applyFont="1" applyFill="1" applyBorder="1" applyAlignment="1">
      <alignment horizontal="center" vertical="top" wrapText="1"/>
    </xf>
    <xf numFmtId="166" fontId="12" fillId="5" borderId="31" xfId="0" applyNumberFormat="1" applyFont="1" applyFill="1" applyBorder="1" applyAlignment="1">
      <alignment horizontal="center" vertical="top" wrapText="1"/>
    </xf>
    <xf numFmtId="0" fontId="13" fillId="5" borderId="34" xfId="0" applyFont="1" applyFill="1" applyBorder="1" applyAlignment="1">
      <alignment horizontal="center" vertical="top" wrapText="1"/>
    </xf>
    <xf numFmtId="0" fontId="13" fillId="5" borderId="33" xfId="0" applyFont="1" applyFill="1" applyBorder="1" applyAlignment="1">
      <alignment horizontal="center" vertical="top" wrapText="1"/>
    </xf>
    <xf numFmtId="0" fontId="14" fillId="5" borderId="31" xfId="0" applyFont="1" applyFill="1" applyBorder="1" applyAlignment="1">
      <alignment horizontal="center" vertical="top" wrapText="1"/>
    </xf>
    <xf numFmtId="0" fontId="15" fillId="5" borderId="31" xfId="0" applyFont="1" applyFill="1" applyBorder="1" applyAlignment="1">
      <alignment horizontal="center" vertical="top" wrapText="1"/>
    </xf>
    <xf numFmtId="0" fontId="16" fillId="5" borderId="32" xfId="0" applyFont="1" applyFill="1" applyBorder="1" applyAlignment="1">
      <alignment vertical="top" wrapText="1"/>
    </xf>
    <xf numFmtId="166" fontId="15" fillId="5" borderId="31" xfId="0" applyNumberFormat="1" applyFont="1" applyFill="1" applyBorder="1" applyAlignment="1">
      <alignment horizontal="center" vertical="top" wrapText="1"/>
    </xf>
    <xf numFmtId="166" fontId="15" fillId="0" borderId="31" xfId="0" applyNumberFormat="1" applyFont="1" applyFill="1" applyBorder="1" applyAlignment="1">
      <alignment horizontal="center" vertical="top" wrapText="1"/>
    </xf>
    <xf numFmtId="0" fontId="14" fillId="0" borderId="31" xfId="0" applyFont="1" applyFill="1" applyBorder="1" applyAlignment="1">
      <alignment horizontal="center" vertical="top" wrapText="1"/>
    </xf>
    <xf numFmtId="166" fontId="18" fillId="0" borderId="31" xfId="3" applyNumberFormat="1" applyFont="1" applyFill="1" applyBorder="1" applyAlignment="1">
      <alignment horizontal="center" vertical="top" wrapText="1"/>
    </xf>
    <xf numFmtId="166" fontId="18" fillId="5" borderId="31" xfId="3" applyNumberFormat="1" applyFont="1" applyFill="1" applyBorder="1" applyAlignment="1">
      <alignment horizontal="center" vertical="top" wrapText="1"/>
    </xf>
    <xf numFmtId="0" fontId="18" fillId="5" borderId="31" xfId="3" applyFont="1" applyFill="1" applyBorder="1" applyAlignment="1">
      <alignment horizontal="center" vertical="top" wrapText="1"/>
    </xf>
    <xf numFmtId="0" fontId="15" fillId="5" borderId="31" xfId="0" applyFont="1" applyFill="1" applyBorder="1" applyAlignment="1">
      <alignment horizontal="center" vertical="top" wrapText="1"/>
    </xf>
    <xf numFmtId="0" fontId="5" fillId="2" borderId="13" xfId="2" applyFont="1" applyFill="1" applyBorder="1" applyAlignment="1">
      <alignment horizontal="center"/>
    </xf>
    <xf numFmtId="0" fontId="22" fillId="0" borderId="0" xfId="2" applyFont="1"/>
    <xf numFmtId="0" fontId="23" fillId="0" borderId="0" xfId="0" applyFont="1"/>
    <xf numFmtId="0" fontId="16" fillId="5" borderId="32" xfId="0" applyFont="1" applyFill="1" applyBorder="1" applyAlignment="1">
      <alignment horizontal="center" vertical="top" wrapText="1"/>
    </xf>
    <xf numFmtId="0" fontId="9" fillId="3" borderId="11" xfId="1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center"/>
    </xf>
    <xf numFmtId="0" fontId="9" fillId="0" borderId="21" xfId="1" applyFont="1" applyBorder="1" applyAlignment="1">
      <alignment horizontal="center" vertical="center"/>
    </xf>
    <xf numFmtId="0" fontId="24" fillId="0" borderId="0" xfId="1" applyFont="1" applyAlignment="1">
      <alignment horizontal="center"/>
    </xf>
    <xf numFmtId="0" fontId="24" fillId="0" borderId="0" xfId="1" applyFont="1"/>
    <xf numFmtId="0" fontId="24" fillId="0" borderId="0" xfId="1" applyFont="1" applyAlignment="1">
      <alignment wrapText="1"/>
    </xf>
    <xf numFmtId="0" fontId="25" fillId="2" borderId="7" xfId="1" applyFont="1" applyFill="1" applyBorder="1" applyAlignment="1">
      <alignment horizontal="center" vertical="center"/>
    </xf>
    <xf numFmtId="0" fontId="25" fillId="2" borderId="8" xfId="1" applyFont="1" applyFill="1" applyBorder="1" applyAlignment="1">
      <alignment horizontal="center" vertical="center"/>
    </xf>
    <xf numFmtId="0" fontId="25" fillId="2" borderId="9" xfId="1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/>
    </xf>
    <xf numFmtId="0" fontId="27" fillId="0" borderId="21" xfId="1" applyFont="1" applyBorder="1" applyAlignment="1">
      <alignment horizontal="center"/>
    </xf>
    <xf numFmtId="0" fontId="28" fillId="0" borderId="21" xfId="1" applyFont="1" applyBorder="1" applyAlignment="1">
      <alignment horizontal="center"/>
    </xf>
    <xf numFmtId="0" fontId="8" fillId="2" borderId="28" xfId="2" applyFont="1" applyFill="1" applyBorder="1" applyAlignment="1">
      <alignment horizontal="center"/>
    </xf>
    <xf numFmtId="0" fontId="24" fillId="4" borderId="0" xfId="1" applyFont="1" applyFill="1"/>
    <xf numFmtId="0" fontId="8" fillId="2" borderId="13" xfId="2" applyFont="1" applyFill="1" applyBorder="1" applyAlignment="1">
      <alignment horizontal="center"/>
    </xf>
    <xf numFmtId="1" fontId="27" fillId="0" borderId="21" xfId="1" applyNumberFormat="1" applyFont="1" applyBorder="1" applyAlignment="1">
      <alignment horizontal="center"/>
    </xf>
    <xf numFmtId="1" fontId="28" fillId="0" borderId="21" xfId="1" applyNumberFormat="1" applyFont="1" applyBorder="1" applyAlignment="1">
      <alignment horizontal="center"/>
    </xf>
    <xf numFmtId="0" fontId="8" fillId="0" borderId="0" xfId="0" applyFont="1"/>
    <xf numFmtId="0" fontId="26" fillId="2" borderId="1" xfId="1" applyFont="1" applyFill="1" applyBorder="1" applyAlignment="1">
      <alignment horizontal="center" vertical="center"/>
    </xf>
    <xf numFmtId="0" fontId="25" fillId="2" borderId="10" xfId="1" applyFont="1" applyFill="1" applyBorder="1" applyAlignment="1">
      <alignment horizontal="center" vertical="center"/>
    </xf>
    <xf numFmtId="0" fontId="29" fillId="0" borderId="1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2" borderId="13" xfId="1" applyFont="1" applyFill="1" applyBorder="1" applyAlignment="1">
      <alignment horizontal="center"/>
    </xf>
    <xf numFmtId="1" fontId="29" fillId="0" borderId="11" xfId="1" applyNumberFormat="1" applyFont="1" applyBorder="1" applyAlignment="1">
      <alignment horizontal="center" vertical="center"/>
    </xf>
    <xf numFmtId="0" fontId="30" fillId="0" borderId="0" xfId="1" applyFont="1" applyBorder="1" applyAlignment="1">
      <alignment horizontal="center" vertical="center" shrinkToFit="1"/>
    </xf>
    <xf numFmtId="0" fontId="24" fillId="0" borderId="0" xfId="1" applyFont="1" applyAlignment="1">
      <alignment horizontal="center" vertical="center"/>
    </xf>
    <xf numFmtId="0" fontId="29" fillId="2" borderId="12" xfId="1" applyFont="1" applyFill="1" applyBorder="1" applyAlignment="1">
      <alignment horizontal="center"/>
    </xf>
    <xf numFmtId="0" fontId="24" fillId="0" borderId="0" xfId="1" applyFont="1" applyBorder="1"/>
    <xf numFmtId="0" fontId="31" fillId="0" borderId="0" xfId="1" applyFont="1" applyAlignment="1"/>
    <xf numFmtId="0" fontId="8" fillId="0" borderId="0" xfId="0" applyFont="1" applyAlignment="1"/>
    <xf numFmtId="0" fontId="32" fillId="0" borderId="0" xfId="1" applyFont="1" applyAlignment="1"/>
    <xf numFmtId="0" fontId="33" fillId="0" borderId="0" xfId="1" applyFont="1"/>
    <xf numFmtId="0" fontId="33" fillId="0" borderId="0" xfId="0" applyFont="1" applyAlignment="1"/>
    <xf numFmtId="0" fontId="24" fillId="0" borderId="0" xfId="0" applyFont="1" applyAlignment="1"/>
    <xf numFmtId="0" fontId="24" fillId="0" borderId="0" xfId="0" applyFont="1" applyAlignment="1">
      <alignment horizontal="center"/>
    </xf>
    <xf numFmtId="0" fontId="24" fillId="0" borderId="0" xfId="1" applyFont="1" applyFill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 shrinkToFit="1" readingOrder="2"/>
    </xf>
    <xf numFmtId="0" fontId="34" fillId="0" borderId="39" xfId="0" applyFont="1" applyFill="1" applyBorder="1" applyAlignment="1">
      <alignment horizontal="center" vertical="center" shrinkToFit="1" readingOrder="2"/>
    </xf>
    <xf numFmtId="0" fontId="34" fillId="0" borderId="44" xfId="0" applyFont="1" applyFill="1" applyBorder="1" applyAlignment="1">
      <alignment horizontal="center" vertical="center" shrinkToFit="1" readingOrder="2"/>
    </xf>
    <xf numFmtId="0" fontId="5" fillId="2" borderId="29" xfId="2" applyFont="1" applyFill="1" applyBorder="1" applyAlignment="1">
      <alignment horizontal="center"/>
    </xf>
    <xf numFmtId="0" fontId="0" fillId="0" borderId="46" xfId="0" applyBorder="1"/>
    <xf numFmtId="0" fontId="8" fillId="7" borderId="17" xfId="2" applyFont="1" applyFill="1" applyBorder="1" applyAlignment="1">
      <alignment horizontal="center"/>
    </xf>
    <xf numFmtId="0" fontId="8" fillId="7" borderId="28" xfId="2" applyFont="1" applyFill="1" applyBorder="1" applyAlignment="1">
      <alignment horizontal="center"/>
    </xf>
    <xf numFmtId="0" fontId="8" fillId="7" borderId="13" xfId="2" applyFont="1" applyFill="1" applyBorder="1" applyAlignment="1">
      <alignment horizontal="center"/>
    </xf>
    <xf numFmtId="0" fontId="25" fillId="7" borderId="7" xfId="1" applyFont="1" applyFill="1" applyBorder="1" applyAlignment="1">
      <alignment horizontal="center" vertical="center"/>
    </xf>
    <xf numFmtId="0" fontId="25" fillId="7" borderId="9" xfId="1" applyFont="1" applyFill="1" applyBorder="1" applyAlignment="1">
      <alignment horizontal="center" vertical="center"/>
    </xf>
    <xf numFmtId="0" fontId="28" fillId="7" borderId="13" xfId="1" applyFont="1" applyFill="1" applyBorder="1" applyAlignment="1">
      <alignment horizontal="center"/>
    </xf>
    <xf numFmtId="0" fontId="24" fillId="7" borderId="0" xfId="1" applyFont="1" applyFill="1" applyAlignment="1">
      <alignment vertical="center"/>
    </xf>
    <xf numFmtId="0" fontId="24" fillId="7" borderId="44" xfId="2" applyFont="1" applyFill="1" applyBorder="1" applyAlignment="1">
      <alignment horizontal="center"/>
    </xf>
    <xf numFmtId="0" fontId="33" fillId="7" borderId="5" xfId="2" applyFont="1" applyFill="1" applyBorder="1" applyAlignment="1">
      <alignment horizontal="center"/>
    </xf>
    <xf numFmtId="0" fontId="25" fillId="7" borderId="39" xfId="1" applyFont="1" applyFill="1" applyBorder="1" applyAlignment="1">
      <alignment horizontal="center" vertical="center"/>
    </xf>
    <xf numFmtId="0" fontId="25" fillId="7" borderId="28" xfId="1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 shrinkToFit="1" readingOrder="2"/>
    </xf>
    <xf numFmtId="0" fontId="34" fillId="7" borderId="9" xfId="0" applyFont="1" applyFill="1" applyBorder="1" applyAlignment="1">
      <alignment horizontal="center" vertical="center" shrinkToFit="1" readingOrder="2"/>
    </xf>
    <xf numFmtId="0" fontId="33" fillId="7" borderId="0" xfId="1" applyFont="1" applyFill="1"/>
    <xf numFmtId="0" fontId="34" fillId="7" borderId="8" xfId="0" applyFont="1" applyFill="1" applyBorder="1" applyAlignment="1">
      <alignment horizontal="center" vertical="center" shrinkToFit="1" readingOrder="2"/>
    </xf>
    <xf numFmtId="0" fontId="34" fillId="7" borderId="7" xfId="0" applyFont="1" applyFill="1" applyBorder="1" applyAlignment="1">
      <alignment horizontal="center" vertical="center" shrinkToFit="1" readingOrder="2"/>
    </xf>
    <xf numFmtId="0" fontId="34" fillId="7" borderId="10" xfId="0" applyFont="1" applyFill="1" applyBorder="1" applyAlignment="1">
      <alignment horizontal="center" vertical="center" shrinkToFit="1" readingOrder="2"/>
    </xf>
    <xf numFmtId="0" fontId="33" fillId="7" borderId="0" xfId="1" applyFont="1" applyFill="1" applyAlignment="1">
      <alignment vertical="center"/>
    </xf>
    <xf numFmtId="167" fontId="15" fillId="5" borderId="31" xfId="7" applyNumberFormat="1" applyFont="1" applyFill="1" applyBorder="1" applyAlignment="1">
      <alignment horizontal="center" vertical="center" wrapText="1"/>
    </xf>
    <xf numFmtId="167" fontId="15" fillId="5" borderId="31" xfId="7" applyNumberFormat="1" applyFont="1" applyFill="1" applyBorder="1" applyAlignment="1">
      <alignment vertical="center" wrapText="1"/>
    </xf>
    <xf numFmtId="167" fontId="12" fillId="5" borderId="31" xfId="7" applyNumberFormat="1" applyFont="1" applyFill="1" applyBorder="1" applyAlignment="1">
      <alignment horizontal="center" vertical="top" wrapText="1"/>
    </xf>
    <xf numFmtId="167" fontId="0" fillId="0" borderId="0" xfId="7" applyNumberFormat="1" applyFont="1"/>
    <xf numFmtId="167" fontId="13" fillId="0" borderId="31" xfId="7" applyNumberFormat="1" applyFont="1" applyFill="1" applyBorder="1" applyAlignment="1">
      <alignment horizontal="center" vertical="top" wrapText="1"/>
    </xf>
    <xf numFmtId="0" fontId="5" fillId="0" borderId="42" xfId="2" applyFont="1" applyBorder="1" applyAlignment="1">
      <alignment horizontal="center"/>
    </xf>
    <xf numFmtId="0" fontId="5" fillId="7" borderId="27" xfId="2" applyFont="1" applyFill="1" applyBorder="1" applyAlignment="1">
      <alignment horizontal="center"/>
    </xf>
    <xf numFmtId="0" fontId="5" fillId="7" borderId="5" xfId="2" applyFont="1" applyFill="1" applyBorder="1" applyAlignment="1">
      <alignment horizontal="center"/>
    </xf>
    <xf numFmtId="0" fontId="4" fillId="0" borderId="0" xfId="2" applyFill="1"/>
    <xf numFmtId="0" fontId="5" fillId="7" borderId="17" xfId="2" applyFont="1" applyFill="1" applyBorder="1" applyAlignment="1">
      <alignment horizontal="center"/>
    </xf>
    <xf numFmtId="0" fontId="5" fillId="7" borderId="28" xfId="2" applyFont="1" applyFill="1" applyBorder="1" applyAlignment="1">
      <alignment horizontal="center"/>
    </xf>
    <xf numFmtId="0" fontId="5" fillId="7" borderId="13" xfId="2" applyFont="1" applyFill="1" applyBorder="1" applyAlignment="1">
      <alignment horizontal="center"/>
    </xf>
    <xf numFmtId="0" fontId="5" fillId="7" borderId="10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  <xf numFmtId="0" fontId="5" fillId="7" borderId="7" xfId="2" applyFont="1" applyFill="1" applyBorder="1" applyAlignment="1">
      <alignment horizontal="center" vertical="center"/>
    </xf>
    <xf numFmtId="0" fontId="5" fillId="7" borderId="26" xfId="2" applyFont="1" applyFill="1" applyBorder="1" applyAlignment="1">
      <alignment horizontal="center" vertical="center"/>
    </xf>
    <xf numFmtId="0" fontId="5" fillId="7" borderId="25" xfId="2" applyFont="1" applyFill="1" applyBorder="1" applyAlignment="1">
      <alignment horizontal="center" vertical="center"/>
    </xf>
    <xf numFmtId="0" fontId="5" fillId="7" borderId="23" xfId="2" applyFont="1" applyFill="1" applyBorder="1" applyAlignment="1">
      <alignment horizontal="center" vertical="center"/>
    </xf>
    <xf numFmtId="0" fontId="5" fillId="7" borderId="8" xfId="2" applyFont="1" applyFill="1" applyBorder="1" applyAlignment="1">
      <alignment horizontal="center" vertical="center"/>
    </xf>
    <xf numFmtId="0" fontId="4" fillId="0" borderId="0" xfId="2" applyFill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7" fillId="7" borderId="10" xfId="2" applyFont="1" applyFill="1" applyBorder="1" applyAlignment="1">
      <alignment horizontal="center" vertical="center"/>
    </xf>
    <xf numFmtId="0" fontId="37" fillId="7" borderId="8" xfId="2" applyFont="1" applyFill="1" applyBorder="1" applyAlignment="1">
      <alignment horizontal="center" vertical="center"/>
    </xf>
    <xf numFmtId="0" fontId="37" fillId="0" borderId="0" xfId="2" applyFont="1" applyAlignment="1">
      <alignment horizontal="center" vertical="center"/>
    </xf>
    <xf numFmtId="0" fontId="37" fillId="7" borderId="61" xfId="2" applyFont="1" applyFill="1" applyBorder="1" applyAlignment="1">
      <alignment horizontal="center" vertical="center"/>
    </xf>
    <xf numFmtId="0" fontId="37" fillId="7" borderId="62" xfId="2" applyFont="1" applyFill="1" applyBorder="1" applyAlignment="1">
      <alignment horizontal="center" vertical="center"/>
    </xf>
    <xf numFmtId="0" fontId="37" fillId="7" borderId="63" xfId="2" applyFont="1" applyFill="1" applyBorder="1" applyAlignment="1">
      <alignment horizontal="center" vertical="center"/>
    </xf>
    <xf numFmtId="0" fontId="37" fillId="7" borderId="64" xfId="2" applyFont="1" applyFill="1" applyBorder="1" applyAlignment="1">
      <alignment horizontal="center" vertical="center"/>
    </xf>
    <xf numFmtId="0" fontId="37" fillId="7" borderId="65" xfId="2" applyFont="1" applyFill="1" applyBorder="1" applyAlignment="1">
      <alignment horizontal="center" vertical="center"/>
    </xf>
    <xf numFmtId="0" fontId="37" fillId="7" borderId="66" xfId="2" applyFont="1" applyFill="1" applyBorder="1" applyAlignment="1">
      <alignment horizontal="center" vertical="center"/>
    </xf>
    <xf numFmtId="0" fontId="37" fillId="7" borderId="67" xfId="2" applyFont="1" applyFill="1" applyBorder="1" applyAlignment="1">
      <alignment horizontal="center" vertical="center"/>
    </xf>
    <xf numFmtId="0" fontId="37" fillId="0" borderId="47" xfId="2" applyFont="1" applyBorder="1" applyAlignment="1">
      <alignment horizontal="center" vertical="center"/>
    </xf>
    <xf numFmtId="0" fontId="37" fillId="7" borderId="17" xfId="2" applyFont="1" applyFill="1" applyBorder="1" applyAlignment="1">
      <alignment horizontal="center" vertical="center"/>
    </xf>
    <xf numFmtId="0" fontId="5" fillId="7" borderId="40" xfId="2" applyFont="1" applyFill="1" applyBorder="1" applyAlignment="1">
      <alignment horizontal="center" vertical="center"/>
    </xf>
    <xf numFmtId="0" fontId="37" fillId="7" borderId="27" xfId="2" applyFont="1" applyFill="1" applyBorder="1" applyAlignment="1">
      <alignment horizontal="center" vertical="center"/>
    </xf>
    <xf numFmtId="0" fontId="5" fillId="7" borderId="27" xfId="2" applyFont="1" applyFill="1" applyBorder="1" applyAlignment="1">
      <alignment horizontal="center" vertical="center"/>
    </xf>
    <xf numFmtId="0" fontId="37" fillId="7" borderId="28" xfId="2" applyFont="1" applyFill="1" applyBorder="1" applyAlignment="1">
      <alignment horizontal="center" vertical="center"/>
    </xf>
    <xf numFmtId="0" fontId="37" fillId="7" borderId="13" xfId="2" applyFont="1" applyFill="1" applyBorder="1" applyAlignment="1">
      <alignment horizontal="center" vertical="center"/>
    </xf>
    <xf numFmtId="0" fontId="5" fillId="7" borderId="5" xfId="2" applyFont="1" applyFill="1" applyBorder="1" applyAlignment="1">
      <alignment horizontal="center" vertical="center"/>
    </xf>
    <xf numFmtId="0" fontId="37" fillId="0" borderId="0" xfId="2" applyFont="1" applyBorder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56" fillId="0" borderId="0" xfId="2" applyFont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  <xf numFmtId="0" fontId="23" fillId="0" borderId="0" xfId="0" applyFont="1" applyAlignment="1"/>
    <xf numFmtId="0" fontId="0" fillId="0" borderId="0" xfId="0" applyAlignment="1"/>
    <xf numFmtId="0" fontId="27" fillId="7" borderId="25" xfId="1" applyFont="1" applyFill="1" applyBorder="1" applyAlignment="1">
      <alignment horizontal="center" vertical="center" shrinkToFit="1"/>
    </xf>
    <xf numFmtId="0" fontId="9" fillId="0" borderId="0" xfId="0" applyFont="1"/>
    <xf numFmtId="0" fontId="9" fillId="0" borderId="0" xfId="0" applyFont="1" applyAlignment="1">
      <alignment horizontal="center"/>
    </xf>
    <xf numFmtId="0" fontId="24" fillId="0" borderId="0" xfId="1" applyFont="1" applyAlignment="1">
      <alignment horizontal="center"/>
    </xf>
    <xf numFmtId="0" fontId="25" fillId="7" borderId="8" xfId="1" applyFont="1" applyFill="1" applyBorder="1" applyAlignment="1">
      <alignment horizontal="center" vertical="center"/>
    </xf>
    <xf numFmtId="0" fontId="25" fillId="7" borderId="44" xfId="1" applyFont="1" applyFill="1" applyBorder="1" applyAlignment="1">
      <alignment horizontal="center" vertical="center"/>
    </xf>
    <xf numFmtId="0" fontId="25" fillId="7" borderId="5" xfId="1" applyFont="1" applyFill="1" applyBorder="1" applyAlignment="1">
      <alignment horizontal="center" vertical="center"/>
    </xf>
    <xf numFmtId="0" fontId="5" fillId="7" borderId="29" xfId="2" applyFont="1" applyFill="1" applyBorder="1" applyAlignment="1">
      <alignment horizontal="center" vertical="center"/>
    </xf>
    <xf numFmtId="0" fontId="58" fillId="0" borderId="0" xfId="0" applyFont="1" applyAlignment="1">
      <alignment horizontal="right" vertical="center" readingOrder="2"/>
    </xf>
    <xf numFmtId="0" fontId="0" fillId="0" borderId="69" xfId="0" applyBorder="1"/>
    <xf numFmtId="0" fontId="37" fillId="7" borderId="71" xfId="2" applyFont="1" applyFill="1" applyBorder="1" applyAlignment="1">
      <alignment horizontal="center" vertical="center"/>
    </xf>
    <xf numFmtId="0" fontId="5" fillId="7" borderId="71" xfId="2" applyFont="1" applyFill="1" applyBorder="1" applyAlignment="1">
      <alignment horizontal="center" vertical="center"/>
    </xf>
    <xf numFmtId="0" fontId="60" fillId="7" borderId="70" xfId="0" applyFont="1" applyFill="1" applyBorder="1" applyAlignment="1">
      <alignment horizontal="center" vertical="center" wrapText="1" readingOrder="2"/>
    </xf>
    <xf numFmtId="0" fontId="0" fillId="7" borderId="69" xfId="0" applyFill="1" applyBorder="1"/>
    <xf numFmtId="0" fontId="0" fillId="7" borderId="70" xfId="0" applyFill="1" applyBorder="1"/>
    <xf numFmtId="0" fontId="63" fillId="0" borderId="71" xfId="0" applyFont="1" applyBorder="1" applyAlignment="1">
      <alignment horizontal="right" vertical="center" wrapText="1" readingOrder="2"/>
    </xf>
    <xf numFmtId="0" fontId="63" fillId="7" borderId="71" xfId="0" applyFont="1" applyFill="1" applyBorder="1" applyAlignment="1">
      <alignment horizontal="right" vertical="center" wrapText="1" readingOrder="2"/>
    </xf>
    <xf numFmtId="0" fontId="5" fillId="0" borderId="0" xfId="0" applyFont="1" applyAlignment="1">
      <alignment horizontal="center"/>
    </xf>
    <xf numFmtId="0" fontId="5" fillId="0" borderId="0" xfId="1" applyFont="1" applyAlignment="1"/>
    <xf numFmtId="0" fontId="57" fillId="0" borderId="0" xfId="0" applyFont="1"/>
    <xf numFmtId="0" fontId="8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24" fillId="0" borderId="0" xfId="1" applyFont="1" applyAlignment="1">
      <alignment horizontal="center"/>
    </xf>
    <xf numFmtId="0" fontId="0" fillId="7" borderId="60" xfId="0" applyFill="1" applyBorder="1"/>
    <xf numFmtId="0" fontId="24" fillId="7" borderId="69" xfId="2" applyFont="1" applyFill="1" applyBorder="1" applyAlignment="1">
      <alignment horizontal="center"/>
    </xf>
    <xf numFmtId="0" fontId="33" fillId="7" borderId="69" xfId="2" applyFont="1" applyFill="1" applyBorder="1" applyAlignment="1">
      <alignment horizontal="center"/>
    </xf>
    <xf numFmtId="0" fontId="61" fillId="0" borderId="69" xfId="0" applyFont="1" applyBorder="1" applyAlignment="1">
      <alignment horizontal="center" vertical="center" wrapText="1" readingOrder="2"/>
    </xf>
    <xf numFmtId="0" fontId="61" fillId="0" borderId="69" xfId="0" applyFont="1" applyBorder="1" applyAlignment="1">
      <alignment horizontal="center" vertical="center" textRotation="90" wrapText="1" readingOrder="2"/>
    </xf>
    <xf numFmtId="0" fontId="5" fillId="0" borderId="0" xfId="0" applyFont="1"/>
    <xf numFmtId="0" fontId="37" fillId="0" borderId="0" xfId="51"/>
    <xf numFmtId="0" fontId="37" fillId="0" borderId="49" xfId="51" applyBorder="1"/>
    <xf numFmtId="0" fontId="37" fillId="0" borderId="72" xfId="51" applyBorder="1"/>
    <xf numFmtId="0" fontId="66" fillId="29" borderId="73" xfId="50" applyFont="1" applyFill="1" applyBorder="1" applyAlignment="1">
      <alignment horizontal="center" vertical="center" wrapText="1"/>
    </xf>
    <xf numFmtId="0" fontId="66" fillId="29" borderId="74" xfId="50" applyFont="1" applyFill="1" applyBorder="1" applyAlignment="1">
      <alignment horizontal="center" vertical="center" wrapText="1"/>
    </xf>
    <xf numFmtId="0" fontId="66" fillId="29" borderId="75" xfId="50" applyFont="1" applyFill="1" applyBorder="1" applyAlignment="1">
      <alignment horizontal="center" vertical="center" wrapText="1"/>
    </xf>
    <xf numFmtId="0" fontId="66" fillId="29" borderId="76" xfId="50" applyFont="1" applyFill="1" applyBorder="1" applyAlignment="1">
      <alignment horizontal="center" vertical="center" wrapText="1"/>
    </xf>
    <xf numFmtId="0" fontId="66" fillId="0" borderId="0" xfId="50" applyFont="1" applyFill="1" applyBorder="1" applyAlignment="1">
      <alignment horizontal="center" vertical="center" wrapText="1"/>
    </xf>
    <xf numFmtId="0" fontId="66" fillId="0" borderId="0" xfId="51" applyFont="1" applyAlignment="1">
      <alignment wrapText="1"/>
    </xf>
    <xf numFmtId="0" fontId="9" fillId="3" borderId="77" xfId="50" applyFont="1" applyFill="1" applyBorder="1" applyAlignment="1">
      <alignment horizontal="center" vertical="center" shrinkToFit="1" readingOrder="2"/>
    </xf>
    <xf numFmtId="0" fontId="38" fillId="0" borderId="43" xfId="50" applyFont="1" applyFill="1" applyBorder="1" applyAlignment="1">
      <alignment horizontal="center" vertical="center"/>
    </xf>
    <xf numFmtId="0" fontId="9" fillId="0" borderId="45" xfId="50" applyFont="1" applyFill="1" applyBorder="1" applyAlignment="1">
      <alignment horizontal="center" vertical="center"/>
    </xf>
    <xf numFmtId="0" fontId="38" fillId="0" borderId="45" xfId="50" applyFont="1" applyFill="1" applyBorder="1" applyAlignment="1">
      <alignment horizontal="center" vertical="center"/>
    </xf>
    <xf numFmtId="0" fontId="67" fillId="3" borderId="78" xfId="50" applyFont="1" applyFill="1" applyBorder="1" applyAlignment="1">
      <alignment vertical="center"/>
    </xf>
    <xf numFmtId="0" fontId="9" fillId="0" borderId="79" xfId="50" applyFont="1" applyFill="1" applyBorder="1" applyAlignment="1">
      <alignment horizontal="center" vertical="center" shrinkToFit="1" readingOrder="2"/>
    </xf>
    <xf numFmtId="0" fontId="38" fillId="0" borderId="80" xfId="50" applyFont="1" applyFill="1" applyBorder="1" applyAlignment="1">
      <alignment horizontal="right" vertical="center"/>
    </xf>
    <xf numFmtId="0" fontId="9" fillId="0" borderId="69" xfId="50" applyFont="1" applyFill="1" applyBorder="1" applyAlignment="1">
      <alignment horizontal="center" vertical="center"/>
    </xf>
    <xf numFmtId="0" fontId="37" fillId="0" borderId="69" xfId="51" applyBorder="1"/>
    <xf numFmtId="0" fontId="37" fillId="0" borderId="81" xfId="51" applyBorder="1"/>
    <xf numFmtId="0" fontId="9" fillId="0" borderId="0" xfId="50" applyFont="1" applyBorder="1" applyAlignment="1">
      <alignment vertical="center"/>
    </xf>
    <xf numFmtId="0" fontId="9" fillId="0" borderId="0" xfId="50" applyFont="1" applyBorder="1" applyAlignment="1">
      <alignment horizontal="right" vertical="center"/>
    </xf>
    <xf numFmtId="0" fontId="8" fillId="0" borderId="0" xfId="1" applyFont="1" applyAlignment="1">
      <alignment horizontal="right"/>
    </xf>
    <xf numFmtId="0" fontId="8" fillId="0" borderId="0" xfId="1" applyFont="1" applyAlignment="1"/>
    <xf numFmtId="0" fontId="5" fillId="0" borderId="30" xfId="1" applyFont="1" applyBorder="1" applyAlignment="1"/>
    <xf numFmtId="0" fontId="37" fillId="0" borderId="0" xfId="2" applyFont="1" applyAlignment="1">
      <alignment vertical="center"/>
    </xf>
    <xf numFmtId="0" fontId="0" fillId="0" borderId="0" xfId="0" applyFont="1"/>
    <xf numFmtId="0" fontId="57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69" fillId="0" borderId="83" xfId="0" applyFont="1" applyBorder="1"/>
    <xf numFmtId="0" fontId="70" fillId="0" borderId="83" xfId="0" applyFont="1" applyBorder="1" applyAlignment="1">
      <alignment horizontal="center" vertical="center"/>
    </xf>
    <xf numFmtId="0" fontId="70" fillId="0" borderId="83" xfId="0" applyFont="1" applyBorder="1" applyAlignment="1">
      <alignment horizontal="center"/>
    </xf>
    <xf numFmtId="0" fontId="70" fillId="0" borderId="8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1" fillId="0" borderId="0" xfId="0" applyFont="1" applyAlignment="1">
      <alignment horizontal="center"/>
    </xf>
    <xf numFmtId="0" fontId="71" fillId="0" borderId="0" xfId="0" applyFont="1"/>
    <xf numFmtId="0" fontId="72" fillId="0" borderId="0" xfId="0" applyFont="1"/>
    <xf numFmtId="0" fontId="5" fillId="0" borderId="0" xfId="0" applyFont="1" applyAlignment="1">
      <alignment horizontal="center"/>
    </xf>
    <xf numFmtId="0" fontId="36" fillId="0" borderId="0" xfId="0" applyFont="1"/>
    <xf numFmtId="0" fontId="71" fillId="0" borderId="0" xfId="0" applyFont="1" applyAlignment="1">
      <alignment horizontal="center"/>
    </xf>
    <xf numFmtId="0" fontId="70" fillId="0" borderId="8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0" fillId="5" borderId="31" xfId="3" applyFont="1" applyFill="1" applyBorder="1" applyAlignment="1">
      <alignment horizontal="center" vertical="center" textRotation="90" wrapText="1"/>
    </xf>
    <xf numFmtId="0" fontId="20" fillId="5" borderId="97" xfId="3" applyFont="1" applyFill="1" applyBorder="1" applyAlignment="1">
      <alignment horizontal="center" vertical="center" textRotation="90" wrapText="1"/>
    </xf>
    <xf numFmtId="0" fontId="20" fillId="5" borderId="35" xfId="3" applyFont="1" applyFill="1" applyBorder="1" applyAlignment="1">
      <alignment horizontal="center" vertical="center" textRotation="90" wrapText="1"/>
    </xf>
    <xf numFmtId="0" fontId="20" fillId="5" borderId="37" xfId="3" applyFont="1" applyFill="1" applyBorder="1" applyAlignment="1">
      <alignment horizontal="center" vertical="center" textRotation="90" wrapText="1"/>
    </xf>
    <xf numFmtId="166" fontId="18" fillId="0" borderId="97" xfId="3" applyNumberFormat="1" applyFont="1" applyFill="1" applyBorder="1" applyAlignment="1">
      <alignment horizontal="center" vertical="top" wrapText="1"/>
    </xf>
    <xf numFmtId="0" fontId="20" fillId="5" borderId="98" xfId="3" applyFont="1" applyFill="1" applyBorder="1" applyAlignment="1">
      <alignment horizontal="center" vertical="center" textRotation="90" wrapText="1"/>
    </xf>
    <xf numFmtId="166" fontId="18" fillId="0" borderId="35" xfId="3" applyNumberFormat="1" applyFont="1" applyFill="1" applyBorder="1" applyAlignment="1">
      <alignment horizontal="center" vertical="top" wrapText="1"/>
    </xf>
    <xf numFmtId="166" fontId="18" fillId="5" borderId="35" xfId="3" applyNumberFormat="1" applyFont="1" applyFill="1" applyBorder="1" applyAlignment="1">
      <alignment horizontal="center" vertical="top" wrapText="1"/>
    </xf>
    <xf numFmtId="166" fontId="18" fillId="0" borderId="98" xfId="3" applyNumberFormat="1" applyFont="1" applyFill="1" applyBorder="1" applyAlignment="1">
      <alignment horizontal="center" vertical="top" wrapText="1"/>
    </xf>
    <xf numFmtId="0" fontId="21" fillId="5" borderId="98" xfId="3" applyFont="1" applyFill="1" applyBorder="1" applyAlignment="1">
      <alignment horizontal="center" vertical="center" wrapText="1"/>
    </xf>
    <xf numFmtId="166" fontId="18" fillId="5" borderId="98" xfId="3" applyNumberFormat="1" applyFont="1" applyFill="1" applyBorder="1" applyAlignment="1">
      <alignment horizontal="center" vertical="top" wrapText="1"/>
    </xf>
    <xf numFmtId="0" fontId="19" fillId="5" borderId="98" xfId="3" applyFont="1" applyFill="1" applyBorder="1" applyAlignment="1">
      <alignment horizontal="center" vertical="top" wrapText="1"/>
    </xf>
    <xf numFmtId="0" fontId="21" fillId="3" borderId="98" xfId="3" applyFont="1" applyFill="1" applyBorder="1" applyAlignment="1">
      <alignment horizontal="center" vertical="center" wrapText="1"/>
    </xf>
    <xf numFmtId="0" fontId="18" fillId="3" borderId="98" xfId="3" applyFont="1" applyFill="1" applyBorder="1" applyAlignment="1">
      <alignment horizontal="center" vertical="top" wrapText="1"/>
    </xf>
    <xf numFmtId="0" fontId="69" fillId="0" borderId="83" xfId="0" applyFont="1" applyBorder="1" applyAlignment="1">
      <alignment horizontal="center" vertical="center"/>
    </xf>
    <xf numFmtId="0" fontId="74" fillId="0" borderId="0" xfId="0" applyFont="1"/>
    <xf numFmtId="0" fontId="75" fillId="0" borderId="0" xfId="0" applyFont="1"/>
    <xf numFmtId="0" fontId="0" fillId="0" borderId="93" xfId="0" applyBorder="1"/>
    <xf numFmtId="0" fontId="61" fillId="0" borderId="93" xfId="0" applyFont="1" applyBorder="1" applyAlignment="1">
      <alignment horizontal="center" vertical="center" textRotation="90" wrapText="1" readingOrder="2"/>
    </xf>
    <xf numFmtId="0" fontId="5" fillId="0" borderId="0" xfId="1" applyFont="1" applyBorder="1" applyAlignment="1"/>
    <xf numFmtId="0" fontId="59" fillId="7" borderId="109" xfId="0" applyFont="1" applyFill="1" applyBorder="1" applyAlignment="1">
      <alignment horizontal="center" vertical="center" textRotation="90" wrapText="1" shrinkToFit="1" readingOrder="2"/>
    </xf>
    <xf numFmtId="0" fontId="62" fillId="7" borderId="109" xfId="0" applyFont="1" applyFill="1" applyBorder="1" applyAlignment="1">
      <alignment horizontal="center" vertical="center" textRotation="90" wrapText="1" shrinkToFit="1" readingOrder="2"/>
    </xf>
    <xf numFmtId="0" fontId="60" fillId="7" borderId="45" xfId="0" applyFont="1" applyFill="1" applyBorder="1" applyAlignment="1">
      <alignment horizontal="center" vertical="center" textRotation="90" wrapText="1" shrinkToFit="1" readingOrder="2"/>
    </xf>
    <xf numFmtId="0" fontId="59" fillId="7" borderId="45" xfId="0" applyFont="1" applyFill="1" applyBorder="1" applyAlignment="1">
      <alignment horizontal="center" vertical="center" textRotation="90" wrapText="1" shrinkToFit="1" readingOrder="2"/>
    </xf>
    <xf numFmtId="0" fontId="65" fillId="7" borderId="45" xfId="0" applyFont="1" applyFill="1" applyBorder="1" applyAlignment="1">
      <alignment horizontal="center" vertical="center" textRotation="90" wrapText="1" shrinkToFit="1" readingOrder="2"/>
    </xf>
    <xf numFmtId="0" fontId="0" fillId="0" borderId="0" xfId="0" applyAlignment="1">
      <alignment wrapText="1"/>
    </xf>
    <xf numFmtId="0" fontId="57" fillId="7" borderId="45" xfId="1" applyFont="1" applyFill="1" applyBorder="1" applyAlignment="1">
      <alignment horizontal="center" vertical="center" wrapText="1"/>
    </xf>
    <xf numFmtId="0" fontId="66" fillId="29" borderId="110" xfId="50" applyFont="1" applyFill="1" applyBorder="1" applyAlignment="1">
      <alignment horizontal="center" vertical="center" wrapText="1"/>
    </xf>
    <xf numFmtId="0" fontId="9" fillId="0" borderId="111" xfId="50" applyFont="1" applyFill="1" applyBorder="1" applyAlignment="1">
      <alignment horizontal="center" vertical="center"/>
    </xf>
    <xf numFmtId="0" fontId="37" fillId="0" borderId="38" xfId="51" applyBorder="1"/>
    <xf numFmtId="0" fontId="21" fillId="5" borderId="31" xfId="3" applyFont="1" applyFill="1" applyBorder="1" applyAlignment="1">
      <alignment horizontal="center" vertical="center" textRotation="90" wrapText="1"/>
    </xf>
    <xf numFmtId="0" fontId="21" fillId="5" borderId="31" xfId="3" applyFont="1" applyFill="1" applyBorder="1" applyAlignment="1">
      <alignment horizontal="center" vertical="center" wrapText="1"/>
    </xf>
    <xf numFmtId="0" fontId="18" fillId="6" borderId="31" xfId="3" applyFont="1" applyFill="1" applyBorder="1" applyAlignment="1">
      <alignment horizontal="center" vertical="top" wrapText="1"/>
    </xf>
    <xf numFmtId="0" fontId="19" fillId="5" borderId="31" xfId="3" applyFont="1" applyFill="1" applyBorder="1" applyAlignment="1">
      <alignment horizontal="center" vertical="top" wrapText="1"/>
    </xf>
    <xf numFmtId="0" fontId="9" fillId="2" borderId="71" xfId="1" applyFont="1" applyFill="1" applyBorder="1" applyAlignment="1">
      <alignment horizontal="center" vertical="center"/>
    </xf>
    <xf numFmtId="0" fontId="0" fillId="0" borderId="59" xfId="0" applyBorder="1"/>
    <xf numFmtId="0" fontId="9" fillId="2" borderId="21" xfId="1" applyFont="1" applyFill="1" applyBorder="1" applyAlignment="1">
      <alignment horizontal="center" vertical="center"/>
    </xf>
    <xf numFmtId="0" fontId="32" fillId="7" borderId="4" xfId="2" applyFont="1" applyFill="1" applyBorder="1" applyAlignment="1">
      <alignment horizontal="center" vertical="center"/>
    </xf>
    <xf numFmtId="0" fontId="32" fillId="7" borderId="2" xfId="2" applyFont="1" applyFill="1" applyBorder="1" applyAlignment="1">
      <alignment horizontal="center" vertical="center"/>
    </xf>
    <xf numFmtId="0" fontId="32" fillId="7" borderId="3" xfId="2" applyFont="1" applyFill="1" applyBorder="1" applyAlignment="1">
      <alignment horizontal="center" vertical="center"/>
    </xf>
    <xf numFmtId="0" fontId="5" fillId="7" borderId="29" xfId="2" applyFont="1" applyFill="1" applyBorder="1" applyAlignment="1">
      <alignment horizontal="center" vertical="center"/>
    </xf>
    <xf numFmtId="0" fontId="5" fillId="7" borderId="22" xfId="2" applyFont="1" applyFill="1" applyBorder="1" applyAlignment="1">
      <alignment horizontal="center" vertical="center"/>
    </xf>
    <xf numFmtId="0" fontId="37" fillId="7" borderId="18" xfId="2" applyFont="1" applyFill="1" applyBorder="1" applyAlignment="1">
      <alignment horizontal="center" vertical="center"/>
    </xf>
    <xf numFmtId="0" fontId="37" fillId="7" borderId="20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0" fontId="5" fillId="7" borderId="6" xfId="2" applyFont="1" applyFill="1" applyBorder="1" applyAlignment="1">
      <alignment horizontal="center" vertical="center"/>
    </xf>
    <xf numFmtId="0" fontId="32" fillId="7" borderId="19" xfId="2" applyFont="1" applyFill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0" fontId="70" fillId="0" borderId="92" xfId="0" applyFont="1" applyBorder="1" applyAlignment="1">
      <alignment horizontal="center" vertical="center"/>
    </xf>
    <xf numFmtId="0" fontId="70" fillId="0" borderId="49" xfId="0" applyFont="1" applyBorder="1" applyAlignment="1">
      <alignment horizontal="center" vertical="center"/>
    </xf>
    <xf numFmtId="0" fontId="70" fillId="0" borderId="91" xfId="0" applyFont="1" applyBorder="1" applyAlignment="1">
      <alignment horizontal="center" vertical="center"/>
    </xf>
    <xf numFmtId="0" fontId="70" fillId="0" borderId="90" xfId="0" applyFont="1" applyBorder="1" applyAlignment="1">
      <alignment horizontal="center" vertical="center"/>
    </xf>
    <xf numFmtId="0" fontId="70" fillId="0" borderId="89" xfId="0" applyFont="1" applyBorder="1" applyAlignment="1">
      <alignment horizontal="center" vertical="center"/>
    </xf>
    <xf numFmtId="0" fontId="70" fillId="0" borderId="88" xfId="0" applyFont="1" applyBorder="1" applyAlignment="1">
      <alignment horizontal="center" vertical="center"/>
    </xf>
    <xf numFmtId="0" fontId="69" fillId="0" borderId="83" xfId="0" applyFont="1" applyBorder="1" applyAlignment="1">
      <alignment horizontal="center" vertical="center"/>
    </xf>
    <xf numFmtId="0" fontId="70" fillId="0" borderId="83" xfId="0" applyFont="1" applyBorder="1" applyAlignment="1">
      <alignment horizontal="center" vertical="center"/>
    </xf>
    <xf numFmtId="0" fontId="70" fillId="0" borderId="83" xfId="0" applyFont="1" applyBorder="1" applyAlignment="1">
      <alignment horizontal="center" vertical="center" textRotation="255"/>
    </xf>
    <xf numFmtId="0" fontId="69" fillId="0" borderId="90" xfId="0" applyFont="1" applyBorder="1" applyAlignment="1">
      <alignment horizontal="center" vertical="center"/>
    </xf>
    <xf numFmtId="0" fontId="71" fillId="0" borderId="0" xfId="0" applyFont="1" applyAlignment="1">
      <alignment horizontal="center"/>
    </xf>
    <xf numFmtId="0" fontId="70" fillId="0" borderId="85" xfId="0" applyFont="1" applyBorder="1" applyAlignment="1">
      <alignment horizontal="center" vertical="center"/>
    </xf>
    <xf numFmtId="0" fontId="69" fillId="0" borderId="84" xfId="0" applyFont="1" applyBorder="1" applyAlignment="1">
      <alignment horizontal="center" vertical="center"/>
    </xf>
    <xf numFmtId="0" fontId="73" fillId="0" borderId="92" xfId="0" applyFont="1" applyBorder="1" applyAlignment="1">
      <alignment horizontal="center" vertical="center"/>
    </xf>
    <xf numFmtId="0" fontId="69" fillId="0" borderId="49" xfId="0" applyFont="1" applyBorder="1" applyAlignment="1">
      <alignment horizontal="center" vertical="center"/>
    </xf>
    <xf numFmtId="0" fontId="69" fillId="0" borderId="91" xfId="0" applyFont="1" applyBorder="1" applyAlignment="1">
      <alignment horizontal="center" vertical="center"/>
    </xf>
    <xf numFmtId="0" fontId="69" fillId="0" borderId="89" xfId="0" applyFont="1" applyBorder="1" applyAlignment="1">
      <alignment horizontal="center" vertical="center"/>
    </xf>
    <xf numFmtId="0" fontId="69" fillId="0" borderId="88" xfId="0" applyFont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top" wrapText="1"/>
    </xf>
    <xf numFmtId="0" fontId="14" fillId="5" borderId="31" xfId="0" applyFont="1" applyFill="1" applyBorder="1" applyAlignment="1">
      <alignment horizontal="center" vertical="top" wrapText="1"/>
    </xf>
    <xf numFmtId="0" fontId="35" fillId="3" borderId="32" xfId="0" applyFont="1" applyFill="1" applyBorder="1" applyAlignment="1">
      <alignment horizontal="center" vertical="center" textRotation="90" wrapText="1"/>
    </xf>
    <xf numFmtId="0" fontId="35" fillId="3" borderId="34" xfId="0" applyFont="1" applyFill="1" applyBorder="1" applyAlignment="1">
      <alignment horizontal="center" vertical="center" textRotation="90" wrapText="1"/>
    </xf>
    <xf numFmtId="0" fontId="15" fillId="5" borderId="32" xfId="0" applyFont="1" applyFill="1" applyBorder="1" applyAlignment="1">
      <alignment horizontal="center" vertical="center" wrapText="1"/>
    </xf>
    <xf numFmtId="0" fontId="15" fillId="5" borderId="3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82" xfId="0" applyFont="1" applyBorder="1" applyAlignment="1">
      <alignment horizontal="center"/>
    </xf>
    <xf numFmtId="0" fontId="23" fillId="0" borderId="8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7" fillId="7" borderId="45" xfId="2" applyFont="1" applyFill="1" applyBorder="1" applyAlignment="1">
      <alignment horizontal="center" vertical="center"/>
    </xf>
    <xf numFmtId="0" fontId="37" fillId="7" borderId="70" xfId="2" applyFont="1" applyFill="1" applyBorder="1" applyAlignment="1">
      <alignment horizontal="center" vertical="center"/>
    </xf>
    <xf numFmtId="0" fontId="5" fillId="7" borderId="45" xfId="2" applyFont="1" applyFill="1" applyBorder="1" applyAlignment="1">
      <alignment horizontal="center" vertical="center"/>
    </xf>
    <xf numFmtId="0" fontId="5" fillId="7" borderId="70" xfId="2" applyFont="1" applyFill="1" applyBorder="1" applyAlignment="1">
      <alignment horizontal="center" vertical="center"/>
    </xf>
    <xf numFmtId="0" fontId="62" fillId="7" borderId="45" xfId="0" applyFont="1" applyFill="1" applyBorder="1" applyAlignment="1">
      <alignment horizontal="center" vertical="center" wrapText="1" readingOrder="2"/>
    </xf>
    <xf numFmtId="0" fontId="64" fillId="7" borderId="45" xfId="0" applyFont="1" applyFill="1" applyBorder="1" applyAlignment="1">
      <alignment horizontal="center" vertical="center" wrapText="1" readingOrder="2"/>
    </xf>
    <xf numFmtId="0" fontId="64" fillId="7" borderId="48" xfId="0" applyFont="1" applyFill="1" applyBorder="1" applyAlignment="1">
      <alignment horizontal="center" vertical="center" wrapText="1" readingOrder="2"/>
    </xf>
    <xf numFmtId="0" fontId="64" fillId="7" borderId="3" xfId="0" applyFont="1" applyFill="1" applyBorder="1" applyAlignment="1">
      <alignment horizontal="center" vertical="center" wrapText="1" readingOrder="2"/>
    </xf>
    <xf numFmtId="0" fontId="32" fillId="7" borderId="48" xfId="2" applyFont="1" applyFill="1" applyBorder="1" applyAlignment="1">
      <alignment horizontal="center" vertical="center"/>
    </xf>
    <xf numFmtId="0" fontId="5" fillId="7" borderId="29" xfId="2" applyFont="1" applyFill="1" applyBorder="1" applyAlignment="1">
      <alignment horizontal="center"/>
    </xf>
    <xf numFmtId="0" fontId="5" fillId="7" borderId="22" xfId="2" applyFont="1" applyFill="1" applyBorder="1" applyAlignment="1">
      <alignment horizontal="center"/>
    </xf>
    <xf numFmtId="0" fontId="5" fillId="7" borderId="19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3" xfId="2" applyFont="1" applyFill="1" applyBorder="1" applyAlignment="1">
      <alignment horizontal="center" vertical="center"/>
    </xf>
    <xf numFmtId="0" fontId="5" fillId="7" borderId="18" xfId="2" applyFont="1" applyFill="1" applyBorder="1" applyAlignment="1">
      <alignment horizontal="center" vertical="center"/>
    </xf>
    <xf numFmtId="0" fontId="5" fillId="7" borderId="20" xfId="2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5" fillId="7" borderId="48" xfId="2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5" fillId="7" borderId="38" xfId="2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 vertical="center"/>
    </xf>
    <xf numFmtId="0" fontId="10" fillId="7" borderId="68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68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right" vertical="center"/>
    </xf>
    <xf numFmtId="0" fontId="10" fillId="7" borderId="68" xfId="1" applyFont="1" applyFill="1" applyBorder="1" applyAlignment="1">
      <alignment horizontal="right" vertical="center"/>
    </xf>
    <xf numFmtId="0" fontId="9" fillId="2" borderId="38" xfId="1" applyFont="1" applyFill="1" applyBorder="1" applyAlignment="1">
      <alignment horizontal="center"/>
    </xf>
    <xf numFmtId="0" fontId="9" fillId="2" borderId="22" xfId="1" applyFont="1" applyFill="1" applyBorder="1" applyAlignment="1">
      <alignment horizontal="center"/>
    </xf>
    <xf numFmtId="0" fontId="77" fillId="2" borderId="18" xfId="2" applyFont="1" applyFill="1" applyBorder="1" applyAlignment="1">
      <alignment horizontal="center" vertical="center"/>
    </xf>
    <xf numFmtId="0" fontId="77" fillId="2" borderId="95" xfId="2" applyFont="1" applyFill="1" applyBorder="1" applyAlignment="1">
      <alignment horizontal="center" vertical="center"/>
    </xf>
    <xf numFmtId="0" fontId="77" fillId="2" borderId="94" xfId="2" applyFont="1" applyFill="1" applyBorder="1" applyAlignment="1">
      <alignment horizontal="center" vertical="center"/>
    </xf>
    <xf numFmtId="0" fontId="10" fillId="2" borderId="108" xfId="1" applyFont="1" applyFill="1" applyBorder="1" applyAlignment="1">
      <alignment horizontal="center" vertical="center"/>
    </xf>
    <xf numFmtId="0" fontId="10" fillId="2" borderId="112" xfId="1" applyFont="1" applyFill="1" applyBorder="1" applyAlignment="1">
      <alignment horizontal="center" vertical="center"/>
    </xf>
    <xf numFmtId="0" fontId="10" fillId="2" borderId="96" xfId="1" applyFont="1" applyFill="1" applyBorder="1" applyAlignment="1">
      <alignment horizontal="center" vertical="center"/>
    </xf>
    <xf numFmtId="0" fontId="5" fillId="2" borderId="113" xfId="2" applyFont="1" applyFill="1" applyBorder="1" applyAlignment="1">
      <alignment horizontal="center"/>
    </xf>
    <xf numFmtId="0" fontId="10" fillId="2" borderId="113" xfId="1" applyFont="1" applyFill="1" applyBorder="1" applyAlignment="1">
      <alignment horizontal="center" vertical="center" wrapText="1"/>
    </xf>
    <xf numFmtId="0" fontId="5" fillId="2" borderId="113" xfId="2" applyFont="1" applyFill="1" applyBorder="1" applyAlignment="1">
      <alignment horizontal="center" vertical="center" wrapText="1"/>
    </xf>
    <xf numFmtId="0" fontId="10" fillId="2" borderId="113" xfId="1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top" wrapText="1"/>
    </xf>
    <xf numFmtId="0" fontId="20" fillId="5" borderId="100" xfId="3" applyFont="1" applyFill="1" applyBorder="1" applyAlignment="1">
      <alignment horizontal="center" vertical="center" textRotation="90" wrapText="1"/>
    </xf>
    <xf numFmtId="0" fontId="20" fillId="5" borderId="97" xfId="3" applyFont="1" applyFill="1" applyBorder="1" applyAlignment="1">
      <alignment horizontal="center" vertical="center" textRotation="90" wrapText="1"/>
    </xf>
    <xf numFmtId="0" fontId="20" fillId="5" borderId="99" xfId="3" applyFont="1" applyFill="1" applyBorder="1" applyAlignment="1">
      <alignment horizontal="center" vertical="center" textRotation="90" wrapText="1"/>
    </xf>
    <xf numFmtId="0" fontId="20" fillId="5" borderId="107" xfId="3" applyFont="1" applyFill="1" applyBorder="1" applyAlignment="1">
      <alignment horizontal="center" vertical="center" textRotation="90" wrapText="1"/>
    </xf>
    <xf numFmtId="0" fontId="11" fillId="5" borderId="98" xfId="3" applyFont="1" applyFill="1" applyBorder="1" applyAlignment="1">
      <alignment horizontal="center" vertical="center" wrapText="1"/>
    </xf>
    <xf numFmtId="0" fontId="21" fillId="5" borderId="104" xfId="3" applyFont="1" applyFill="1" applyBorder="1" applyAlignment="1">
      <alignment horizontal="center" vertical="top" wrapText="1"/>
    </xf>
    <xf numFmtId="0" fontId="21" fillId="5" borderId="0" xfId="3" applyFont="1" applyFill="1" applyBorder="1" applyAlignment="1">
      <alignment horizontal="center" vertical="top" wrapText="1"/>
    </xf>
    <xf numFmtId="0" fontId="21" fillId="5" borderId="105" xfId="3" applyFont="1" applyFill="1" applyBorder="1" applyAlignment="1">
      <alignment horizontal="center" vertical="top" wrapText="1"/>
    </xf>
    <xf numFmtId="0" fontId="21" fillId="5" borderId="35" xfId="3" applyFont="1" applyFill="1" applyBorder="1" applyAlignment="1">
      <alignment horizontal="center" vertical="top" wrapText="1"/>
    </xf>
    <xf numFmtId="0" fontId="21" fillId="5" borderId="36" xfId="3" applyFont="1" applyFill="1" applyBorder="1" applyAlignment="1">
      <alignment horizontal="center" vertical="top" wrapText="1"/>
    </xf>
    <xf numFmtId="0" fontId="21" fillId="5" borderId="98" xfId="3" applyFont="1" applyFill="1" applyBorder="1" applyAlignment="1">
      <alignment horizontal="center" vertical="top" wrapText="1"/>
    </xf>
    <xf numFmtId="0" fontId="21" fillId="5" borderId="103" xfId="3" applyFont="1" applyFill="1" applyBorder="1" applyAlignment="1">
      <alignment horizontal="center" vertical="top" wrapText="1"/>
    </xf>
    <xf numFmtId="0" fontId="21" fillId="5" borderId="106" xfId="3" applyFont="1" applyFill="1" applyBorder="1" applyAlignment="1">
      <alignment horizontal="center" vertical="top" wrapText="1"/>
    </xf>
    <xf numFmtId="0" fontId="21" fillId="5" borderId="99" xfId="3" applyFont="1" applyFill="1" applyBorder="1" applyAlignment="1">
      <alignment horizontal="center" vertical="top" wrapText="1"/>
    </xf>
    <xf numFmtId="0" fontId="21" fillId="5" borderId="101" xfId="3" applyFont="1" applyFill="1" applyBorder="1" applyAlignment="1">
      <alignment horizontal="center" vertical="top" wrapText="1"/>
    </xf>
    <xf numFmtId="0" fontId="21" fillId="5" borderId="102" xfId="3" applyFont="1" applyFill="1" applyBorder="1" applyAlignment="1">
      <alignment horizontal="center" vertical="top" wrapText="1"/>
    </xf>
    <xf numFmtId="0" fontId="21" fillId="5" borderId="37" xfId="3" applyFont="1" applyFill="1" applyBorder="1" applyAlignment="1">
      <alignment horizontal="center" vertical="top" wrapText="1"/>
    </xf>
    <xf numFmtId="0" fontId="21" fillId="5" borderId="32" xfId="3" applyFont="1" applyFill="1" applyBorder="1" applyAlignment="1">
      <alignment horizontal="center" vertical="top" textRotation="90" wrapText="1"/>
    </xf>
    <xf numFmtId="0" fontId="21" fillId="5" borderId="97" xfId="3" applyFont="1" applyFill="1" applyBorder="1" applyAlignment="1">
      <alignment horizontal="center" vertical="top" textRotation="90" wrapText="1"/>
    </xf>
    <xf numFmtId="0" fontId="32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25" fillId="2" borderId="4" xfId="1" applyFont="1" applyFill="1" applyBorder="1" applyAlignment="1">
      <alignment horizontal="center" vertical="center"/>
    </xf>
    <xf numFmtId="0" fontId="25" fillId="2" borderId="2" xfId="1" applyFont="1" applyFill="1" applyBorder="1" applyAlignment="1">
      <alignment horizontal="center" vertical="center"/>
    </xf>
    <xf numFmtId="0" fontId="25" fillId="2" borderId="3" xfId="1" applyFont="1" applyFill="1" applyBorder="1" applyAlignment="1">
      <alignment horizontal="center" vertical="center"/>
    </xf>
    <xf numFmtId="0" fontId="25" fillId="2" borderId="14" xfId="1" applyFont="1" applyFill="1" applyBorder="1" applyAlignment="1">
      <alignment horizontal="center"/>
    </xf>
    <xf numFmtId="0" fontId="25" fillId="2" borderId="15" xfId="1" applyFont="1" applyFill="1" applyBorder="1" applyAlignment="1">
      <alignment horizontal="center"/>
    </xf>
    <xf numFmtId="0" fontId="31" fillId="0" borderId="0" xfId="1" applyFont="1" applyAlignment="1">
      <alignment horizontal="center"/>
    </xf>
    <xf numFmtId="0" fontId="25" fillId="2" borderId="1" xfId="1" applyFont="1" applyFill="1" applyBorder="1" applyAlignment="1">
      <alignment horizontal="center" vertical="center"/>
    </xf>
    <xf numFmtId="0" fontId="25" fillId="2" borderId="6" xfId="1" applyFont="1" applyFill="1" applyBorder="1" applyAlignment="1">
      <alignment horizontal="center" vertical="center"/>
    </xf>
    <xf numFmtId="0" fontId="25" fillId="7" borderId="42" xfId="1" applyFont="1" applyFill="1" applyBorder="1" applyAlignment="1">
      <alignment horizontal="center" vertical="center"/>
    </xf>
    <xf numFmtId="0" fontId="25" fillId="7" borderId="43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25" fillId="7" borderId="10" xfId="1" applyFont="1" applyFill="1" applyBorder="1" applyAlignment="1">
      <alignment horizontal="center" vertical="center"/>
    </xf>
    <xf numFmtId="0" fontId="25" fillId="7" borderId="8" xfId="1" applyFont="1" applyFill="1" applyBorder="1" applyAlignment="1">
      <alignment horizontal="center" vertical="center"/>
    </xf>
    <xf numFmtId="0" fontId="25" fillId="7" borderId="41" xfId="1" applyFont="1" applyFill="1" applyBorder="1" applyAlignment="1">
      <alignment horizontal="center" vertical="center"/>
    </xf>
    <xf numFmtId="0" fontId="25" fillId="7" borderId="44" xfId="1" applyFont="1" applyFill="1" applyBorder="1" applyAlignment="1">
      <alignment horizontal="center" vertical="center"/>
    </xf>
    <xf numFmtId="0" fontId="25" fillId="7" borderId="5" xfId="1" applyFont="1" applyFill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25" fillId="7" borderId="27" xfId="1" applyFont="1" applyFill="1" applyBorder="1" applyAlignment="1">
      <alignment horizontal="center" vertical="center"/>
    </xf>
    <xf numFmtId="0" fontId="25" fillId="7" borderId="19" xfId="1" applyFont="1" applyFill="1" applyBorder="1" applyAlignment="1">
      <alignment horizontal="center" vertical="center" wrapText="1"/>
    </xf>
    <xf numFmtId="0" fontId="8" fillId="7" borderId="23" xfId="1" applyFont="1" applyFill="1" applyBorder="1" applyAlignment="1">
      <alignment horizontal="center" vertical="center"/>
    </xf>
    <xf numFmtId="0" fontId="8" fillId="7" borderId="24" xfId="1" applyFont="1" applyFill="1" applyBorder="1" applyAlignment="1">
      <alignment horizontal="center" vertical="center"/>
    </xf>
    <xf numFmtId="0" fontId="25" fillId="7" borderId="1" xfId="1" applyFont="1" applyFill="1" applyBorder="1" applyAlignment="1">
      <alignment horizontal="center" vertical="center"/>
    </xf>
    <xf numFmtId="0" fontId="25" fillId="7" borderId="6" xfId="1" applyFont="1" applyFill="1" applyBorder="1" applyAlignment="1">
      <alignment horizontal="center" vertical="center"/>
    </xf>
    <xf numFmtId="0" fontId="25" fillId="7" borderId="3" xfId="1" applyFont="1" applyFill="1" applyBorder="1" applyAlignment="1">
      <alignment horizontal="center" vertical="center" wrapText="1"/>
    </xf>
    <xf numFmtId="0" fontId="76" fillId="5" borderId="31" xfId="3" applyFont="1" applyFill="1" applyBorder="1" applyAlignment="1">
      <alignment horizontal="center" vertical="top" wrapText="1"/>
    </xf>
    <xf numFmtId="0" fontId="0" fillId="0" borderId="81" xfId="51" applyFont="1" applyBorder="1"/>
    <xf numFmtId="0" fontId="70" fillId="0" borderId="83" xfId="0" applyFont="1" applyBorder="1" applyAlignment="1">
      <alignment horizontal="center" vertical="center" wrapText="1"/>
    </xf>
  </cellXfs>
  <cellStyles count="52">
    <cellStyle name="20% - تمييز1 2" xfId="9" xr:uid="{00000000-0005-0000-0000-000000000000}"/>
    <cellStyle name="20% - تمييز2 2" xfId="10" xr:uid="{00000000-0005-0000-0000-000001000000}"/>
    <cellStyle name="20% - تمييز3 2" xfId="11" xr:uid="{00000000-0005-0000-0000-000002000000}"/>
    <cellStyle name="20% - تمييز4 2" xfId="12" xr:uid="{00000000-0005-0000-0000-000003000000}"/>
    <cellStyle name="20% - تمييز5 2" xfId="13" xr:uid="{00000000-0005-0000-0000-000004000000}"/>
    <cellStyle name="20% - تمييز6 2" xfId="14" xr:uid="{00000000-0005-0000-0000-000005000000}"/>
    <cellStyle name="40% - تمييز1 2" xfId="15" xr:uid="{00000000-0005-0000-0000-000006000000}"/>
    <cellStyle name="40% - تمييز2 2" xfId="16" xr:uid="{00000000-0005-0000-0000-000007000000}"/>
    <cellStyle name="40% - تمييز3 2" xfId="17" xr:uid="{00000000-0005-0000-0000-000008000000}"/>
    <cellStyle name="40% - تمييز4 2" xfId="18" xr:uid="{00000000-0005-0000-0000-000009000000}"/>
    <cellStyle name="40% - تمييز5 2" xfId="19" xr:uid="{00000000-0005-0000-0000-00000A000000}"/>
    <cellStyle name="40% - تمييز6 2" xfId="20" xr:uid="{00000000-0005-0000-0000-00000B000000}"/>
    <cellStyle name="60% - تمييز1 2" xfId="21" xr:uid="{00000000-0005-0000-0000-00000C000000}"/>
    <cellStyle name="60% - تمييز2 2" xfId="22" xr:uid="{00000000-0005-0000-0000-00000D000000}"/>
    <cellStyle name="60% - تمييز3 2" xfId="23" xr:uid="{00000000-0005-0000-0000-00000E000000}"/>
    <cellStyle name="60% - تمييز4 2" xfId="24" xr:uid="{00000000-0005-0000-0000-00000F000000}"/>
    <cellStyle name="60% - تمييز5 2" xfId="25" xr:uid="{00000000-0005-0000-0000-000010000000}"/>
    <cellStyle name="60% - تمييز6 2" xfId="26" xr:uid="{00000000-0005-0000-0000-000011000000}"/>
    <cellStyle name="Comma" xfId="7" builtinId="3"/>
    <cellStyle name="Normal 2" xfId="1" xr:uid="{00000000-0005-0000-0000-000014000000}"/>
    <cellStyle name="Normal 2 2" xfId="2" xr:uid="{00000000-0005-0000-0000-000015000000}"/>
    <cellStyle name="Normal 2 2 2" xfId="5" xr:uid="{00000000-0005-0000-0000-000016000000}"/>
    <cellStyle name="Normal 2 2 3" xfId="8" xr:uid="{00000000-0005-0000-0000-000017000000}"/>
    <cellStyle name="Normal 2 2 4" xfId="50" xr:uid="{00000000-0005-0000-0000-000018000000}"/>
    <cellStyle name="Normal 2 3" xfId="4" xr:uid="{00000000-0005-0000-0000-000019000000}"/>
    <cellStyle name="Normal 2 4" xfId="6" xr:uid="{00000000-0005-0000-0000-00001A000000}"/>
    <cellStyle name="Normal 2 5" xfId="51" xr:uid="{00000000-0005-0000-0000-00001B000000}"/>
    <cellStyle name="Normal 3" xfId="3" xr:uid="{00000000-0005-0000-0000-00001C000000}"/>
    <cellStyle name="إخراج 2" xfId="27" xr:uid="{00000000-0005-0000-0000-00001D000000}"/>
    <cellStyle name="إدخال 2" xfId="28" xr:uid="{00000000-0005-0000-0000-00001E000000}"/>
    <cellStyle name="الإجمالي 2" xfId="29" xr:uid="{00000000-0005-0000-0000-00001F000000}"/>
    <cellStyle name="تمييز1 2" xfId="30" xr:uid="{00000000-0005-0000-0000-000020000000}"/>
    <cellStyle name="تمييز2 2" xfId="31" xr:uid="{00000000-0005-0000-0000-000021000000}"/>
    <cellStyle name="تمييز3 2" xfId="32" xr:uid="{00000000-0005-0000-0000-000022000000}"/>
    <cellStyle name="تمييز4 2" xfId="33" xr:uid="{00000000-0005-0000-0000-000023000000}"/>
    <cellStyle name="تمييز5 2" xfId="34" xr:uid="{00000000-0005-0000-0000-000024000000}"/>
    <cellStyle name="تمييز6 2" xfId="35" xr:uid="{00000000-0005-0000-0000-000025000000}"/>
    <cellStyle name="جيد 2" xfId="36" xr:uid="{00000000-0005-0000-0000-000026000000}"/>
    <cellStyle name="حساب 2" xfId="37" xr:uid="{00000000-0005-0000-0000-000027000000}"/>
    <cellStyle name="خلية تدقيق 2" xfId="38" xr:uid="{00000000-0005-0000-0000-000028000000}"/>
    <cellStyle name="خلية مرتبطة 2" xfId="39" xr:uid="{00000000-0005-0000-0000-000029000000}"/>
    <cellStyle name="سيئ 2" xfId="40" xr:uid="{00000000-0005-0000-0000-00002A000000}"/>
    <cellStyle name="عادي" xfId="0" builtinId="0"/>
    <cellStyle name="عنوان 1 2" xfId="42" xr:uid="{00000000-0005-0000-0000-00002B000000}"/>
    <cellStyle name="عنوان 2 2" xfId="43" xr:uid="{00000000-0005-0000-0000-00002C000000}"/>
    <cellStyle name="عنوان 3 2" xfId="44" xr:uid="{00000000-0005-0000-0000-00002D000000}"/>
    <cellStyle name="عنوان 4 2" xfId="45" xr:uid="{00000000-0005-0000-0000-00002E000000}"/>
    <cellStyle name="عنوان 5" xfId="41" xr:uid="{00000000-0005-0000-0000-00002F000000}"/>
    <cellStyle name="محايد 2" xfId="46" xr:uid="{00000000-0005-0000-0000-000030000000}"/>
    <cellStyle name="ملاحظة 2" xfId="47" xr:uid="{00000000-0005-0000-0000-000031000000}"/>
    <cellStyle name="نص تحذير 2" xfId="48" xr:uid="{00000000-0005-0000-0000-000032000000}"/>
    <cellStyle name="نص توضيحي 2" xfId="49" xr:uid="{00000000-0005-0000-0000-000033000000}"/>
  </cellStyles>
  <dxfs count="0"/>
  <tableStyles count="1" defaultTableStyle="TableStyleMedium2" defaultPivotStyle="PivotStyleMedium9">
    <tableStyle name="نمط الجدول 1" pivot="0" count="0" xr9:uid="{00000000-0011-0000-FFFF-FFFF00000000}"/>
  </tableStyles>
  <colors>
    <mruColors>
      <color rgb="FFCFF7A7"/>
      <color rgb="FFB8E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503801</xdr:colOff>
      <xdr:row>4</xdr:row>
      <xdr:rowOff>107057</xdr:rowOff>
    </xdr:from>
    <xdr:to>
      <xdr:col>23</xdr:col>
      <xdr:colOff>513849</xdr:colOff>
      <xdr:row>5</xdr:row>
      <xdr:rowOff>170032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DCE0D311-324B-480F-A9F5-693CAB562180}"/>
            </a:ext>
          </a:extLst>
        </xdr:cNvPr>
        <xdr:cNvSpPr txBox="1"/>
      </xdr:nvSpPr>
      <xdr:spPr>
        <a:xfrm>
          <a:off x="11277274145" y="808899"/>
          <a:ext cx="9660377" cy="351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حكومي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أهلي في مدرسة: ................... 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بمديرية/.............. للعام الدراسي 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</a:t>
          </a:r>
          <a:endParaRPr lang="en-US" sz="1400"/>
        </a:p>
      </xdr:txBody>
    </xdr:sp>
    <xdr:clientData/>
  </xdr:twoCellAnchor>
  <xdr:twoCellAnchor>
    <xdr:from>
      <xdr:col>5</xdr:col>
      <xdr:colOff>0</xdr:colOff>
      <xdr:row>1</xdr:row>
      <xdr:rowOff>142875</xdr:rowOff>
    </xdr:from>
    <xdr:to>
      <xdr:col>7</xdr:col>
      <xdr:colOff>626490</xdr:colOff>
      <xdr:row>5</xdr:row>
      <xdr:rowOff>4512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C2BAA27C-E8BE-452E-A809-5AE783D395D6}"/>
            </a:ext>
          </a:extLst>
        </xdr:cNvPr>
        <xdr:cNvSpPr txBox="1">
          <a:spLocks noChangeArrowheads="1"/>
        </xdr:cNvSpPr>
      </xdr:nvSpPr>
      <xdr:spPr bwMode="auto">
        <a:xfrm>
          <a:off x="11288190451" y="318336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5</xdr:col>
      <xdr:colOff>401764</xdr:colOff>
      <xdr:row>1</xdr:row>
      <xdr:rowOff>0</xdr:rowOff>
    </xdr:from>
    <xdr:to>
      <xdr:col>7</xdr:col>
      <xdr:colOff>192164</xdr:colOff>
      <xdr:row>2</xdr:row>
      <xdr:rowOff>11465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23DC2C8-A509-47BE-B56D-1ED92C49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8624777" y="175461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235371</xdr:colOff>
      <xdr:row>0</xdr:row>
      <xdr:rowOff>121939</xdr:rowOff>
    </xdr:from>
    <xdr:to>
      <xdr:col>17</xdr:col>
      <xdr:colOff>172979</xdr:colOff>
      <xdr:row>4</xdr:row>
      <xdr:rowOff>28851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3BC9770-7FD7-48BD-A8EC-36559F69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81750870" y="121939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503800</xdr:colOff>
      <xdr:row>4</xdr:row>
      <xdr:rowOff>107057</xdr:rowOff>
    </xdr:from>
    <xdr:to>
      <xdr:col>23</xdr:col>
      <xdr:colOff>100264</xdr:colOff>
      <xdr:row>5</xdr:row>
      <xdr:rowOff>170032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1879A3DB-0FE7-468F-B98B-1D3A96371F1A}"/>
            </a:ext>
          </a:extLst>
        </xdr:cNvPr>
        <xdr:cNvSpPr txBox="1"/>
      </xdr:nvSpPr>
      <xdr:spPr>
        <a:xfrm>
          <a:off x="11277687730" y="808899"/>
          <a:ext cx="9246793" cy="351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حكومي 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مدرسة  .............................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بمديرية/.............. للعام الدراسي 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</a:t>
          </a:r>
          <a:endParaRPr lang="en-US" sz="1400"/>
        </a:p>
      </xdr:txBody>
    </xdr:sp>
    <xdr:clientData/>
  </xdr:twoCellAnchor>
  <xdr:twoCellAnchor>
    <xdr:from>
      <xdr:col>5</xdr:col>
      <xdr:colOff>0</xdr:colOff>
      <xdr:row>1</xdr:row>
      <xdr:rowOff>142875</xdr:rowOff>
    </xdr:from>
    <xdr:to>
      <xdr:col>7</xdr:col>
      <xdr:colOff>626490</xdr:colOff>
      <xdr:row>5</xdr:row>
      <xdr:rowOff>4512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AB5E53B-1B03-4D1B-B166-043000DAD975}"/>
            </a:ext>
          </a:extLst>
        </xdr:cNvPr>
        <xdr:cNvSpPr txBox="1">
          <a:spLocks noChangeArrowheads="1"/>
        </xdr:cNvSpPr>
      </xdr:nvSpPr>
      <xdr:spPr bwMode="auto">
        <a:xfrm>
          <a:off x="11230720110" y="323850"/>
          <a:ext cx="1998090" cy="69031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5</xdr:col>
      <xdr:colOff>401764</xdr:colOff>
      <xdr:row>1</xdr:row>
      <xdr:rowOff>0</xdr:rowOff>
    </xdr:from>
    <xdr:to>
      <xdr:col>7</xdr:col>
      <xdr:colOff>192164</xdr:colOff>
      <xdr:row>2</xdr:row>
      <xdr:rowOff>11465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21DCA014-ACC1-4585-9235-5D916A047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154436" y="180975"/>
          <a:ext cx="1162000" cy="19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235371</xdr:colOff>
      <xdr:row>0</xdr:row>
      <xdr:rowOff>121939</xdr:rowOff>
    </xdr:from>
    <xdr:to>
      <xdr:col>17</xdr:col>
      <xdr:colOff>172979</xdr:colOff>
      <xdr:row>4</xdr:row>
      <xdr:rowOff>28851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0DBE4BA-C2B2-43B5-89F3-D5C4D98F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4315621" y="121939"/>
          <a:ext cx="1309208" cy="630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593067</xdr:colOff>
      <xdr:row>4</xdr:row>
      <xdr:rowOff>107057</xdr:rowOff>
    </xdr:from>
    <xdr:to>
      <xdr:col>21</xdr:col>
      <xdr:colOff>510100</xdr:colOff>
      <xdr:row>5</xdr:row>
      <xdr:rowOff>107830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1B7920DD-D469-466E-A1D3-98644987BCD3}"/>
            </a:ext>
          </a:extLst>
        </xdr:cNvPr>
        <xdr:cNvSpPr txBox="1"/>
      </xdr:nvSpPr>
      <xdr:spPr>
        <a:xfrm>
          <a:off x="11174183957" y="825925"/>
          <a:ext cx="8795051" cy="288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اهلي 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مدرسة ..................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بمديرية/.............. للعام الدراسي   20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ئ</a:t>
          </a:r>
          <a:endParaRPr lang="en-US" sz="1400"/>
        </a:p>
      </xdr:txBody>
    </xdr:sp>
    <xdr:clientData/>
  </xdr:twoCellAnchor>
  <xdr:twoCellAnchor>
    <xdr:from>
      <xdr:col>5</xdr:col>
      <xdr:colOff>287548</xdr:colOff>
      <xdr:row>0</xdr:row>
      <xdr:rowOff>142875</xdr:rowOff>
    </xdr:from>
    <xdr:to>
      <xdr:col>8</xdr:col>
      <xdr:colOff>243883</xdr:colOff>
      <xdr:row>4</xdr:row>
      <xdr:rowOff>100282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36214EAF-AFB1-420D-B9D4-6DF35D3F8DEF}"/>
            </a:ext>
          </a:extLst>
        </xdr:cNvPr>
        <xdr:cNvSpPr txBox="1">
          <a:spLocks noChangeArrowheads="1"/>
        </xdr:cNvSpPr>
      </xdr:nvSpPr>
      <xdr:spPr bwMode="auto">
        <a:xfrm>
          <a:off x="11183328192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6</xdr:col>
      <xdr:colOff>6388</xdr:colOff>
      <xdr:row>0</xdr:row>
      <xdr:rowOff>0</xdr:rowOff>
    </xdr:from>
    <xdr:to>
      <xdr:col>7</xdr:col>
      <xdr:colOff>492482</xdr:colOff>
      <xdr:row>1</xdr:row>
      <xdr:rowOff>7208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640E6C10-CAEB-46A8-9B5A-4004FFEE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3762518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250034</xdr:colOff>
      <xdr:row>0</xdr:row>
      <xdr:rowOff>47924</xdr:rowOff>
    </xdr:from>
    <xdr:to>
      <xdr:col>17</xdr:col>
      <xdr:colOff>200411</xdr:colOff>
      <xdr:row>3</xdr:row>
      <xdr:rowOff>117527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3731CA14-A372-4680-8FB0-1C6B0056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77225344" y="47924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399815</xdr:colOff>
      <xdr:row>0</xdr:row>
      <xdr:rowOff>142875</xdr:rowOff>
    </xdr:from>
    <xdr:to>
      <xdr:col>15</xdr:col>
      <xdr:colOff>358813</xdr:colOff>
      <xdr:row>4</xdr:row>
      <xdr:rowOff>113594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29C1E0C-7F60-4AE1-9AAA-16CAFE126347}"/>
            </a:ext>
          </a:extLst>
        </xdr:cNvPr>
        <xdr:cNvSpPr txBox="1">
          <a:spLocks noChangeArrowheads="1"/>
        </xdr:cNvSpPr>
      </xdr:nvSpPr>
      <xdr:spPr bwMode="auto">
        <a:xfrm>
          <a:off x="11163905446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13</xdr:col>
      <xdr:colOff>119542</xdr:colOff>
      <xdr:row>0</xdr:row>
      <xdr:rowOff>0</xdr:rowOff>
    </xdr:from>
    <xdr:to>
      <xdr:col>14</xdr:col>
      <xdr:colOff>606524</xdr:colOff>
      <xdr:row>1</xdr:row>
      <xdr:rowOff>10536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1180C7E2-33EB-4E8B-93CA-F7813501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4339772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148415</xdr:colOff>
      <xdr:row>0</xdr:row>
      <xdr:rowOff>103836</xdr:rowOff>
    </xdr:from>
    <xdr:to>
      <xdr:col>24</xdr:col>
      <xdr:colOff>100567</xdr:colOff>
      <xdr:row>4</xdr:row>
      <xdr:rowOff>7034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DA9A227D-4ECF-45AC-977B-F1C51816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58025359" y="103836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142875</xdr:rowOff>
    </xdr:from>
    <xdr:to>
      <xdr:col>6</xdr:col>
      <xdr:colOff>333375</xdr:colOff>
      <xdr:row>4</xdr:row>
      <xdr:rowOff>265145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70D43C4F-5DF8-4E24-9AC4-225BBA22B40E}"/>
            </a:ext>
          </a:extLst>
        </xdr:cNvPr>
        <xdr:cNvSpPr txBox="1">
          <a:spLocks noChangeArrowheads="1"/>
        </xdr:cNvSpPr>
      </xdr:nvSpPr>
      <xdr:spPr bwMode="auto">
        <a:xfrm>
          <a:off x="11301740044" y="327543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4</xdr:col>
      <xdr:colOff>401764</xdr:colOff>
      <xdr:row>1</xdr:row>
      <xdr:rowOff>0</xdr:rowOff>
    </xdr:from>
    <xdr:to>
      <xdr:col>5</xdr:col>
      <xdr:colOff>589125</xdr:colOff>
      <xdr:row>2</xdr:row>
      <xdr:rowOff>2256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3E20EA90-5C02-4E77-97DF-C0BB3921C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174370" y="184668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412878</xdr:colOff>
      <xdr:row>0</xdr:row>
      <xdr:rowOff>112475</xdr:rowOff>
    </xdr:from>
    <xdr:to>
      <xdr:col>18</xdr:col>
      <xdr:colOff>348951</xdr:colOff>
      <xdr:row>3</xdr:row>
      <xdr:rowOff>167224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72D7A32D-4D3B-4C88-BD0A-83028C6B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93443549" y="112475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5</xdr:row>
      <xdr:rowOff>38100</xdr:rowOff>
    </xdr:from>
    <xdr:to>
      <xdr:col>7</xdr:col>
      <xdr:colOff>800101</xdr:colOff>
      <xdr:row>10</xdr:row>
      <xdr:rowOff>114300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762849949" y="942975"/>
          <a:ext cx="6581775" cy="981075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توضح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الشعب والطلبة للتعليم الاساسي مدرسة:.................... 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1</xdr:col>
      <xdr:colOff>0</xdr:colOff>
      <xdr:row>1</xdr:row>
      <xdr:rowOff>47625</xdr:rowOff>
    </xdr:from>
    <xdr:to>
      <xdr:col>2</xdr:col>
      <xdr:colOff>900209</xdr:colOff>
      <xdr:row>5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0767607591" y="228600"/>
          <a:ext cx="1938434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401764</xdr:colOff>
      <xdr:row>0</xdr:row>
      <xdr:rowOff>85725</xdr:rowOff>
    </xdr:from>
    <xdr:to>
      <xdr:col>2</xdr:col>
      <xdr:colOff>465883</xdr:colOff>
      <xdr:row>1</xdr:row>
      <xdr:rowOff>91675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8041917" y="85725"/>
          <a:ext cx="1102344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845974</xdr:colOff>
      <xdr:row>1</xdr:row>
      <xdr:rowOff>114419</xdr:rowOff>
    </xdr:from>
    <xdr:to>
      <xdr:col>5</xdr:col>
      <xdr:colOff>200050</xdr:colOff>
      <xdr:row>4</xdr:row>
      <xdr:rowOff>180248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0765440725" y="295394"/>
          <a:ext cx="1211451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6</xdr:row>
      <xdr:rowOff>85726</xdr:rowOff>
    </xdr:from>
    <xdr:to>
      <xdr:col>7</xdr:col>
      <xdr:colOff>866775</xdr:colOff>
      <xdr:row>9</xdr:row>
      <xdr:rowOff>142875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0762783275" y="1171576"/>
          <a:ext cx="7181850" cy="600074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توضح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الشعب والطلبة للتعليم الثانوي مدرسة:............................ في مديرية ...............         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-202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</a:t>
          </a:r>
        </a:p>
      </xdr:txBody>
    </xdr:sp>
    <xdr:clientData/>
  </xdr:twoCellAnchor>
  <xdr:twoCellAnchor>
    <xdr:from>
      <xdr:col>3</xdr:col>
      <xdr:colOff>845974</xdr:colOff>
      <xdr:row>0</xdr:row>
      <xdr:rowOff>162044</xdr:rowOff>
    </xdr:from>
    <xdr:to>
      <xdr:col>5</xdr:col>
      <xdr:colOff>200050</xdr:colOff>
      <xdr:row>4</xdr:row>
      <xdr:rowOff>46898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0765850300" y="162044"/>
          <a:ext cx="1211451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0</xdr:row>
      <xdr:rowOff>142875</xdr:rowOff>
    </xdr:from>
    <xdr:to>
      <xdr:col>2</xdr:col>
      <xdr:colOff>966884</xdr:colOff>
      <xdr:row>4</xdr:row>
      <xdr:rowOff>95250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112467E4-A1E7-46A9-A482-FC3580CEC713}"/>
            </a:ext>
          </a:extLst>
        </xdr:cNvPr>
        <xdr:cNvSpPr txBox="1">
          <a:spLocks noChangeArrowheads="1"/>
        </xdr:cNvSpPr>
      </xdr:nvSpPr>
      <xdr:spPr bwMode="auto">
        <a:xfrm>
          <a:off x="11392238041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525589</xdr:colOff>
      <xdr:row>0</xdr:row>
      <xdr:rowOff>28575</xdr:rowOff>
    </xdr:from>
    <xdr:to>
      <xdr:col>2</xdr:col>
      <xdr:colOff>589708</xdr:colOff>
      <xdr:row>1</xdr:row>
      <xdr:rowOff>34525</xdr:rowOff>
    </xdr:to>
    <xdr:pic>
      <xdr:nvPicPr>
        <xdr:cNvPr id="10" name="صورة 15">
          <a:extLst>
            <a:ext uri="{FF2B5EF4-FFF2-40B4-BE49-F238E27FC236}">
              <a16:creationId xmlns:a16="http://schemas.microsoft.com/office/drawing/2014/main" id="{37C2BC52-AC2B-4D26-A406-61BC6F55C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2615217" y="28575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5</xdr:row>
      <xdr:rowOff>88900</xdr:rowOff>
    </xdr:from>
    <xdr:to>
      <xdr:col>36</xdr:col>
      <xdr:colOff>207818</xdr:colOff>
      <xdr:row>6</xdr:row>
      <xdr:rowOff>272934</xdr:rowOff>
    </xdr:to>
    <xdr:sp macro="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9985153538" y="1002040"/>
          <a:ext cx="8103178" cy="366663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إحصائيات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بتخصصات ا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لمعلمين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للمرحلة الثانوية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لمدارس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مديرية ....................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202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 -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  2026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13674</xdr:rowOff>
    </xdr:from>
    <xdr:to>
      <xdr:col>6</xdr:col>
      <xdr:colOff>220784</xdr:colOff>
      <xdr:row>6</xdr:row>
      <xdr:rowOff>26865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11167159091" y="188299"/>
          <a:ext cx="1855909" cy="88631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396516</xdr:colOff>
      <xdr:row>0</xdr:row>
      <xdr:rowOff>269</xdr:rowOff>
    </xdr:from>
    <xdr:to>
      <xdr:col>5</xdr:col>
      <xdr:colOff>80108</xdr:colOff>
      <xdr:row>1</xdr:row>
      <xdr:rowOff>18073</xdr:rowOff>
    </xdr:to>
    <xdr:pic>
      <xdr:nvPicPr>
        <xdr:cNvPr id="5" name="صورة 1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569642" y="269"/>
          <a:ext cx="1048842" cy="19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30771</xdr:colOff>
      <xdr:row>1</xdr:row>
      <xdr:rowOff>31750</xdr:rowOff>
    </xdr:from>
    <xdr:to>
      <xdr:col>20</xdr:col>
      <xdr:colOff>94313</xdr:colOff>
      <xdr:row>4</xdr:row>
      <xdr:rowOff>136441</xdr:rowOff>
    </xdr:to>
    <xdr:pic>
      <xdr:nvPicPr>
        <xdr:cNvPr id="6" name="صورة 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63507312" y="206375"/>
          <a:ext cx="1143042" cy="628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153084</xdr:colOff>
      <xdr:row>0</xdr:row>
      <xdr:rowOff>60214</xdr:rowOff>
    </xdr:from>
    <xdr:to>
      <xdr:col>32</xdr:col>
      <xdr:colOff>68039</xdr:colOff>
      <xdr:row>2</xdr:row>
      <xdr:rowOff>102053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1213904961" y="60214"/>
          <a:ext cx="8639855" cy="365689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 التعليم  الاساسي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في مديرية ........................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202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 -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  2026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9524</xdr:rowOff>
    </xdr:from>
    <xdr:to>
      <xdr:col>29</xdr:col>
      <xdr:colOff>171450</xdr:colOff>
      <xdr:row>3</xdr:row>
      <xdr:rowOff>133350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1371259325" y="190499"/>
          <a:ext cx="9591675" cy="485776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 التعليم  الثانوي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بمديرية 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0</xdr:row>
      <xdr:rowOff>181944</xdr:rowOff>
    </xdr:from>
    <xdr:to>
      <xdr:col>4</xdr:col>
      <xdr:colOff>38100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81DF338-6C4D-4D18-8F84-8578625C05DD}"/>
            </a:ext>
          </a:extLst>
        </xdr:cNvPr>
        <xdr:cNvSpPr txBox="1">
          <a:spLocks noChangeArrowheads="1"/>
        </xdr:cNvSpPr>
      </xdr:nvSpPr>
      <xdr:spPr bwMode="auto">
        <a:xfrm>
          <a:off x="11224212375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0</xdr:rowOff>
    </xdr:from>
    <xdr:to>
      <xdr:col>3</xdr:col>
      <xdr:colOff>141079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7FA6970-0D77-43A7-B112-2E4B6FBB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442771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180974</xdr:rowOff>
    </xdr:from>
    <xdr:to>
      <xdr:col>4</xdr:col>
      <xdr:colOff>1333500</xdr:colOff>
      <xdr:row>6</xdr:row>
      <xdr:rowOff>409574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11233308750" y="723899"/>
          <a:ext cx="6115050" cy="771525"/>
        </a:xfrm>
        <a:prstGeom prst="roundRect">
          <a:avLst/>
        </a:prstGeom>
        <a:solidFill>
          <a:schemeClr val="accent6">
            <a:lumMod val="20000"/>
            <a:lumOff val="8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عدد المعلمين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اساسي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مدرسة:.....................في مديرية ..................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19050</xdr:rowOff>
    </xdr:from>
    <xdr:to>
      <xdr:col>2</xdr:col>
      <xdr:colOff>47625</xdr:colOff>
      <xdr:row>5</xdr:row>
      <xdr:rowOff>0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41727FC9-71BE-46C3-B52A-64F7764FB214}"/>
            </a:ext>
          </a:extLst>
        </xdr:cNvPr>
        <xdr:cNvSpPr txBox="1">
          <a:spLocks noChangeArrowheads="1"/>
        </xdr:cNvSpPr>
      </xdr:nvSpPr>
      <xdr:spPr bwMode="auto">
        <a:xfrm>
          <a:off x="11237547375" y="200025"/>
          <a:ext cx="1524000" cy="7524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18081</xdr:rowOff>
    </xdr:from>
    <xdr:to>
      <xdr:col>1</xdr:col>
      <xdr:colOff>1293604</xdr:colOff>
      <xdr:row>1</xdr:row>
      <xdr:rowOff>19007</xdr:rowOff>
    </xdr:to>
    <xdr:pic>
      <xdr:nvPicPr>
        <xdr:cNvPr id="8" name="صورة 15">
          <a:extLst>
            <a:ext uri="{FF2B5EF4-FFF2-40B4-BE49-F238E27FC236}">
              <a16:creationId xmlns:a16="http://schemas.microsoft.com/office/drawing/2014/main" id="{DE102BFA-07BD-40F0-99BA-D69C61B14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7777771" y="18081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355600</xdr:colOff>
      <xdr:row>0</xdr:row>
      <xdr:rowOff>44450</xdr:rowOff>
    </xdr:from>
    <xdr:to>
      <xdr:col>3</xdr:col>
      <xdr:colOff>28861</xdr:colOff>
      <xdr:row>3</xdr:row>
      <xdr:rowOff>139372</xdr:rowOff>
    </xdr:to>
    <xdr:pic>
      <xdr:nvPicPr>
        <xdr:cNvPr id="9" name="صورة 1">
          <a:extLst>
            <a:ext uri="{FF2B5EF4-FFF2-40B4-BE49-F238E27FC236}">
              <a16:creationId xmlns:a16="http://schemas.microsoft.com/office/drawing/2014/main" id="{62A121C9-3285-4202-BA84-37CCDDC51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84099139" y="44450"/>
          <a:ext cx="1149636" cy="61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</xdr:row>
      <xdr:rowOff>19050</xdr:rowOff>
    </xdr:from>
    <xdr:to>
      <xdr:col>4</xdr:col>
      <xdr:colOff>1295401</xdr:colOff>
      <xdr:row>7</xdr:row>
      <xdr:rowOff>238125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5AD4156C-64B2-4222-A288-8A4868072C6D}"/>
            </a:ext>
          </a:extLst>
        </xdr:cNvPr>
        <xdr:cNvSpPr/>
      </xdr:nvSpPr>
      <xdr:spPr>
        <a:xfrm>
          <a:off x="11233346849" y="742950"/>
          <a:ext cx="6038850" cy="762000"/>
        </a:xfrm>
        <a:prstGeom prst="roundRect">
          <a:avLst/>
        </a:prstGeom>
        <a:solidFill>
          <a:schemeClr val="accent6">
            <a:lumMod val="20000"/>
            <a:lumOff val="8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عدد المعلمين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ثانوي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مدرسة ......................في مديرية ..................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19050</xdr:rowOff>
    </xdr:from>
    <xdr:to>
      <xdr:col>2</xdr:col>
      <xdr:colOff>47625</xdr:colOff>
      <xdr:row>5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67D4D363-DD9D-4354-B084-7C7629BEDC10}"/>
            </a:ext>
          </a:extLst>
        </xdr:cNvPr>
        <xdr:cNvSpPr txBox="1">
          <a:spLocks noChangeArrowheads="1"/>
        </xdr:cNvSpPr>
      </xdr:nvSpPr>
      <xdr:spPr bwMode="auto">
        <a:xfrm>
          <a:off x="11237547375" y="200025"/>
          <a:ext cx="1524000" cy="7524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18081</xdr:rowOff>
    </xdr:from>
    <xdr:to>
      <xdr:col>1</xdr:col>
      <xdr:colOff>1293604</xdr:colOff>
      <xdr:row>1</xdr:row>
      <xdr:rowOff>19007</xdr:rowOff>
    </xdr:to>
    <xdr:pic>
      <xdr:nvPicPr>
        <xdr:cNvPr id="6" name="صورة 15">
          <a:extLst>
            <a:ext uri="{FF2B5EF4-FFF2-40B4-BE49-F238E27FC236}">
              <a16:creationId xmlns:a16="http://schemas.microsoft.com/office/drawing/2014/main" id="{7333731F-BE55-41E5-9AE5-F2B2C2D5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5787146" y="18081"/>
          <a:ext cx="1055838" cy="17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847725</xdr:colOff>
      <xdr:row>0</xdr:row>
      <xdr:rowOff>76200</xdr:rowOff>
    </xdr:from>
    <xdr:to>
      <xdr:col>3</xdr:col>
      <xdr:colOff>520986</xdr:colOff>
      <xdr:row>3</xdr:row>
      <xdr:rowOff>171122</xdr:rowOff>
    </xdr:to>
    <xdr:pic>
      <xdr:nvPicPr>
        <xdr:cNvPr id="7" name="صورة 1">
          <a:extLst>
            <a:ext uri="{FF2B5EF4-FFF2-40B4-BE49-F238E27FC236}">
              <a16:creationId xmlns:a16="http://schemas.microsoft.com/office/drawing/2014/main" id="{3FDC761E-BA7A-484E-840C-5225644FE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5597639" y="76200"/>
          <a:ext cx="1149636" cy="63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752475</xdr:rowOff>
    </xdr:from>
    <xdr:to>
      <xdr:col>8</xdr:col>
      <xdr:colOff>1314451</xdr:colOff>
      <xdr:row>3</xdr:row>
      <xdr:rowOff>38100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2812E94D-9558-40B2-B27C-A215F197EC1B}"/>
            </a:ext>
          </a:extLst>
        </xdr:cNvPr>
        <xdr:cNvSpPr/>
      </xdr:nvSpPr>
      <xdr:spPr>
        <a:xfrm>
          <a:off x="11230536974" y="752475"/>
          <a:ext cx="5562601" cy="561975"/>
        </a:xfrm>
        <a:prstGeom prst="roundRect">
          <a:avLst/>
        </a:prstGeom>
        <a:solidFill>
          <a:schemeClr val="accent3">
            <a:lumMod val="60000"/>
            <a:lumOff val="4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 المعلمين رياض أطفال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حكومي</a:t>
          </a:r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مدرسة:................مديرية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.....................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202</a:t>
          </a:r>
          <a:r>
            <a:rPr lang="ar-SA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5/ 2026م</a:t>
          </a:r>
        </a:p>
      </xdr:txBody>
    </xdr:sp>
    <xdr:clientData/>
  </xdr:twoCellAnchor>
  <xdr:twoCellAnchor>
    <xdr:from>
      <xdr:col>2</xdr:col>
      <xdr:colOff>0</xdr:colOff>
      <xdr:row>0</xdr:row>
      <xdr:rowOff>181944</xdr:rowOff>
    </xdr:from>
    <xdr:to>
      <xdr:col>3</xdr:col>
      <xdr:colOff>47625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73547B6-8F0E-4D46-98B9-8B524FDD76F0}"/>
            </a:ext>
          </a:extLst>
        </xdr:cNvPr>
        <xdr:cNvSpPr txBox="1">
          <a:spLocks noChangeArrowheads="1"/>
        </xdr:cNvSpPr>
      </xdr:nvSpPr>
      <xdr:spPr bwMode="auto">
        <a:xfrm>
          <a:off x="11234242200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2</xdr:col>
      <xdr:colOff>237766</xdr:colOff>
      <xdr:row>0</xdr:row>
      <xdr:rowOff>0</xdr:rowOff>
    </xdr:from>
    <xdr:to>
      <xdr:col>2</xdr:col>
      <xdr:colOff>1293604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4434AB68-749A-49C0-A590-898958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472596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752475</xdr:rowOff>
    </xdr:from>
    <xdr:to>
      <xdr:col>8</xdr:col>
      <xdr:colOff>1314451</xdr:colOff>
      <xdr:row>3</xdr:row>
      <xdr:rowOff>38100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FFC849B8-BA65-4D1A-8928-FD6829AF3E2E}"/>
            </a:ext>
          </a:extLst>
        </xdr:cNvPr>
        <xdr:cNvSpPr/>
      </xdr:nvSpPr>
      <xdr:spPr>
        <a:xfrm>
          <a:off x="11232641999" y="752475"/>
          <a:ext cx="4562476" cy="561975"/>
        </a:xfrm>
        <a:prstGeom prst="roundRect">
          <a:avLst/>
        </a:prstGeom>
        <a:solidFill>
          <a:schemeClr val="accent3">
            <a:lumMod val="60000"/>
            <a:lumOff val="4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 المعلمين رياض أطفال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أهلي</a:t>
          </a:r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مدرسة ...................  مديرية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.....................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202</a:t>
          </a:r>
          <a:r>
            <a:rPr lang="ar-SA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5/ 2026م</a:t>
          </a:r>
        </a:p>
      </xdr:txBody>
    </xdr:sp>
    <xdr:clientData/>
  </xdr:twoCellAnchor>
  <xdr:twoCellAnchor>
    <xdr:from>
      <xdr:col>2</xdr:col>
      <xdr:colOff>0</xdr:colOff>
      <xdr:row>0</xdr:row>
      <xdr:rowOff>181944</xdr:rowOff>
    </xdr:from>
    <xdr:to>
      <xdr:col>3</xdr:col>
      <xdr:colOff>47625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AF74C7F-CFE1-40C1-B60C-73585C397958}"/>
            </a:ext>
          </a:extLst>
        </xdr:cNvPr>
        <xdr:cNvSpPr txBox="1">
          <a:spLocks noChangeArrowheads="1"/>
        </xdr:cNvSpPr>
      </xdr:nvSpPr>
      <xdr:spPr bwMode="auto">
        <a:xfrm>
          <a:off x="11236632975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2</xdr:col>
      <xdr:colOff>237766</xdr:colOff>
      <xdr:row>0</xdr:row>
      <xdr:rowOff>0</xdr:rowOff>
    </xdr:from>
    <xdr:to>
      <xdr:col>2</xdr:col>
      <xdr:colOff>1293604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A7FE326C-674C-439C-9F2A-2C33A7A0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863371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123825</xdr:rowOff>
    </xdr:from>
    <xdr:to>
      <xdr:col>18</xdr:col>
      <xdr:colOff>428625</xdr:colOff>
      <xdr:row>5</xdr:row>
      <xdr:rowOff>9525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11376860025" y="123825"/>
          <a:ext cx="4114800" cy="695325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للتعليم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الاساسي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 ...................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.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</a:p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201-     201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0</xdr:row>
      <xdr:rowOff>0</xdr:rowOff>
    </xdr:from>
    <xdr:to>
      <xdr:col>21</xdr:col>
      <xdr:colOff>167640</xdr:colOff>
      <xdr:row>2</xdr:row>
      <xdr:rowOff>149625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10094427360" y="0"/>
          <a:ext cx="7724775" cy="5001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(</a:t>
          </a:r>
          <a:r>
            <a:rPr lang="ar-SA" sz="1400" b="1" baseline="0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1 - 5  )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  <xdr:twoCellAnchor>
    <xdr:from>
      <xdr:col>22</xdr:col>
      <xdr:colOff>205740</xdr:colOff>
      <xdr:row>0</xdr:row>
      <xdr:rowOff>0</xdr:rowOff>
    </xdr:from>
    <xdr:to>
      <xdr:col>41</xdr:col>
      <xdr:colOff>342900</xdr:colOff>
      <xdr:row>2</xdr:row>
      <xdr:rowOff>123825</xdr:rowOff>
    </xdr:to>
    <xdr:sp macro="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10086708300" y="0"/>
          <a:ext cx="7307580" cy="4743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( 6 - 9 )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 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206674</xdr:colOff>
      <xdr:row>4</xdr:row>
      <xdr:rowOff>80873</xdr:rowOff>
    </xdr:from>
    <xdr:to>
      <xdr:col>17</xdr:col>
      <xdr:colOff>170731</xdr:colOff>
      <xdr:row>8</xdr:row>
      <xdr:rowOff>68036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11324074811" y="727854"/>
          <a:ext cx="6344010" cy="52631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2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تكميلي 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مديرية...............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17</xdr:col>
      <xdr:colOff>268309</xdr:colOff>
      <xdr:row>34</xdr:row>
      <xdr:rowOff>134155</xdr:rowOff>
    </xdr:from>
    <xdr:to>
      <xdr:col>17</xdr:col>
      <xdr:colOff>314028</xdr:colOff>
      <xdr:row>64</xdr:row>
      <xdr:rowOff>53662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>
        <a:xfrm flipH="1">
          <a:off x="10750982097" y="6106330"/>
          <a:ext cx="45719" cy="4777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r" rtl="1"/>
          <a:endParaRPr lang="ar-SA" sz="1600" baseline="0"/>
        </a:p>
      </xdr:txBody>
    </xdr:sp>
    <xdr:clientData/>
  </xdr:twoCellAnchor>
  <xdr:twoCellAnchor>
    <xdr:from>
      <xdr:col>1</xdr:col>
      <xdr:colOff>0</xdr:colOff>
      <xdr:row>1</xdr:row>
      <xdr:rowOff>26769</xdr:rowOff>
    </xdr:from>
    <xdr:to>
      <xdr:col>5</xdr:col>
      <xdr:colOff>65760</xdr:colOff>
      <xdr:row>5</xdr:row>
      <xdr:rowOff>77755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10818098781" y="191999"/>
          <a:ext cx="1863846" cy="71190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396516</xdr:colOff>
      <xdr:row>0</xdr:row>
      <xdr:rowOff>0</xdr:rowOff>
    </xdr:from>
    <xdr:to>
      <xdr:col>4</xdr:col>
      <xdr:colOff>1138</xdr:colOff>
      <xdr:row>1</xdr:row>
      <xdr:rowOff>31168</xdr:rowOff>
    </xdr:to>
    <xdr:pic>
      <xdr:nvPicPr>
        <xdr:cNvPr id="5" name="صورة 1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8513301" y="0"/>
          <a:ext cx="1052810" cy="19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90994</xdr:colOff>
      <xdr:row>0</xdr:row>
      <xdr:rowOff>0</xdr:rowOff>
    </xdr:from>
    <xdr:to>
      <xdr:col>11</xdr:col>
      <xdr:colOff>26958</xdr:colOff>
      <xdr:row>3</xdr:row>
      <xdr:rowOff>116900</xdr:rowOff>
    </xdr:to>
    <xdr:pic>
      <xdr:nvPicPr>
        <xdr:cNvPr id="6" name="صورة 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326267358" y="0"/>
          <a:ext cx="996294" cy="602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1982D05-94C2-46B7-A2DC-D97C91CC3806}"/>
            </a:ext>
          </a:extLst>
        </xdr:cNvPr>
        <xdr:cNvSpPr txBox="1">
          <a:spLocks noChangeArrowheads="1"/>
        </xdr:cNvSpPr>
      </xdr:nvSpPr>
      <xdr:spPr bwMode="auto">
        <a:xfrm>
          <a:off x="11220081259" y="283344"/>
          <a:ext cx="2235641" cy="99564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3096BF67-94BC-4CD0-A0FB-1FB864FA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0201683" y="9525"/>
          <a:ext cx="1915655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DC8BE18A-8459-43F9-AC4C-5F407F10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17054357" y="56173"/>
          <a:ext cx="1309237" cy="820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2B8E54C-DE05-43BC-B08C-A61B0AC7B4A2}"/>
            </a:ext>
          </a:extLst>
        </xdr:cNvPr>
        <xdr:cNvSpPr txBox="1">
          <a:spLocks noChangeArrowheads="1"/>
        </xdr:cNvSpPr>
      </xdr:nvSpPr>
      <xdr:spPr bwMode="auto">
        <a:xfrm>
          <a:off x="11225196184" y="283344"/>
          <a:ext cx="2588066" cy="99564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C7699103-5E4D-4414-879B-AF9B92DB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5316608" y="9525"/>
          <a:ext cx="2268080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05ACFBB3-B2E2-43F7-97CD-018D58E0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1178682" y="56173"/>
          <a:ext cx="1775962" cy="820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1230462280" y="286724"/>
          <a:ext cx="1868365" cy="828189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3811658" y="9525"/>
          <a:ext cx="1534655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7173082" y="56173"/>
          <a:ext cx="1381545" cy="83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568569</xdr:colOff>
      <xdr:row>5</xdr:row>
      <xdr:rowOff>51289</xdr:rowOff>
    </xdr:from>
    <xdr:to>
      <xdr:col>37</xdr:col>
      <xdr:colOff>4103</xdr:colOff>
      <xdr:row>6</xdr:row>
      <xdr:rowOff>235738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8722993" y="967154"/>
          <a:ext cx="6938304" cy="36762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بالتجهيزات المدرسية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1</xdr:row>
      <xdr:rowOff>103551</xdr:rowOff>
    </xdr:from>
    <xdr:to>
      <xdr:col>5</xdr:col>
      <xdr:colOff>0</xdr:colOff>
      <xdr:row>6</xdr:row>
      <xdr:rowOff>15875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21926375" y="284526"/>
          <a:ext cx="2000250" cy="817199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YE" sz="1600" b="1" i="0" u="none" strike="noStrike" baseline="0">
              <a:solidFill>
                <a:srgbClr val="000000"/>
              </a:solidFill>
              <a:latin typeface="AGA Nada Regular"/>
            </a:rPr>
            <a:t>وزارة التربية والتعليم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-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0</xdr:col>
      <xdr:colOff>218612</xdr:colOff>
      <xdr:row>0</xdr:row>
      <xdr:rowOff>0</xdr:rowOff>
    </xdr:from>
    <xdr:to>
      <xdr:col>4</xdr:col>
      <xdr:colOff>177049</xdr:colOff>
      <xdr:row>1</xdr:row>
      <xdr:rowOff>91156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2168426" y="0"/>
          <a:ext cx="1539587" cy="272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149191</xdr:colOff>
      <xdr:row>0</xdr:row>
      <xdr:rowOff>56173</xdr:rowOff>
    </xdr:from>
    <xdr:to>
      <xdr:col>14</xdr:col>
      <xdr:colOff>123967</xdr:colOff>
      <xdr:row>4</xdr:row>
      <xdr:rowOff>157123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71416668" y="56173"/>
          <a:ext cx="1381545" cy="83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</xdr:colOff>
      <xdr:row>1</xdr:row>
      <xdr:rowOff>42537</xdr:rowOff>
    </xdr:from>
    <xdr:to>
      <xdr:col>10</xdr:col>
      <xdr:colOff>571499</xdr:colOff>
      <xdr:row>2</xdr:row>
      <xdr:rowOff>8283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11255982392" y="1160689"/>
          <a:ext cx="6433930" cy="578659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النازحين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(الوافدين )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المدرسة ...............................بمديرية ................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                     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5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6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</a:t>
          </a:r>
          <a:endParaRPr lang="ar-YE" sz="11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 noChangeArrowheads="1"/>
        </xdr:cNvSpPr>
      </xdr:nvSpPr>
      <xdr:spPr bwMode="auto">
        <a:xfrm>
          <a:off x="11233761809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997865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459658" y="367847"/>
          <a:ext cx="126806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 txBox="1"/>
      </xdr:nvSpPr>
      <xdr:spPr>
        <a:xfrm>
          <a:off x="11228678356" y="8558006"/>
          <a:ext cx="1845781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140804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 txBox="1"/>
      </xdr:nvSpPr>
      <xdr:spPr>
        <a:xfrm>
          <a:off x="11231501071" y="8516591"/>
          <a:ext cx="1692552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الإحصاءوالتخطيط</a:t>
          </a:r>
          <a:r>
            <a:rPr lang="ar-SA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06747" y="0"/>
          <a:ext cx="121844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 txBox="1">
          <a:spLocks noChangeArrowheads="1"/>
        </xdr:cNvSpPr>
      </xdr:nvSpPr>
      <xdr:spPr bwMode="auto">
        <a:xfrm>
          <a:off x="11228645227" y="86967"/>
          <a:ext cx="16581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 txBox="1"/>
      </xdr:nvSpPr>
      <xdr:spPr>
        <a:xfrm>
          <a:off x="11234428559" y="851659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</xdr:colOff>
      <xdr:row>1</xdr:row>
      <xdr:rowOff>42537</xdr:rowOff>
    </xdr:from>
    <xdr:to>
      <xdr:col>11</xdr:col>
      <xdr:colOff>571499</xdr:colOff>
      <xdr:row>2</xdr:row>
      <xdr:rowOff>8283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7BA190F4-D3CD-43E1-9F06-6FA5D65A5B46}"/>
            </a:ext>
          </a:extLst>
        </xdr:cNvPr>
        <xdr:cNvSpPr/>
      </xdr:nvSpPr>
      <xdr:spPr>
        <a:xfrm>
          <a:off x="11228860576" y="1156962"/>
          <a:ext cx="6418193" cy="575346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النازحين </a:t>
          </a:r>
          <a:r>
            <a:rPr lang="ar-SA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خارج المدرسة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.......................... بمديرية ................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للعام الدراسي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5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6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</a:t>
          </a:r>
          <a:endParaRPr lang="ar-YE" sz="11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BB96C2FA-67AF-4944-8FEE-CA56FB707D89}"/>
            </a:ext>
          </a:extLst>
        </xdr:cNvPr>
        <xdr:cNvSpPr txBox="1">
          <a:spLocks noChangeArrowheads="1"/>
        </xdr:cNvSpPr>
      </xdr:nvSpPr>
      <xdr:spPr bwMode="auto">
        <a:xfrm>
          <a:off x="11233752284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12F55088-0D24-4946-9F16-10BA0C2F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988340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29895B3-DDFB-4941-A8E6-E0C680F2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459658" y="367847"/>
          <a:ext cx="126806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11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82A57941-2668-40E2-A711-CDEEA6EDD1FB}"/>
            </a:ext>
          </a:extLst>
        </xdr:cNvPr>
        <xdr:cNvSpPr txBox="1"/>
      </xdr:nvSpPr>
      <xdr:spPr>
        <a:xfrm>
          <a:off x="11228678356" y="7319756"/>
          <a:ext cx="1845781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140804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372B3EBC-1DAF-4C03-B620-59732495303F}"/>
            </a:ext>
          </a:extLst>
        </xdr:cNvPr>
        <xdr:cNvSpPr txBox="1"/>
      </xdr:nvSpPr>
      <xdr:spPr>
        <a:xfrm>
          <a:off x="11231501071" y="7278341"/>
          <a:ext cx="1692552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الإحصاءوالتخطيط</a:t>
          </a:r>
          <a:r>
            <a:rPr lang="ar-SA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D5AC19F5-DFD2-475C-9BFF-7DF2ACFB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06747" y="0"/>
          <a:ext cx="121844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11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2F4D202F-B9FB-4297-9284-268D8B65CA0B}"/>
            </a:ext>
          </a:extLst>
        </xdr:cNvPr>
        <xdr:cNvSpPr txBox="1">
          <a:spLocks noChangeArrowheads="1"/>
        </xdr:cNvSpPr>
      </xdr:nvSpPr>
      <xdr:spPr bwMode="auto">
        <a:xfrm>
          <a:off x="11228645227" y="86967"/>
          <a:ext cx="16581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981D8772-BE26-45F8-AFAB-B25B71EE211E}"/>
            </a:ext>
          </a:extLst>
        </xdr:cNvPr>
        <xdr:cNvSpPr txBox="1"/>
      </xdr:nvSpPr>
      <xdr:spPr>
        <a:xfrm>
          <a:off x="11234419034" y="727834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33130</xdr:rowOff>
    </xdr:from>
    <xdr:to>
      <xdr:col>10</xdr:col>
      <xdr:colOff>646043</xdr:colOff>
      <xdr:row>1</xdr:row>
      <xdr:rowOff>770283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11E67F7D-A270-4C20-B1B1-48E86B696313}"/>
            </a:ext>
          </a:extLst>
        </xdr:cNvPr>
        <xdr:cNvSpPr/>
      </xdr:nvSpPr>
      <xdr:spPr>
        <a:xfrm>
          <a:off x="11255750478" y="1151282"/>
          <a:ext cx="6940826" cy="737153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المتطوعين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/ المتعاقدين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2025/2026 م -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مدرسة .................                  مديرية ................ 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E039B84F-701A-4A16-A90E-C858F51D0B69}"/>
            </a:ext>
          </a:extLst>
        </xdr:cNvPr>
        <xdr:cNvSpPr txBox="1">
          <a:spLocks noChangeArrowheads="1"/>
        </xdr:cNvSpPr>
      </xdr:nvSpPr>
      <xdr:spPr bwMode="auto">
        <a:xfrm>
          <a:off x="11233799909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F94C6974-73E5-47F7-846D-3B8F415A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35965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CB699F72-3928-4D2C-9639-C60F2A247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716833" y="367847"/>
          <a:ext cx="105851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62CF71BF-B34B-4172-9862-C75C442396B5}"/>
            </a:ext>
          </a:extLst>
        </xdr:cNvPr>
        <xdr:cNvSpPr txBox="1"/>
      </xdr:nvSpPr>
      <xdr:spPr>
        <a:xfrm>
          <a:off x="11228602156" y="7453106"/>
          <a:ext cx="2179156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323022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533DF0BA-F70B-4A72-9302-41984ECD754C}"/>
            </a:ext>
          </a:extLst>
        </xdr:cNvPr>
        <xdr:cNvSpPr txBox="1"/>
      </xdr:nvSpPr>
      <xdr:spPr>
        <a:xfrm>
          <a:off x="11231576028" y="7411691"/>
          <a:ext cx="166522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 والتخطيط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AC721212-DB6E-4740-9DCE-6F65560F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763922" y="0"/>
          <a:ext cx="100889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5C0B56B3-6F89-48A5-B6D1-61EF97DCEF53}"/>
            </a:ext>
          </a:extLst>
        </xdr:cNvPr>
        <xdr:cNvSpPr txBox="1">
          <a:spLocks noChangeArrowheads="1"/>
        </xdr:cNvSpPr>
      </xdr:nvSpPr>
      <xdr:spPr bwMode="auto">
        <a:xfrm>
          <a:off x="11228607127" y="86967"/>
          <a:ext cx="18105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60DF46CF-106F-47E2-8D11-6839F6B36BAE}"/>
            </a:ext>
          </a:extLst>
        </xdr:cNvPr>
        <xdr:cNvSpPr txBox="1"/>
      </xdr:nvSpPr>
      <xdr:spPr>
        <a:xfrm>
          <a:off x="11234466659" y="741169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AD15"/>
  <sheetViews>
    <sheetView rightToLeft="1" tabSelected="1" topLeftCell="I1" zoomScale="76" zoomScaleNormal="76" workbookViewId="0">
      <selection activeCell="AA10" sqref="AA10:AA11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196"/>
      <c r="I5" s="195"/>
      <c r="J5" s="195"/>
      <c r="K5" s="195"/>
      <c r="L5" s="195"/>
      <c r="M5" s="195"/>
      <c r="N5" s="194"/>
      <c r="O5" s="194"/>
      <c r="P5" s="194"/>
      <c r="Q5" s="194"/>
      <c r="R5" s="194"/>
      <c r="S5" s="194"/>
      <c r="T5" s="193"/>
      <c r="U5" s="193"/>
      <c r="V5" s="193"/>
      <c r="W5" s="193"/>
    </row>
    <row r="6" spans="2:30" ht="15" thickBot="1"/>
    <row r="7" spans="2:30" ht="15.4" customHeight="1" thickTop="1" thickBot="1">
      <c r="D7" s="259" t="s">
        <v>1</v>
      </c>
      <c r="E7" s="258" t="s">
        <v>156</v>
      </c>
      <c r="F7" s="258" t="s">
        <v>179</v>
      </c>
      <c r="G7" s="251" t="s">
        <v>184</v>
      </c>
      <c r="H7" s="252"/>
      <c r="I7" s="252"/>
      <c r="J7" s="253"/>
      <c r="K7" s="251" t="s">
        <v>183</v>
      </c>
      <c r="L7" s="252"/>
      <c r="M7" s="252"/>
      <c r="N7" s="253"/>
      <c r="O7" s="251" t="s">
        <v>182</v>
      </c>
      <c r="P7" s="252"/>
      <c r="Q7" s="252"/>
      <c r="R7" s="253"/>
      <c r="S7" s="251" t="s">
        <v>181</v>
      </c>
      <c r="T7" s="252"/>
      <c r="U7" s="252"/>
      <c r="V7" s="253"/>
      <c r="W7" s="251" t="s">
        <v>180</v>
      </c>
      <c r="X7" s="252"/>
      <c r="Y7" s="252"/>
      <c r="Z7" s="253"/>
      <c r="AA7" s="251" t="s">
        <v>163</v>
      </c>
      <c r="AB7" s="252"/>
      <c r="AC7" s="252"/>
      <c r="AD7" s="253"/>
    </row>
    <row r="8" spans="2:30" ht="15.4" customHeight="1" thickTop="1" thickBot="1">
      <c r="D8" s="259"/>
      <c r="E8" s="258"/>
      <c r="F8" s="258"/>
      <c r="G8" s="254"/>
      <c r="H8" s="255"/>
      <c r="I8" s="255"/>
      <c r="J8" s="256"/>
      <c r="K8" s="254"/>
      <c r="L8" s="255"/>
      <c r="M8" s="255"/>
      <c r="N8" s="256"/>
      <c r="O8" s="254"/>
      <c r="P8" s="255"/>
      <c r="Q8" s="255"/>
      <c r="R8" s="256"/>
      <c r="S8" s="254"/>
      <c r="T8" s="255"/>
      <c r="U8" s="255"/>
      <c r="V8" s="256"/>
      <c r="W8" s="254"/>
      <c r="X8" s="255"/>
      <c r="Y8" s="255"/>
      <c r="Z8" s="256"/>
      <c r="AA8" s="254"/>
      <c r="AB8" s="255"/>
      <c r="AC8" s="255"/>
      <c r="AD8" s="256"/>
    </row>
    <row r="9" spans="2:30" ht="16.5" thickTop="1" thickBot="1">
      <c r="D9" s="259"/>
      <c r="E9" s="258"/>
      <c r="F9" s="258"/>
      <c r="G9" s="192" t="s">
        <v>4</v>
      </c>
      <c r="H9" s="192" t="s">
        <v>9</v>
      </c>
      <c r="I9" s="192" t="s">
        <v>168</v>
      </c>
      <c r="J9" s="192" t="s">
        <v>102</v>
      </c>
      <c r="K9" s="192" t="s">
        <v>4</v>
      </c>
      <c r="L9" s="192" t="s">
        <v>9</v>
      </c>
      <c r="M9" s="192" t="s">
        <v>168</v>
      </c>
      <c r="N9" s="192" t="s">
        <v>102</v>
      </c>
      <c r="O9" s="192" t="s">
        <v>4</v>
      </c>
      <c r="P9" s="192" t="s">
        <v>9</v>
      </c>
      <c r="Q9" s="192" t="s">
        <v>168</v>
      </c>
      <c r="R9" s="192" t="s">
        <v>102</v>
      </c>
      <c r="S9" s="192" t="s">
        <v>4</v>
      </c>
      <c r="T9" s="192" t="s">
        <v>9</v>
      </c>
      <c r="U9" s="192" t="s">
        <v>168</v>
      </c>
      <c r="V9" s="192" t="s">
        <v>102</v>
      </c>
      <c r="W9" s="192" t="s">
        <v>4</v>
      </c>
      <c r="X9" s="192" t="s">
        <v>9</v>
      </c>
      <c r="Y9" s="192" t="s">
        <v>168</v>
      </c>
      <c r="Z9" s="192" t="s">
        <v>102</v>
      </c>
      <c r="AA9" s="192" t="s">
        <v>4</v>
      </c>
      <c r="AB9" s="192" t="s">
        <v>9</v>
      </c>
      <c r="AC9" s="192" t="s">
        <v>168</v>
      </c>
      <c r="AD9" s="192" t="s">
        <v>102</v>
      </c>
    </row>
    <row r="10" spans="2:30" ht="16.5" thickTop="1" thickBot="1">
      <c r="D10" s="257">
        <v>1</v>
      </c>
      <c r="E10" s="258"/>
      <c r="F10" s="192" t="s">
        <v>165</v>
      </c>
      <c r="G10" s="249"/>
      <c r="H10" s="192"/>
      <c r="I10" s="192"/>
      <c r="J10" s="192"/>
      <c r="K10" s="249"/>
      <c r="L10" s="192"/>
      <c r="M10" s="192"/>
      <c r="N10" s="192"/>
      <c r="O10" s="249"/>
      <c r="P10" s="192"/>
      <c r="Q10" s="192"/>
      <c r="R10" s="192"/>
      <c r="S10" s="249"/>
      <c r="T10" s="192"/>
      <c r="U10" s="192"/>
      <c r="V10" s="192"/>
      <c r="W10" s="249"/>
      <c r="X10" s="192"/>
      <c r="Y10" s="192"/>
      <c r="Z10" s="192"/>
      <c r="AA10" s="249"/>
      <c r="AB10" s="192"/>
      <c r="AC10" s="192"/>
      <c r="AD10" s="192"/>
    </row>
    <row r="11" spans="2:30" ht="16.5" thickTop="1" thickBot="1">
      <c r="B11" t="s">
        <v>166</v>
      </c>
      <c r="D11" s="257"/>
      <c r="E11" s="258"/>
      <c r="F11" s="191" t="s">
        <v>164</v>
      </c>
      <c r="G11" s="250"/>
      <c r="H11" s="191"/>
      <c r="I11" s="191"/>
      <c r="J11" s="191"/>
      <c r="K11" s="250"/>
      <c r="L11" s="191"/>
      <c r="M11" s="191"/>
      <c r="N11" s="191"/>
      <c r="O11" s="250"/>
      <c r="P11" s="191"/>
      <c r="Q11" s="191"/>
      <c r="R11" s="191"/>
      <c r="S11" s="250"/>
      <c r="T11" s="191"/>
      <c r="U11" s="191"/>
      <c r="V11" s="191"/>
      <c r="W11" s="250"/>
      <c r="X11" s="191"/>
      <c r="Y11" s="191"/>
      <c r="Z11" s="191"/>
      <c r="AA11" s="250"/>
      <c r="AB11" s="191"/>
      <c r="AC11" s="191"/>
      <c r="AD11" s="191"/>
    </row>
    <row r="12" spans="2:30" ht="15.4" customHeight="1" thickTop="1"/>
    <row r="14" spans="2:30" ht="20.25">
      <c r="E14" s="198" t="s">
        <v>236</v>
      </c>
      <c r="F14" s="198"/>
      <c r="G14" s="198"/>
      <c r="H14" s="198" t="s">
        <v>158</v>
      </c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 t="s">
        <v>159</v>
      </c>
      <c r="W14" s="198"/>
      <c r="X14" s="198"/>
      <c r="Y14" s="198"/>
      <c r="Z14" s="198"/>
      <c r="AA14" s="198"/>
      <c r="AB14" s="198"/>
      <c r="AC14" s="198"/>
      <c r="AD14" s="198"/>
    </row>
    <row r="15" spans="2:30" ht="20.25"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</row>
  </sheetData>
  <mergeCells count="17">
    <mergeCell ref="G7:J8"/>
    <mergeCell ref="K7:N8"/>
    <mergeCell ref="G10:G11"/>
    <mergeCell ref="K10:K11"/>
    <mergeCell ref="O10:O11"/>
    <mergeCell ref="D10:D11"/>
    <mergeCell ref="E10:E11"/>
    <mergeCell ref="D7:D9"/>
    <mergeCell ref="E7:E9"/>
    <mergeCell ref="F7:F9"/>
    <mergeCell ref="AA10:AA11"/>
    <mergeCell ref="O7:R8"/>
    <mergeCell ref="S7:V8"/>
    <mergeCell ref="W7:Z8"/>
    <mergeCell ref="AA7:AD8"/>
    <mergeCell ref="S10:S11"/>
    <mergeCell ref="W10:W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AE8E-F1C4-49FD-B92B-773F16E6FAB1}">
  <dimension ref="B5:AD16"/>
  <sheetViews>
    <sheetView rightToLeft="1" zoomScale="76" zoomScaleNormal="76" workbookViewId="0">
      <selection activeCell="G13" sqref="G13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196"/>
      <c r="I5" s="195"/>
      <c r="J5" s="195"/>
      <c r="K5" s="195"/>
      <c r="L5" s="195"/>
      <c r="M5" s="195"/>
      <c r="N5" s="199"/>
      <c r="O5" s="199"/>
      <c r="P5" s="199"/>
      <c r="Q5" s="199"/>
      <c r="R5" s="199"/>
      <c r="S5" s="199"/>
      <c r="T5" s="193"/>
      <c r="U5" s="193"/>
      <c r="V5" s="193"/>
      <c r="W5" s="193"/>
    </row>
    <row r="6" spans="2:30" ht="15" thickBot="1"/>
    <row r="7" spans="2:30" ht="15.4" customHeight="1" thickTop="1" thickBot="1">
      <c r="D7" s="259" t="s">
        <v>1</v>
      </c>
      <c r="E7" s="258" t="s">
        <v>271</v>
      </c>
      <c r="F7" s="258" t="s">
        <v>179</v>
      </c>
      <c r="G7" s="251" t="s">
        <v>184</v>
      </c>
      <c r="H7" s="252"/>
      <c r="I7" s="252"/>
      <c r="J7" s="253"/>
      <c r="K7" s="251" t="s">
        <v>183</v>
      </c>
      <c r="L7" s="252"/>
      <c r="M7" s="252"/>
      <c r="N7" s="253"/>
      <c r="O7" s="251" t="s">
        <v>182</v>
      </c>
      <c r="P7" s="252"/>
      <c r="Q7" s="252"/>
      <c r="R7" s="253"/>
      <c r="S7" s="251" t="s">
        <v>181</v>
      </c>
      <c r="T7" s="252"/>
      <c r="U7" s="252"/>
      <c r="V7" s="253"/>
      <c r="W7" s="251" t="s">
        <v>180</v>
      </c>
      <c r="X7" s="252"/>
      <c r="Y7" s="252"/>
      <c r="Z7" s="253"/>
      <c r="AA7" s="251" t="s">
        <v>163</v>
      </c>
      <c r="AB7" s="252"/>
      <c r="AC7" s="252"/>
      <c r="AD7" s="253"/>
    </row>
    <row r="8" spans="2:30" ht="15.4" customHeight="1" thickTop="1" thickBot="1">
      <c r="D8" s="259"/>
      <c r="E8" s="258"/>
      <c r="F8" s="258"/>
      <c r="G8" s="254"/>
      <c r="H8" s="255"/>
      <c r="I8" s="255"/>
      <c r="J8" s="256"/>
      <c r="K8" s="254"/>
      <c r="L8" s="255"/>
      <c r="M8" s="255"/>
      <c r="N8" s="256"/>
      <c r="O8" s="254"/>
      <c r="P8" s="255"/>
      <c r="Q8" s="255"/>
      <c r="R8" s="256"/>
      <c r="S8" s="254"/>
      <c r="T8" s="255"/>
      <c r="U8" s="255"/>
      <c r="V8" s="256"/>
      <c r="W8" s="254"/>
      <c r="X8" s="255"/>
      <c r="Y8" s="255"/>
      <c r="Z8" s="256"/>
      <c r="AA8" s="254"/>
      <c r="AB8" s="255"/>
      <c r="AC8" s="255"/>
      <c r="AD8" s="256"/>
    </row>
    <row r="9" spans="2:30" ht="16.5" thickTop="1" thickBot="1">
      <c r="D9" s="259"/>
      <c r="E9" s="258"/>
      <c r="F9" s="258"/>
      <c r="G9" s="200" t="s">
        <v>4</v>
      </c>
      <c r="H9" s="200" t="s">
        <v>9</v>
      </c>
      <c r="I9" s="200" t="s">
        <v>168</v>
      </c>
      <c r="J9" s="200" t="s">
        <v>102</v>
      </c>
      <c r="K9" s="200" t="s">
        <v>4</v>
      </c>
      <c r="L9" s="200" t="s">
        <v>9</v>
      </c>
      <c r="M9" s="200" t="s">
        <v>168</v>
      </c>
      <c r="N9" s="200" t="s">
        <v>102</v>
      </c>
      <c r="O9" s="200" t="s">
        <v>4</v>
      </c>
      <c r="P9" s="200" t="s">
        <v>9</v>
      </c>
      <c r="Q9" s="200" t="s">
        <v>168</v>
      </c>
      <c r="R9" s="200" t="s">
        <v>102</v>
      </c>
      <c r="S9" s="200" t="s">
        <v>4</v>
      </c>
      <c r="T9" s="200" t="s">
        <v>9</v>
      </c>
      <c r="U9" s="200" t="s">
        <v>168</v>
      </c>
      <c r="V9" s="200" t="s">
        <v>102</v>
      </c>
      <c r="W9" s="200" t="s">
        <v>4</v>
      </c>
      <c r="X9" s="200" t="s">
        <v>9</v>
      </c>
      <c r="Y9" s="200" t="s">
        <v>168</v>
      </c>
      <c r="Z9" s="200" t="s">
        <v>102</v>
      </c>
      <c r="AA9" s="200" t="s">
        <v>4</v>
      </c>
      <c r="AB9" s="200" t="s">
        <v>9</v>
      </c>
      <c r="AC9" s="200" t="s">
        <v>168</v>
      </c>
      <c r="AD9" s="200" t="s">
        <v>102</v>
      </c>
    </row>
    <row r="10" spans="2:30" ht="16.5" thickTop="1" thickBot="1">
      <c r="D10" s="257">
        <v>1</v>
      </c>
      <c r="E10" s="258" t="s">
        <v>270</v>
      </c>
      <c r="F10" s="200" t="s">
        <v>165</v>
      </c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</row>
    <row r="11" spans="2:30" ht="16.5" thickTop="1" thickBot="1">
      <c r="B11" t="s">
        <v>166</v>
      </c>
      <c r="D11" s="257"/>
      <c r="E11" s="258"/>
      <c r="F11" s="191" t="s">
        <v>164</v>
      </c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</row>
    <row r="12" spans="2:30" ht="16.5" thickTop="1" thickBot="1">
      <c r="D12" s="257">
        <v>2</v>
      </c>
      <c r="E12" s="258" t="s">
        <v>269</v>
      </c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</row>
    <row r="13" spans="2:30" ht="16.5" thickTop="1" thickBot="1">
      <c r="D13" s="257"/>
      <c r="E13" s="258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</row>
    <row r="14" spans="2:30" ht="15.4" customHeight="1" thickTop="1"/>
    <row r="16" spans="2:30">
      <c r="E16" t="s">
        <v>236</v>
      </c>
      <c r="H16" t="s">
        <v>158</v>
      </c>
      <c r="V16" t="s">
        <v>159</v>
      </c>
    </row>
  </sheetData>
  <mergeCells count="13">
    <mergeCell ref="D12:D13"/>
    <mergeCell ref="E12:E13"/>
    <mergeCell ref="D7:D9"/>
    <mergeCell ref="E7:E9"/>
    <mergeCell ref="F7:F9"/>
    <mergeCell ref="S7:V8"/>
    <mergeCell ref="W7:Z8"/>
    <mergeCell ref="AA7:AD8"/>
    <mergeCell ref="D10:D11"/>
    <mergeCell ref="E10:E11"/>
    <mergeCell ref="G7:J8"/>
    <mergeCell ref="K7:N8"/>
    <mergeCell ref="O7:R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AD52"/>
  <sheetViews>
    <sheetView rightToLeft="1" zoomScaleNormal="100" workbookViewId="0">
      <selection activeCell="F20" sqref="F20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196"/>
      <c r="I5" s="195"/>
      <c r="J5" s="195"/>
      <c r="K5" s="195"/>
      <c r="L5" s="195"/>
      <c r="M5" s="195"/>
      <c r="N5" s="194"/>
      <c r="O5" s="194"/>
      <c r="P5" s="194"/>
      <c r="Q5" s="194"/>
      <c r="R5" s="194"/>
      <c r="S5" s="194"/>
      <c r="T5" s="193"/>
      <c r="U5" s="193"/>
      <c r="V5" s="193"/>
      <c r="W5" s="193"/>
    </row>
    <row r="6" spans="2:30" ht="15" thickBot="1"/>
    <row r="7" spans="2:30" ht="15.4" customHeight="1" thickTop="1" thickBot="1">
      <c r="D7" s="259" t="s">
        <v>1</v>
      </c>
      <c r="E7" s="258" t="s">
        <v>65</v>
      </c>
      <c r="F7" s="258" t="s">
        <v>179</v>
      </c>
      <c r="G7" s="251" t="s">
        <v>184</v>
      </c>
      <c r="H7" s="252"/>
      <c r="I7" s="252"/>
      <c r="J7" s="253"/>
      <c r="K7" s="251" t="s">
        <v>183</v>
      </c>
      <c r="L7" s="252"/>
      <c r="M7" s="252"/>
      <c r="N7" s="253"/>
      <c r="O7" s="251" t="s">
        <v>182</v>
      </c>
      <c r="P7" s="252"/>
      <c r="Q7" s="252"/>
      <c r="R7" s="253"/>
      <c r="S7" s="251" t="s">
        <v>181</v>
      </c>
      <c r="T7" s="252"/>
      <c r="U7" s="252"/>
      <c r="V7" s="253"/>
      <c r="W7" s="251" t="s">
        <v>180</v>
      </c>
      <c r="X7" s="252"/>
      <c r="Y7" s="252"/>
      <c r="Z7" s="253"/>
      <c r="AA7" s="251" t="s">
        <v>163</v>
      </c>
      <c r="AB7" s="252"/>
      <c r="AC7" s="252"/>
      <c r="AD7" s="253"/>
    </row>
    <row r="8" spans="2:30" ht="15.4" customHeight="1" thickTop="1" thickBot="1">
      <c r="D8" s="259"/>
      <c r="E8" s="258"/>
      <c r="F8" s="258"/>
      <c r="G8" s="254"/>
      <c r="H8" s="255"/>
      <c r="I8" s="255"/>
      <c r="J8" s="256"/>
      <c r="K8" s="254"/>
      <c r="L8" s="255"/>
      <c r="M8" s="255"/>
      <c r="N8" s="256"/>
      <c r="O8" s="254"/>
      <c r="P8" s="255"/>
      <c r="Q8" s="255"/>
      <c r="R8" s="256"/>
      <c r="S8" s="254"/>
      <c r="T8" s="255"/>
      <c r="U8" s="255"/>
      <c r="V8" s="256"/>
      <c r="W8" s="254"/>
      <c r="X8" s="255"/>
      <c r="Y8" s="255"/>
      <c r="Z8" s="256"/>
      <c r="AA8" s="254"/>
      <c r="AB8" s="255"/>
      <c r="AC8" s="255"/>
      <c r="AD8" s="256"/>
    </row>
    <row r="9" spans="2:30" ht="16.5" thickTop="1" thickBot="1">
      <c r="D9" s="259"/>
      <c r="E9" s="258"/>
      <c r="F9" s="258"/>
      <c r="G9" s="200" t="s">
        <v>4</v>
      </c>
      <c r="H9" s="200" t="s">
        <v>9</v>
      </c>
      <c r="I9" s="200" t="s">
        <v>168</v>
      </c>
      <c r="J9" s="200" t="s">
        <v>102</v>
      </c>
      <c r="K9" s="200" t="s">
        <v>4</v>
      </c>
      <c r="L9" s="200" t="s">
        <v>9</v>
      </c>
      <c r="M9" s="200" t="s">
        <v>168</v>
      </c>
      <c r="N9" s="200" t="s">
        <v>102</v>
      </c>
      <c r="O9" s="200" t="s">
        <v>4</v>
      </c>
      <c r="P9" s="200" t="s">
        <v>9</v>
      </c>
      <c r="Q9" s="200" t="s">
        <v>168</v>
      </c>
      <c r="R9" s="200" t="s">
        <v>102</v>
      </c>
      <c r="S9" s="200" t="s">
        <v>4</v>
      </c>
      <c r="T9" s="200" t="s">
        <v>9</v>
      </c>
      <c r="U9" s="200" t="s">
        <v>168</v>
      </c>
      <c r="V9" s="200" t="s">
        <v>102</v>
      </c>
      <c r="W9" s="200" t="s">
        <v>4</v>
      </c>
      <c r="X9" s="200" t="s">
        <v>9</v>
      </c>
      <c r="Y9" s="200" t="s">
        <v>168</v>
      </c>
      <c r="Z9" s="200" t="s">
        <v>102</v>
      </c>
      <c r="AA9" s="200" t="s">
        <v>4</v>
      </c>
      <c r="AB9" s="200" t="s">
        <v>9</v>
      </c>
      <c r="AC9" s="200" t="s">
        <v>168</v>
      </c>
      <c r="AD9" s="200" t="s">
        <v>102</v>
      </c>
    </row>
    <row r="10" spans="2:30" ht="16.5" thickTop="1" thickBot="1">
      <c r="D10" s="257">
        <v>1</v>
      </c>
      <c r="E10" s="258"/>
      <c r="F10" s="192" t="s">
        <v>165</v>
      </c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</row>
    <row r="11" spans="2:30" ht="16.5" thickTop="1" thickBot="1">
      <c r="B11" t="s">
        <v>166</v>
      </c>
      <c r="D11" s="257"/>
      <c r="E11" s="258"/>
      <c r="F11" s="191" t="s">
        <v>164</v>
      </c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</row>
    <row r="12" spans="2:30" ht="16.5" thickTop="1" thickBot="1">
      <c r="D12" s="264" t="s">
        <v>186</v>
      </c>
      <c r="E12" s="265"/>
      <c r="F12" s="266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</row>
    <row r="13" spans="2:30" ht="16.5" thickTop="1" thickBot="1">
      <c r="D13" s="260"/>
      <c r="E13" s="267"/>
      <c r="F13" s="268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</row>
    <row r="14" spans="2:30" ht="15" thickTop="1"/>
    <row r="17" spans="5:25" ht="23.25">
      <c r="E17" s="132" t="s">
        <v>236</v>
      </c>
      <c r="H17" s="217" t="s">
        <v>158</v>
      </c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 t="s">
        <v>159</v>
      </c>
      <c r="W17" s="217"/>
      <c r="X17" s="217"/>
      <c r="Y17" s="218"/>
    </row>
    <row r="18" spans="5:25" ht="20.25"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</row>
    <row r="52" ht="15.4" customHeight="1"/>
  </sheetData>
  <mergeCells count="12">
    <mergeCell ref="D12:F13"/>
    <mergeCell ref="O7:R8"/>
    <mergeCell ref="S7:V8"/>
    <mergeCell ref="W7:Z8"/>
    <mergeCell ref="AA7:AD8"/>
    <mergeCell ref="D10:D11"/>
    <mergeCell ref="E10:E11"/>
    <mergeCell ref="D7:D9"/>
    <mergeCell ref="E7:E9"/>
    <mergeCell ref="F7:F9"/>
    <mergeCell ref="G7:J8"/>
    <mergeCell ref="K7:N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AT15"/>
  <sheetViews>
    <sheetView rightToLeft="1" zoomScale="81" workbookViewId="0">
      <selection activeCell="E18" sqref="E18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61" t="s">
        <v>268</v>
      </c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261"/>
    </row>
    <row r="6" spans="2:46" ht="15" thickBot="1"/>
    <row r="7" spans="2:46" ht="15.4" customHeight="1" thickTop="1" thickBot="1">
      <c r="D7" s="259" t="s">
        <v>1</v>
      </c>
      <c r="E7" s="258" t="s">
        <v>65</v>
      </c>
      <c r="F7" s="258" t="s">
        <v>179</v>
      </c>
      <c r="G7" s="251" t="s">
        <v>178</v>
      </c>
      <c r="H7" s="252"/>
      <c r="I7" s="252"/>
      <c r="J7" s="253"/>
      <c r="K7" s="251" t="s">
        <v>177</v>
      </c>
      <c r="L7" s="252"/>
      <c r="M7" s="252"/>
      <c r="N7" s="253"/>
      <c r="O7" s="251" t="s">
        <v>176</v>
      </c>
      <c r="P7" s="252"/>
      <c r="Q7" s="252"/>
      <c r="R7" s="253"/>
      <c r="S7" s="251" t="s">
        <v>175</v>
      </c>
      <c r="T7" s="252"/>
      <c r="U7" s="252"/>
      <c r="V7" s="253"/>
      <c r="W7" s="251" t="s">
        <v>174</v>
      </c>
      <c r="X7" s="252"/>
      <c r="Y7" s="252"/>
      <c r="Z7" s="253"/>
      <c r="AA7" s="251" t="s">
        <v>173</v>
      </c>
      <c r="AB7" s="252"/>
      <c r="AC7" s="252"/>
      <c r="AD7" s="253"/>
      <c r="AE7" s="251" t="s">
        <v>172</v>
      </c>
      <c r="AF7" s="252"/>
      <c r="AG7" s="252"/>
      <c r="AH7" s="253"/>
      <c r="AI7" s="251" t="s">
        <v>171</v>
      </c>
      <c r="AJ7" s="252"/>
      <c r="AK7" s="252"/>
      <c r="AL7" s="253"/>
      <c r="AM7" s="258" t="s">
        <v>170</v>
      </c>
      <c r="AN7" s="258"/>
      <c r="AO7" s="258"/>
      <c r="AP7" s="258"/>
      <c r="AQ7" s="258" t="s">
        <v>169</v>
      </c>
      <c r="AR7" s="258"/>
      <c r="AS7" s="258"/>
      <c r="AT7" s="258"/>
    </row>
    <row r="8" spans="2:46" ht="15.4" customHeight="1" thickTop="1" thickBot="1">
      <c r="D8" s="259"/>
      <c r="E8" s="258"/>
      <c r="F8" s="258"/>
      <c r="G8" s="254"/>
      <c r="H8" s="255"/>
      <c r="I8" s="255"/>
      <c r="J8" s="256"/>
      <c r="K8" s="254"/>
      <c r="L8" s="255"/>
      <c r="M8" s="255"/>
      <c r="N8" s="256"/>
      <c r="O8" s="254"/>
      <c r="P8" s="255"/>
      <c r="Q8" s="255"/>
      <c r="R8" s="256"/>
      <c r="S8" s="254"/>
      <c r="T8" s="255"/>
      <c r="U8" s="255"/>
      <c r="V8" s="256"/>
      <c r="W8" s="254"/>
      <c r="X8" s="255"/>
      <c r="Y8" s="255"/>
      <c r="Z8" s="256"/>
      <c r="AA8" s="254"/>
      <c r="AB8" s="255"/>
      <c r="AC8" s="255"/>
      <c r="AD8" s="256"/>
      <c r="AE8" s="254"/>
      <c r="AF8" s="255"/>
      <c r="AG8" s="255"/>
      <c r="AH8" s="256"/>
      <c r="AI8" s="254"/>
      <c r="AJ8" s="255"/>
      <c r="AK8" s="255"/>
      <c r="AL8" s="256"/>
      <c r="AM8" s="258"/>
      <c r="AN8" s="258"/>
      <c r="AO8" s="258"/>
      <c r="AP8" s="258"/>
      <c r="AQ8" s="258"/>
      <c r="AR8" s="258"/>
      <c r="AS8" s="258"/>
      <c r="AT8" s="258"/>
    </row>
    <row r="9" spans="2:46" ht="16.5" thickTop="1" thickBot="1">
      <c r="D9" s="259"/>
      <c r="E9" s="258"/>
      <c r="F9" s="258"/>
      <c r="G9" s="190" t="s">
        <v>4</v>
      </c>
      <c r="H9" s="190" t="s">
        <v>9</v>
      </c>
      <c r="I9" s="190" t="s">
        <v>168</v>
      </c>
      <c r="J9" s="190" t="s">
        <v>102</v>
      </c>
      <c r="K9" s="190" t="s">
        <v>4</v>
      </c>
      <c r="L9" s="190" t="s">
        <v>9</v>
      </c>
      <c r="M9" s="190" t="s">
        <v>168</v>
      </c>
      <c r="N9" s="190" t="s">
        <v>102</v>
      </c>
      <c r="O9" s="190" t="s">
        <v>4</v>
      </c>
      <c r="P9" s="190" t="s">
        <v>9</v>
      </c>
      <c r="Q9" s="190" t="s">
        <v>168</v>
      </c>
      <c r="R9" s="190" t="s">
        <v>102</v>
      </c>
      <c r="S9" s="190" t="s">
        <v>4</v>
      </c>
      <c r="T9" s="190" t="s">
        <v>9</v>
      </c>
      <c r="U9" s="190" t="s">
        <v>168</v>
      </c>
      <c r="V9" s="190" t="s">
        <v>102</v>
      </c>
      <c r="W9" s="190" t="s">
        <v>4</v>
      </c>
      <c r="X9" s="190" t="s">
        <v>9</v>
      </c>
      <c r="Y9" s="190" t="s">
        <v>168</v>
      </c>
      <c r="Z9" s="190" t="s">
        <v>102</v>
      </c>
      <c r="AA9" s="190" t="s">
        <v>4</v>
      </c>
      <c r="AB9" s="190" t="s">
        <v>9</v>
      </c>
      <c r="AC9" s="190" t="s">
        <v>168</v>
      </c>
      <c r="AD9" s="190" t="s">
        <v>102</v>
      </c>
      <c r="AE9" s="190" t="s">
        <v>4</v>
      </c>
      <c r="AF9" s="190" t="s">
        <v>9</v>
      </c>
      <c r="AG9" s="190" t="s">
        <v>168</v>
      </c>
      <c r="AH9" s="190" t="s">
        <v>102</v>
      </c>
      <c r="AI9" s="190" t="s">
        <v>4</v>
      </c>
      <c r="AJ9" s="190" t="s">
        <v>9</v>
      </c>
      <c r="AK9" s="190" t="s">
        <v>168</v>
      </c>
      <c r="AL9" s="190" t="s">
        <v>102</v>
      </c>
      <c r="AM9" s="191" t="s">
        <v>4</v>
      </c>
      <c r="AN9" s="191" t="s">
        <v>9</v>
      </c>
      <c r="AO9" s="191" t="s">
        <v>167</v>
      </c>
      <c r="AP9" s="191" t="s">
        <v>102</v>
      </c>
      <c r="AQ9" s="191" t="s">
        <v>4</v>
      </c>
      <c r="AR9" s="191" t="s">
        <v>9</v>
      </c>
      <c r="AS9" s="191" t="s">
        <v>167</v>
      </c>
      <c r="AT9" s="191" t="s">
        <v>102</v>
      </c>
    </row>
    <row r="10" spans="2:46" ht="16.5" thickTop="1" thickBot="1">
      <c r="D10" s="257">
        <v>1</v>
      </c>
      <c r="E10" s="258"/>
      <c r="F10" s="190" t="s">
        <v>165</v>
      </c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89"/>
      <c r="AN10" s="189"/>
      <c r="AO10" s="189"/>
      <c r="AP10" s="189"/>
      <c r="AQ10" s="189"/>
      <c r="AR10" s="189"/>
      <c r="AS10" s="189"/>
      <c r="AT10" s="189"/>
    </row>
    <row r="11" spans="2:46" ht="16.5" thickTop="1" thickBot="1">
      <c r="B11" t="s">
        <v>166</v>
      </c>
      <c r="D11" s="257"/>
      <c r="E11" s="258"/>
      <c r="F11" s="191" t="s">
        <v>164</v>
      </c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89"/>
      <c r="AN11" s="189"/>
      <c r="AO11" s="189"/>
      <c r="AP11" s="189"/>
      <c r="AQ11" s="189"/>
      <c r="AR11" s="189"/>
      <c r="AS11" s="189"/>
      <c r="AT11" s="189"/>
    </row>
    <row r="12" spans="2:46" ht="16.5" thickTop="1" thickBot="1">
      <c r="D12" s="262" t="s">
        <v>163</v>
      </c>
      <c r="E12" s="263"/>
      <c r="F12" s="190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</row>
    <row r="13" spans="2:46" ht="15.4" customHeight="1" thickTop="1"/>
    <row r="15" spans="2:46">
      <c r="K15" t="s">
        <v>158</v>
      </c>
      <c r="AN15" t="s">
        <v>159</v>
      </c>
    </row>
  </sheetData>
  <mergeCells count="17">
    <mergeCell ref="Q5:AC5"/>
    <mergeCell ref="D7:D9"/>
    <mergeCell ref="E7:E9"/>
    <mergeCell ref="F7:F9"/>
    <mergeCell ref="G7:J8"/>
    <mergeCell ref="K7:N8"/>
    <mergeCell ref="O7:R8"/>
    <mergeCell ref="S7:V8"/>
    <mergeCell ref="W7:Z8"/>
    <mergeCell ref="AA7:AD8"/>
    <mergeCell ref="AI7:AL8"/>
    <mergeCell ref="AM7:AP8"/>
    <mergeCell ref="AQ7:AT8"/>
    <mergeCell ref="D10:D11"/>
    <mergeCell ref="E10:E11"/>
    <mergeCell ref="AE7:AH8"/>
    <mergeCell ref="D12:E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AT14"/>
  <sheetViews>
    <sheetView rightToLeft="1" zoomScale="98" workbookViewId="0">
      <selection activeCell="G18" sqref="G18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61" t="s">
        <v>185</v>
      </c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261"/>
    </row>
    <row r="6" spans="2:46" ht="15" thickBot="1"/>
    <row r="7" spans="2:46" ht="15.4" customHeight="1" thickTop="1" thickBot="1">
      <c r="D7" s="259" t="s">
        <v>1</v>
      </c>
      <c r="E7" s="258" t="s">
        <v>65</v>
      </c>
      <c r="F7" s="258" t="s">
        <v>179</v>
      </c>
      <c r="G7" s="251" t="s">
        <v>178</v>
      </c>
      <c r="H7" s="252"/>
      <c r="I7" s="252"/>
      <c r="J7" s="253"/>
      <c r="K7" s="251" t="s">
        <v>177</v>
      </c>
      <c r="L7" s="252"/>
      <c r="M7" s="252"/>
      <c r="N7" s="253"/>
      <c r="O7" s="251" t="s">
        <v>176</v>
      </c>
      <c r="P7" s="252"/>
      <c r="Q7" s="252"/>
      <c r="R7" s="253"/>
      <c r="S7" s="251" t="s">
        <v>175</v>
      </c>
      <c r="T7" s="252"/>
      <c r="U7" s="252"/>
      <c r="V7" s="253"/>
      <c r="W7" s="251" t="s">
        <v>174</v>
      </c>
      <c r="X7" s="252"/>
      <c r="Y7" s="252"/>
      <c r="Z7" s="253"/>
      <c r="AA7" s="251" t="s">
        <v>173</v>
      </c>
      <c r="AB7" s="252"/>
      <c r="AC7" s="252"/>
      <c r="AD7" s="253"/>
      <c r="AE7" s="251" t="s">
        <v>172</v>
      </c>
      <c r="AF7" s="252"/>
      <c r="AG7" s="252"/>
      <c r="AH7" s="253"/>
      <c r="AI7" s="251" t="s">
        <v>171</v>
      </c>
      <c r="AJ7" s="252"/>
      <c r="AK7" s="252"/>
      <c r="AL7" s="253"/>
      <c r="AM7" s="258" t="s">
        <v>170</v>
      </c>
      <c r="AN7" s="258"/>
      <c r="AO7" s="258"/>
      <c r="AP7" s="258"/>
      <c r="AQ7" s="258" t="s">
        <v>169</v>
      </c>
      <c r="AR7" s="258"/>
      <c r="AS7" s="258"/>
      <c r="AT7" s="258"/>
    </row>
    <row r="8" spans="2:46" ht="15.4" customHeight="1" thickTop="1" thickBot="1">
      <c r="D8" s="259"/>
      <c r="E8" s="258"/>
      <c r="F8" s="258"/>
      <c r="G8" s="254"/>
      <c r="H8" s="255"/>
      <c r="I8" s="255"/>
      <c r="J8" s="256"/>
      <c r="K8" s="254"/>
      <c r="L8" s="255"/>
      <c r="M8" s="255"/>
      <c r="N8" s="256"/>
      <c r="O8" s="254"/>
      <c r="P8" s="255"/>
      <c r="Q8" s="255"/>
      <c r="R8" s="256"/>
      <c r="S8" s="254"/>
      <c r="T8" s="255"/>
      <c r="U8" s="255"/>
      <c r="V8" s="256"/>
      <c r="W8" s="254"/>
      <c r="X8" s="255"/>
      <c r="Y8" s="255"/>
      <c r="Z8" s="256"/>
      <c r="AA8" s="254"/>
      <c r="AB8" s="255"/>
      <c r="AC8" s="255"/>
      <c r="AD8" s="256"/>
      <c r="AE8" s="254"/>
      <c r="AF8" s="255"/>
      <c r="AG8" s="255"/>
      <c r="AH8" s="256"/>
      <c r="AI8" s="254"/>
      <c r="AJ8" s="255"/>
      <c r="AK8" s="255"/>
      <c r="AL8" s="256"/>
      <c r="AM8" s="258"/>
      <c r="AN8" s="258"/>
      <c r="AO8" s="258"/>
      <c r="AP8" s="258"/>
      <c r="AQ8" s="258"/>
      <c r="AR8" s="258"/>
      <c r="AS8" s="258"/>
      <c r="AT8" s="258"/>
    </row>
    <row r="9" spans="2:46" ht="16.5" thickTop="1" thickBot="1">
      <c r="D9" s="259"/>
      <c r="E9" s="258"/>
      <c r="F9" s="258"/>
      <c r="G9" s="190" t="s">
        <v>4</v>
      </c>
      <c r="H9" s="190" t="s">
        <v>9</v>
      </c>
      <c r="I9" s="190" t="s">
        <v>168</v>
      </c>
      <c r="J9" s="190" t="s">
        <v>102</v>
      </c>
      <c r="K9" s="190" t="s">
        <v>4</v>
      </c>
      <c r="L9" s="190" t="s">
        <v>9</v>
      </c>
      <c r="M9" s="190" t="s">
        <v>168</v>
      </c>
      <c r="N9" s="190" t="s">
        <v>102</v>
      </c>
      <c r="O9" s="190" t="s">
        <v>4</v>
      </c>
      <c r="P9" s="190" t="s">
        <v>9</v>
      </c>
      <c r="Q9" s="190" t="s">
        <v>168</v>
      </c>
      <c r="R9" s="190" t="s">
        <v>102</v>
      </c>
      <c r="S9" s="190" t="s">
        <v>4</v>
      </c>
      <c r="T9" s="190" t="s">
        <v>9</v>
      </c>
      <c r="U9" s="190" t="s">
        <v>168</v>
      </c>
      <c r="V9" s="190" t="s">
        <v>102</v>
      </c>
      <c r="W9" s="190" t="s">
        <v>4</v>
      </c>
      <c r="X9" s="190" t="s">
        <v>9</v>
      </c>
      <c r="Y9" s="190" t="s">
        <v>168</v>
      </c>
      <c r="Z9" s="190" t="s">
        <v>102</v>
      </c>
      <c r="AA9" s="190" t="s">
        <v>4</v>
      </c>
      <c r="AB9" s="190" t="s">
        <v>9</v>
      </c>
      <c r="AC9" s="190" t="s">
        <v>168</v>
      </c>
      <c r="AD9" s="190" t="s">
        <v>102</v>
      </c>
      <c r="AE9" s="190" t="s">
        <v>4</v>
      </c>
      <c r="AF9" s="190" t="s">
        <v>9</v>
      </c>
      <c r="AG9" s="190" t="s">
        <v>168</v>
      </c>
      <c r="AH9" s="190" t="s">
        <v>102</v>
      </c>
      <c r="AI9" s="190" t="s">
        <v>4</v>
      </c>
      <c r="AJ9" s="190" t="s">
        <v>9</v>
      </c>
      <c r="AK9" s="190" t="s">
        <v>168</v>
      </c>
      <c r="AL9" s="190" t="s">
        <v>102</v>
      </c>
      <c r="AM9" s="191" t="s">
        <v>4</v>
      </c>
      <c r="AN9" s="191" t="s">
        <v>9</v>
      </c>
      <c r="AO9" s="191" t="s">
        <v>167</v>
      </c>
      <c r="AP9" s="191" t="s">
        <v>102</v>
      </c>
      <c r="AQ9" s="191" t="s">
        <v>4</v>
      </c>
      <c r="AR9" s="191" t="s">
        <v>9</v>
      </c>
      <c r="AS9" s="191" t="s">
        <v>167</v>
      </c>
      <c r="AT9" s="191" t="s">
        <v>102</v>
      </c>
    </row>
    <row r="10" spans="2:46" ht="16.5" thickTop="1" thickBot="1">
      <c r="D10" s="257">
        <v>1</v>
      </c>
      <c r="E10" s="258"/>
      <c r="F10" s="190" t="s">
        <v>165</v>
      </c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89"/>
      <c r="AN10" s="189"/>
      <c r="AO10" s="189"/>
      <c r="AP10" s="189"/>
      <c r="AQ10" s="189"/>
      <c r="AR10" s="189"/>
      <c r="AS10" s="189"/>
      <c r="AT10" s="189"/>
    </row>
    <row r="11" spans="2:46" ht="16.5" thickTop="1" thickBot="1">
      <c r="B11" t="s">
        <v>166</v>
      </c>
      <c r="D11" s="257"/>
      <c r="E11" s="258"/>
      <c r="F11" s="191" t="s">
        <v>164</v>
      </c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89"/>
      <c r="AN11" s="189"/>
      <c r="AO11" s="189"/>
      <c r="AP11" s="189"/>
      <c r="AQ11" s="189"/>
      <c r="AR11" s="189"/>
      <c r="AS11" s="189"/>
      <c r="AT11" s="189"/>
    </row>
    <row r="12" spans="2:46" ht="31.5" thickTop="1" thickBot="1">
      <c r="D12" s="216">
        <v>2</v>
      </c>
      <c r="E12" s="373" t="s">
        <v>267</v>
      </c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89"/>
      <c r="AN12" s="189"/>
      <c r="AO12" s="189"/>
      <c r="AP12" s="189"/>
      <c r="AQ12" s="189"/>
      <c r="AR12" s="189"/>
      <c r="AS12" s="189"/>
      <c r="AT12" s="189"/>
    </row>
    <row r="13" spans="2:46" ht="15.4" customHeight="1" thickTop="1"/>
    <row r="14" spans="2:46">
      <c r="J14" t="s">
        <v>158</v>
      </c>
      <c r="AL14" t="s">
        <v>159</v>
      </c>
    </row>
  </sheetData>
  <mergeCells count="16">
    <mergeCell ref="AQ7:AT8"/>
    <mergeCell ref="D10:D11"/>
    <mergeCell ref="E10:E11"/>
    <mergeCell ref="D7:D9"/>
    <mergeCell ref="E7:E9"/>
    <mergeCell ref="K7:N8"/>
    <mergeCell ref="O7:R8"/>
    <mergeCell ref="F7:F9"/>
    <mergeCell ref="AM7:AP8"/>
    <mergeCell ref="W7:Z8"/>
    <mergeCell ref="AA7:AD8"/>
    <mergeCell ref="AE7:AH8"/>
    <mergeCell ref="G7:J8"/>
    <mergeCell ref="S7:V8"/>
    <mergeCell ref="AI7:AL8"/>
    <mergeCell ref="Q5:AC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9">
    <tabColor rgb="FF92D050"/>
  </sheetPr>
  <dimension ref="A12:H26"/>
  <sheetViews>
    <sheetView rightToLeft="1" view="pageLayout" topLeftCell="A7" zoomScaleNormal="100" workbookViewId="0">
      <selection activeCell="E14" sqref="E14"/>
    </sheetView>
  </sheetViews>
  <sheetFormatPr defaultRowHeight="14.25"/>
  <cols>
    <col min="1" max="1" width="10.75" customWidth="1"/>
    <col min="2" max="2" width="14.25" customWidth="1"/>
    <col min="3" max="3" width="13.75" customWidth="1"/>
    <col min="4" max="4" width="12.375" customWidth="1"/>
    <col min="5" max="5" width="12.875" customWidth="1"/>
    <col min="6" max="6" width="12.375" customWidth="1"/>
    <col min="7" max="7" width="14.75" customWidth="1"/>
    <col min="8" max="8" width="12.75" customWidth="1"/>
  </cols>
  <sheetData>
    <row r="12" spans="2:8" ht="23.25" customHeight="1">
      <c r="B12" s="269" t="s">
        <v>36</v>
      </c>
      <c r="C12" s="269"/>
      <c r="D12" s="269"/>
      <c r="E12" s="13" t="s">
        <v>37</v>
      </c>
      <c r="F12" s="25"/>
      <c r="G12" s="13"/>
      <c r="H12" s="273" t="s">
        <v>99</v>
      </c>
    </row>
    <row r="13" spans="2:8" ht="23.25" customHeight="1">
      <c r="B13" s="13" t="s">
        <v>10</v>
      </c>
      <c r="C13" s="13" t="s">
        <v>6</v>
      </c>
      <c r="D13" s="13" t="s">
        <v>9</v>
      </c>
      <c r="E13" s="13" t="s">
        <v>38</v>
      </c>
      <c r="F13" s="21" t="s">
        <v>39</v>
      </c>
      <c r="G13" s="13" t="s">
        <v>40</v>
      </c>
      <c r="H13" s="274"/>
    </row>
    <row r="14" spans="2:8" ht="23.25" customHeight="1">
      <c r="B14" s="8">
        <f>SUM(C14:D14)</f>
        <v>0</v>
      </c>
      <c r="C14" s="8"/>
      <c r="D14" s="8"/>
      <c r="E14" s="86" t="e">
        <f>(B14/F14)</f>
        <v>#DIV/0!</v>
      </c>
      <c r="F14" s="16"/>
      <c r="G14" s="17" t="s">
        <v>41</v>
      </c>
      <c r="H14" s="271" t="s">
        <v>100</v>
      </c>
    </row>
    <row r="15" spans="2:8" ht="23.25" customHeight="1">
      <c r="B15" s="8">
        <f t="shared" ref="B15:B22" si="0">SUM(C15:D15)</f>
        <v>0</v>
      </c>
      <c r="C15" s="8"/>
      <c r="D15" s="8"/>
      <c r="E15" s="86" t="e">
        <f t="shared" ref="E15:E23" si="1">(B15/F15)</f>
        <v>#DIV/0!</v>
      </c>
      <c r="F15" s="16"/>
      <c r="G15" s="17" t="s">
        <v>42</v>
      </c>
      <c r="H15" s="272"/>
    </row>
    <row r="16" spans="2:8" ht="23.25" customHeight="1">
      <c r="B16" s="8">
        <f t="shared" si="0"/>
        <v>0</v>
      </c>
      <c r="C16" s="8"/>
      <c r="D16" s="8"/>
      <c r="E16" s="86" t="e">
        <f t="shared" si="1"/>
        <v>#DIV/0!</v>
      </c>
      <c r="F16" s="16"/>
      <c r="G16" s="17" t="s">
        <v>43</v>
      </c>
      <c r="H16" s="272"/>
    </row>
    <row r="17" spans="1:8" ht="23.25" customHeight="1">
      <c r="B17" s="8">
        <f t="shared" si="0"/>
        <v>0</v>
      </c>
      <c r="C17" s="8"/>
      <c r="D17" s="8"/>
      <c r="E17" s="86" t="e">
        <f t="shared" si="1"/>
        <v>#DIV/0!</v>
      </c>
      <c r="F17" s="16"/>
      <c r="G17" s="17" t="s">
        <v>44</v>
      </c>
      <c r="H17" s="272"/>
    </row>
    <row r="18" spans="1:8" ht="23.25" customHeight="1">
      <c r="B18" s="8">
        <f t="shared" si="0"/>
        <v>0</v>
      </c>
      <c r="C18" s="8"/>
      <c r="D18" s="8"/>
      <c r="E18" s="86" t="e">
        <f t="shared" si="1"/>
        <v>#DIV/0!</v>
      </c>
      <c r="F18" s="16"/>
      <c r="G18" s="17" t="s">
        <v>45</v>
      </c>
      <c r="H18" s="272"/>
    </row>
    <row r="19" spans="1:8" ht="23.25" customHeight="1">
      <c r="B19" s="8">
        <f t="shared" si="0"/>
        <v>0</v>
      </c>
      <c r="C19" s="8"/>
      <c r="D19" s="8"/>
      <c r="E19" s="86" t="e">
        <f t="shared" si="1"/>
        <v>#DIV/0!</v>
      </c>
      <c r="F19" s="16"/>
      <c r="G19" s="17" t="s">
        <v>46</v>
      </c>
      <c r="H19" s="272"/>
    </row>
    <row r="20" spans="1:8" ht="23.25" customHeight="1">
      <c r="B20" s="8">
        <f t="shared" si="0"/>
        <v>0</v>
      </c>
      <c r="C20" s="8"/>
      <c r="D20" s="8"/>
      <c r="E20" s="86" t="e">
        <f t="shared" si="1"/>
        <v>#DIV/0!</v>
      </c>
      <c r="F20" s="16"/>
      <c r="G20" s="17" t="s">
        <v>47</v>
      </c>
      <c r="H20" s="272"/>
    </row>
    <row r="21" spans="1:8" ht="23.25" customHeight="1">
      <c r="B21" s="8">
        <f t="shared" si="0"/>
        <v>0</v>
      </c>
      <c r="C21" s="8"/>
      <c r="D21" s="8"/>
      <c r="E21" s="86" t="e">
        <f t="shared" si="1"/>
        <v>#DIV/0!</v>
      </c>
      <c r="F21" s="16"/>
      <c r="G21" s="17" t="s">
        <v>48</v>
      </c>
      <c r="H21" s="272"/>
    </row>
    <row r="22" spans="1:8" ht="23.25" customHeight="1">
      <c r="B22" s="8">
        <f t="shared" si="0"/>
        <v>0</v>
      </c>
      <c r="C22" s="8"/>
      <c r="D22" s="8"/>
      <c r="E22" s="86" t="e">
        <f t="shared" si="1"/>
        <v>#DIV/0!</v>
      </c>
      <c r="F22" s="16"/>
      <c r="G22" s="17" t="s">
        <v>49</v>
      </c>
      <c r="H22" s="272"/>
    </row>
    <row r="23" spans="1:8" ht="23.25" customHeight="1">
      <c r="B23" s="15">
        <f t="shared" ref="B23" si="2">SUM(B14:B22)</f>
        <v>0</v>
      </c>
      <c r="C23" s="15"/>
      <c r="D23" s="15"/>
      <c r="E23" s="86" t="e">
        <f t="shared" si="1"/>
        <v>#DIV/0!</v>
      </c>
      <c r="F23" s="15">
        <f>SUM(F14:F22)</f>
        <v>0</v>
      </c>
      <c r="G23" s="12" t="s">
        <v>10</v>
      </c>
      <c r="H23" s="10"/>
    </row>
    <row r="24" spans="1:8" ht="23.25" customHeight="1">
      <c r="B24" s="89" t="e">
        <f>B23/F23</f>
        <v>#DIV/0!</v>
      </c>
      <c r="C24" s="87" t="e">
        <f>C23/F23</f>
        <v>#DIV/0!</v>
      </c>
      <c r="D24" s="87" t="e">
        <f>D23/F23</f>
        <v>#DIV/0!</v>
      </c>
      <c r="E24" s="270" t="s">
        <v>50</v>
      </c>
      <c r="F24" s="270"/>
      <c r="G24" s="270"/>
      <c r="H24" s="11"/>
    </row>
    <row r="25" spans="1:8" s="24" customFormat="1" ht="18">
      <c r="A25" s="24" t="s">
        <v>236</v>
      </c>
      <c r="B25" s="277" t="s">
        <v>158</v>
      </c>
      <c r="C25" s="277"/>
      <c r="F25" s="278" t="s">
        <v>159</v>
      </c>
      <c r="G25" s="278"/>
      <c r="H25" s="278"/>
    </row>
    <row r="26" spans="1:8" s="24" customFormat="1" ht="18">
      <c r="B26" s="275"/>
      <c r="C26" s="275"/>
      <c r="D26" s="275"/>
      <c r="E26" s="275"/>
      <c r="G26" s="276"/>
      <c r="H26" s="276"/>
    </row>
  </sheetData>
  <mergeCells count="9">
    <mergeCell ref="B12:D12"/>
    <mergeCell ref="E24:G24"/>
    <mergeCell ref="H14:H22"/>
    <mergeCell ref="H12:H13"/>
    <mergeCell ref="D26:E26"/>
    <mergeCell ref="G26:H26"/>
    <mergeCell ref="B26:C26"/>
    <mergeCell ref="B25:C25"/>
    <mergeCell ref="F25:H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1">
    <tabColor rgb="FF92D050"/>
  </sheetPr>
  <dimension ref="A11:H21"/>
  <sheetViews>
    <sheetView rightToLeft="1" view="pageLayout" topLeftCell="A7" zoomScaleNormal="100" workbookViewId="0">
      <selection activeCell="B20" sqref="B20"/>
    </sheetView>
  </sheetViews>
  <sheetFormatPr defaultRowHeight="14.25"/>
  <cols>
    <col min="2" max="2" width="14.25" customWidth="1"/>
    <col min="3" max="3" width="13.75" customWidth="1"/>
    <col min="4" max="4" width="12.375" customWidth="1"/>
    <col min="5" max="5" width="12.875" customWidth="1"/>
    <col min="6" max="6" width="12.375" customWidth="1"/>
    <col min="7" max="7" width="20.375" customWidth="1"/>
    <col min="8" max="8" width="12.75" customWidth="1"/>
  </cols>
  <sheetData>
    <row r="11" spans="2:8" ht="26.25" customHeight="1">
      <c r="B11" s="269" t="s">
        <v>36</v>
      </c>
      <c r="C11" s="269"/>
      <c r="D11" s="269"/>
      <c r="E11" s="13" t="s">
        <v>37</v>
      </c>
      <c r="F11" s="14"/>
      <c r="G11" s="13"/>
      <c r="H11" s="14"/>
    </row>
    <row r="12" spans="2:8" ht="26.25" customHeight="1">
      <c r="B12" s="13" t="s">
        <v>10</v>
      </c>
      <c r="C12" s="13" t="s">
        <v>6</v>
      </c>
      <c r="D12" s="13" t="s">
        <v>9</v>
      </c>
      <c r="E12" s="13" t="s">
        <v>38</v>
      </c>
      <c r="F12" s="13" t="s">
        <v>39</v>
      </c>
      <c r="G12" s="13" t="s">
        <v>40</v>
      </c>
      <c r="H12" s="13" t="s">
        <v>98</v>
      </c>
    </row>
    <row r="13" spans="2:8" ht="26.25" customHeight="1">
      <c r="B13" s="8"/>
      <c r="C13" s="8"/>
      <c r="D13" s="8"/>
      <c r="E13" s="85" t="e">
        <f>B13/F13</f>
        <v>#DIV/0!</v>
      </c>
      <c r="F13" s="16"/>
      <c r="G13" s="13" t="s">
        <v>51</v>
      </c>
      <c r="H13" s="271" t="s">
        <v>101</v>
      </c>
    </row>
    <row r="14" spans="2:8" ht="26.25" customHeight="1">
      <c r="B14" s="8"/>
      <c r="C14" s="8"/>
      <c r="D14" s="8"/>
      <c r="E14" s="85" t="e">
        <f t="shared" ref="E14:E18" si="0">B14/F14</f>
        <v>#DIV/0!</v>
      </c>
      <c r="F14" s="16"/>
      <c r="G14" s="13" t="s">
        <v>52</v>
      </c>
      <c r="H14" s="272"/>
    </row>
    <row r="15" spans="2:8" ht="26.25" customHeight="1">
      <c r="B15" s="8"/>
      <c r="C15" s="8"/>
      <c r="D15" s="8"/>
      <c r="E15" s="85" t="e">
        <f t="shared" si="0"/>
        <v>#DIV/0!</v>
      </c>
      <c r="F15" s="16"/>
      <c r="G15" s="13" t="s">
        <v>54</v>
      </c>
      <c r="H15" s="272"/>
    </row>
    <row r="16" spans="2:8" ht="26.25" customHeight="1">
      <c r="B16" s="8"/>
      <c r="C16" s="8"/>
      <c r="D16" s="8"/>
      <c r="E16" s="85" t="e">
        <f t="shared" si="0"/>
        <v>#DIV/0!</v>
      </c>
      <c r="F16" s="16"/>
      <c r="G16" s="13" t="s">
        <v>53</v>
      </c>
      <c r="H16" s="272"/>
    </row>
    <row r="17" spans="1:8" ht="26.25" customHeight="1">
      <c r="B17" s="8"/>
      <c r="C17" s="8"/>
      <c r="D17" s="8"/>
      <c r="E17" s="85" t="e">
        <f t="shared" si="0"/>
        <v>#DIV/0!</v>
      </c>
      <c r="F17" s="16"/>
      <c r="G17" s="13" t="s">
        <v>55</v>
      </c>
      <c r="H17" s="272"/>
    </row>
    <row r="18" spans="1:8" ht="26.25" customHeight="1">
      <c r="B18" s="8">
        <f t="shared" ref="B18" si="1">SUM(C18:D18)</f>
        <v>0</v>
      </c>
      <c r="C18" s="9">
        <f>SUM(C13:C17)</f>
        <v>0</v>
      </c>
      <c r="D18" s="9">
        <f>SUM(D13:D17)</f>
        <v>0</v>
      </c>
      <c r="E18" s="85" t="e">
        <f t="shared" si="0"/>
        <v>#DIV/0!</v>
      </c>
      <c r="F18" s="15">
        <f>SUM(F13:F17)</f>
        <v>0</v>
      </c>
      <c r="G18" s="12" t="s">
        <v>10</v>
      </c>
      <c r="H18" s="10"/>
    </row>
    <row r="19" spans="1:8">
      <c r="C19" s="88"/>
    </row>
    <row r="20" spans="1:8" ht="18">
      <c r="D20" s="129"/>
      <c r="E20" s="130"/>
      <c r="G20" s="133"/>
    </row>
    <row r="21" spans="1:8" ht="18">
      <c r="A21" s="279" t="s">
        <v>158</v>
      </c>
      <c r="B21" s="279"/>
      <c r="C21" s="279"/>
      <c r="D21" s="129"/>
      <c r="E21" s="129"/>
      <c r="F21" s="185"/>
      <c r="G21" s="148" t="s">
        <v>157</v>
      </c>
      <c r="H21" s="185"/>
    </row>
  </sheetData>
  <mergeCells count="3">
    <mergeCell ref="B11:D11"/>
    <mergeCell ref="H13:H17"/>
    <mergeCell ref="A21:C21"/>
  </mergeCells>
  <pageMargins left="0.70866141732283472" right="0.70866141732283472" top="0.31496062992125984" bottom="0.55118110236220474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AM35"/>
  <sheetViews>
    <sheetView rightToLeft="1" view="pageBreakPreview" topLeftCell="A2" zoomScale="118" zoomScaleNormal="100" zoomScaleSheetLayoutView="80" workbookViewId="0">
      <selection activeCell="A11" sqref="A11:AM32"/>
    </sheetView>
  </sheetViews>
  <sheetFormatPr defaultRowHeight="14.25"/>
  <cols>
    <col min="1" max="1" width="4" customWidth="1"/>
    <col min="2" max="2" width="7.25" customWidth="1"/>
    <col min="3" max="38" width="3.625" customWidth="1"/>
    <col min="39" max="39" width="5.375" customWidth="1"/>
  </cols>
  <sheetData>
    <row r="7" spans="1:39" ht="27.75" thickBot="1">
      <c r="C7" s="139"/>
    </row>
    <row r="8" spans="1:39">
      <c r="A8" s="285" t="s">
        <v>1</v>
      </c>
      <c r="B8" s="287" t="s">
        <v>162</v>
      </c>
      <c r="C8" s="289" t="s">
        <v>113</v>
      </c>
      <c r="D8" s="289"/>
      <c r="E8" s="289" t="s">
        <v>114</v>
      </c>
      <c r="F8" s="289"/>
      <c r="G8" s="289" t="s">
        <v>115</v>
      </c>
      <c r="H8" s="289"/>
      <c r="I8" s="289" t="s">
        <v>116</v>
      </c>
      <c r="J8" s="289"/>
      <c r="K8" s="289" t="s">
        <v>117</v>
      </c>
      <c r="L8" s="289"/>
      <c r="M8" s="289" t="s">
        <v>119</v>
      </c>
      <c r="N8" s="289"/>
      <c r="O8" s="289" t="s">
        <v>120</v>
      </c>
      <c r="P8" s="289"/>
      <c r="Q8" s="289" t="s">
        <v>121</v>
      </c>
      <c r="R8" s="289"/>
      <c r="S8" s="289" t="s">
        <v>122</v>
      </c>
      <c r="T8" s="289"/>
      <c r="U8" s="289" t="s">
        <v>123</v>
      </c>
      <c r="V8" s="289"/>
      <c r="W8" s="289" t="s">
        <v>124</v>
      </c>
      <c r="X8" s="289"/>
      <c r="Y8" s="290" t="s">
        <v>125</v>
      </c>
      <c r="Z8" s="290"/>
      <c r="AA8" s="291" t="s">
        <v>128</v>
      </c>
      <c r="AB8" s="292"/>
      <c r="AC8" s="289" t="s">
        <v>118</v>
      </c>
      <c r="AD8" s="289"/>
      <c r="AE8" s="289" t="s">
        <v>126</v>
      </c>
      <c r="AF8" s="289"/>
      <c r="AG8" s="289" t="s">
        <v>127</v>
      </c>
      <c r="AH8" s="289"/>
      <c r="AI8" s="289" t="s">
        <v>112</v>
      </c>
      <c r="AJ8" s="289"/>
      <c r="AK8" s="289" t="s">
        <v>102</v>
      </c>
      <c r="AL8" s="289"/>
      <c r="AM8" s="281" t="s">
        <v>13</v>
      </c>
    </row>
    <row r="9" spans="1:39" ht="16.5" thickBot="1">
      <c r="A9" s="286"/>
      <c r="B9" s="288"/>
      <c r="C9" s="143" t="s">
        <v>28</v>
      </c>
      <c r="D9" s="143" t="s">
        <v>29</v>
      </c>
      <c r="E9" s="143" t="s">
        <v>28</v>
      </c>
      <c r="F9" s="143" t="s">
        <v>29</v>
      </c>
      <c r="G9" s="143" t="s">
        <v>28</v>
      </c>
      <c r="H9" s="143" t="s">
        <v>29</v>
      </c>
      <c r="I9" s="143" t="s">
        <v>28</v>
      </c>
      <c r="J9" s="143" t="s">
        <v>29</v>
      </c>
      <c r="K9" s="143" t="s">
        <v>28</v>
      </c>
      <c r="L9" s="143" t="s">
        <v>29</v>
      </c>
      <c r="M9" s="143" t="s">
        <v>28</v>
      </c>
      <c r="N9" s="143" t="s">
        <v>29</v>
      </c>
      <c r="O9" s="143" t="s">
        <v>28</v>
      </c>
      <c r="P9" s="143" t="s">
        <v>29</v>
      </c>
      <c r="Q9" s="143" t="s">
        <v>28</v>
      </c>
      <c r="R9" s="143" t="s">
        <v>28</v>
      </c>
      <c r="S9" s="143" t="s">
        <v>28</v>
      </c>
      <c r="T9" s="143" t="s">
        <v>29</v>
      </c>
      <c r="U9" s="143" t="s">
        <v>28</v>
      </c>
      <c r="V9" s="143" t="s">
        <v>29</v>
      </c>
      <c r="W9" s="143" t="s">
        <v>28</v>
      </c>
      <c r="X9" s="143" t="s">
        <v>29</v>
      </c>
      <c r="Y9" s="143" t="s">
        <v>28</v>
      </c>
      <c r="Z9" s="143" t="s">
        <v>29</v>
      </c>
      <c r="AA9" s="143" t="s">
        <v>28</v>
      </c>
      <c r="AB9" s="143" t="s">
        <v>29</v>
      </c>
      <c r="AC9" s="143" t="s">
        <v>28</v>
      </c>
      <c r="AD9" s="143" t="s">
        <v>29</v>
      </c>
      <c r="AE9" s="143" t="s">
        <v>28</v>
      </c>
      <c r="AF9" s="143" t="s">
        <v>29</v>
      </c>
      <c r="AG9" s="143" t="s">
        <v>28</v>
      </c>
      <c r="AH9" s="143" t="s">
        <v>29</v>
      </c>
      <c r="AI9" s="143" t="s">
        <v>28</v>
      </c>
      <c r="AJ9" s="143" t="s">
        <v>29</v>
      </c>
      <c r="AK9" s="143" t="s">
        <v>28</v>
      </c>
      <c r="AL9" s="143" t="s">
        <v>29</v>
      </c>
      <c r="AM9" s="282"/>
    </row>
    <row r="10" spans="1:39" ht="15" customHeight="1">
      <c r="A10" s="141">
        <v>1</v>
      </c>
      <c r="B10" s="142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7"/>
      <c r="AL10" s="147"/>
      <c r="AM10" s="144"/>
    </row>
    <row r="11" spans="1:39" ht="15" customHeight="1" thickBot="1">
      <c r="A11" s="288" t="s">
        <v>13</v>
      </c>
      <c r="B11" s="288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54"/>
      <c r="AB11" s="154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</row>
    <row r="12" spans="1:39" ht="15" customHeight="1"/>
    <row r="13" spans="1:39" ht="15" customHeight="1">
      <c r="C13" s="284" t="s">
        <v>158</v>
      </c>
      <c r="D13" s="284"/>
      <c r="E13" s="284"/>
      <c r="F13" s="284"/>
      <c r="G13" s="284"/>
      <c r="H13" s="284"/>
      <c r="I13" s="284"/>
      <c r="J13" s="284"/>
      <c r="AB13" s="284" t="s">
        <v>159</v>
      </c>
      <c r="AC13" s="284"/>
      <c r="AD13" s="284"/>
      <c r="AE13" s="284"/>
      <c r="AF13" s="284"/>
      <c r="AG13" s="284"/>
      <c r="AH13" s="284"/>
      <c r="AI13" s="284"/>
      <c r="AJ13" s="284"/>
    </row>
    <row r="14" spans="1:39" ht="15" customHeight="1">
      <c r="C14" s="279"/>
      <c r="D14" s="279"/>
      <c r="E14" s="279"/>
      <c r="F14" s="279"/>
      <c r="G14" s="279"/>
      <c r="H14" s="129"/>
    </row>
    <row r="15" spans="1:39" ht="15" customHeight="1"/>
    <row r="16" spans="1:3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5" ht="15" customHeight="1"/>
  </sheetData>
  <mergeCells count="25">
    <mergeCell ref="W8:X8"/>
    <mergeCell ref="Y8:Z8"/>
    <mergeCell ref="C8:D8"/>
    <mergeCell ref="AA8:AB8"/>
    <mergeCell ref="E8:F8"/>
    <mergeCell ref="G8:H8"/>
    <mergeCell ref="I8:J8"/>
    <mergeCell ref="K8:L8"/>
    <mergeCell ref="M8:N8"/>
    <mergeCell ref="C14:G14"/>
    <mergeCell ref="AB13:AJ13"/>
    <mergeCell ref="C13:J13"/>
    <mergeCell ref="A11:B11"/>
    <mergeCell ref="AM8:AM9"/>
    <mergeCell ref="AC8:AD8"/>
    <mergeCell ref="AE8:AF8"/>
    <mergeCell ref="AG8:AH8"/>
    <mergeCell ref="AI8:AJ8"/>
    <mergeCell ref="AK8:AL8"/>
    <mergeCell ref="A8:A9"/>
    <mergeCell ref="B8:B9"/>
    <mergeCell ref="O8:P8"/>
    <mergeCell ref="Q8:R8"/>
    <mergeCell ref="S8:T8"/>
    <mergeCell ref="U8:V8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J28"/>
  <sheetViews>
    <sheetView rightToLeft="1" view="pageLayout" zoomScaleNormal="100" zoomScaleSheetLayoutView="112" workbookViewId="0">
      <selection activeCell="V23" sqref="V23"/>
    </sheetView>
  </sheetViews>
  <sheetFormatPr defaultColWidth="9" defaultRowHeight="15"/>
  <cols>
    <col min="1" max="1" width="3" style="109" bestFit="1" customWidth="1"/>
    <col min="2" max="2" width="10.75" style="106" bestFit="1" customWidth="1"/>
    <col min="3" max="3" width="4" style="109" bestFit="1" customWidth="1"/>
    <col min="4" max="4" width="3" style="109" bestFit="1" customWidth="1"/>
    <col min="5" max="8" width="4" style="109" bestFit="1" customWidth="1"/>
    <col min="9" max="11" width="3" style="109" bestFit="1" customWidth="1"/>
    <col min="12" max="12" width="2.875" style="109" customWidth="1"/>
    <col min="13" max="13" width="3.125" style="109" customWidth="1"/>
    <col min="14" max="14" width="2.625" style="109" customWidth="1"/>
    <col min="15" max="16" width="4" style="109" bestFit="1" customWidth="1"/>
    <col min="17" max="21" width="3" style="109" bestFit="1" customWidth="1"/>
    <col min="22" max="22" width="4" style="109" bestFit="1" customWidth="1"/>
    <col min="23" max="23" width="4.75" style="109" customWidth="1"/>
    <col min="24" max="24" width="5" style="109" bestFit="1" customWidth="1"/>
    <col min="25" max="25" width="3" style="109" bestFit="1" customWidth="1"/>
    <col min="26" max="26" width="2.125" style="109" bestFit="1" customWidth="1"/>
    <col min="27" max="27" width="3" style="109" bestFit="1" customWidth="1"/>
    <col min="28" max="28" width="2.125" style="109" bestFit="1" customWidth="1"/>
    <col min="29" max="30" width="3" style="109" bestFit="1" customWidth="1"/>
    <col min="31" max="31" width="6" style="109" bestFit="1" customWidth="1"/>
    <col min="32" max="32" width="5" style="109" bestFit="1" customWidth="1"/>
    <col min="33" max="33" width="6" style="106" bestFit="1" customWidth="1"/>
    <col min="34" max="16384" width="9" style="109"/>
  </cols>
  <sheetData>
    <row r="1" spans="1:33" ht="12.75" customHeight="1"/>
    <row r="2" spans="1:33" ht="12.75" customHeight="1">
      <c r="W2" s="125"/>
      <c r="X2" s="125"/>
      <c r="Y2" s="125"/>
      <c r="Z2" s="125"/>
      <c r="AA2" s="125"/>
      <c r="AB2" s="125"/>
      <c r="AC2" s="125"/>
      <c r="AD2" s="125"/>
      <c r="AE2" s="125"/>
      <c r="AF2" s="125"/>
    </row>
    <row r="3" spans="1:33" ht="12.75" customHeight="1" thickBot="1"/>
    <row r="4" spans="1:33" s="105" customFormat="1" ht="17.25" customHeight="1">
      <c r="A4" s="244" t="s">
        <v>1</v>
      </c>
      <c r="B4" s="246" t="s">
        <v>160</v>
      </c>
      <c r="C4" s="241" t="s">
        <v>14</v>
      </c>
      <c r="D4" s="248"/>
      <c r="E4" s="241" t="s">
        <v>15</v>
      </c>
      <c r="F4" s="239"/>
      <c r="G4" s="248" t="s">
        <v>103</v>
      </c>
      <c r="H4" s="248"/>
      <c r="I4" s="248" t="s">
        <v>104</v>
      </c>
      <c r="J4" s="248"/>
      <c r="K4" s="248" t="s">
        <v>105</v>
      </c>
      <c r="L4" s="248"/>
      <c r="M4" s="248" t="s">
        <v>237</v>
      </c>
      <c r="N4" s="248"/>
      <c r="O4" s="248" t="s">
        <v>238</v>
      </c>
      <c r="P4" s="248"/>
      <c r="Q4" s="239" t="s">
        <v>106</v>
      </c>
      <c r="R4" s="241"/>
      <c r="S4" s="248" t="s">
        <v>107</v>
      </c>
      <c r="T4" s="248"/>
      <c r="U4" s="248" t="s">
        <v>239</v>
      </c>
      <c r="V4" s="248"/>
      <c r="W4" s="248" t="s">
        <v>24</v>
      </c>
      <c r="X4" s="248"/>
      <c r="Y4" s="293" t="s">
        <v>240</v>
      </c>
      <c r="Z4" s="241"/>
      <c r="AA4" s="248" t="s">
        <v>25</v>
      </c>
      <c r="AB4" s="248"/>
      <c r="AC4" s="248" t="s">
        <v>108</v>
      </c>
      <c r="AD4" s="248"/>
      <c r="AE4" s="239" t="s">
        <v>7</v>
      </c>
      <c r="AF4" s="240"/>
      <c r="AG4" s="241"/>
    </row>
    <row r="5" spans="1:33" ht="15.75" thickBot="1">
      <c r="A5" s="245"/>
      <c r="B5" s="247"/>
      <c r="C5" s="110" t="s">
        <v>28</v>
      </c>
      <c r="D5" s="111" t="s">
        <v>29</v>
      </c>
      <c r="E5" s="112" t="s">
        <v>28</v>
      </c>
      <c r="F5" s="113" t="s">
        <v>29</v>
      </c>
      <c r="G5" s="114" t="s">
        <v>28</v>
      </c>
      <c r="H5" s="111" t="s">
        <v>29</v>
      </c>
      <c r="I5" s="114" t="s">
        <v>28</v>
      </c>
      <c r="J5" s="111" t="s">
        <v>29</v>
      </c>
      <c r="K5" s="114" t="s">
        <v>28</v>
      </c>
      <c r="L5" s="111" t="s">
        <v>29</v>
      </c>
      <c r="M5" s="114" t="s">
        <v>28</v>
      </c>
      <c r="N5" s="111" t="s">
        <v>29</v>
      </c>
      <c r="O5" s="114" t="s">
        <v>28</v>
      </c>
      <c r="P5" s="111" t="s">
        <v>29</v>
      </c>
      <c r="Q5" s="115" t="s">
        <v>28</v>
      </c>
      <c r="R5" s="115" t="s">
        <v>29</v>
      </c>
      <c r="S5" s="114" t="s">
        <v>28</v>
      </c>
      <c r="T5" s="111" t="s">
        <v>29</v>
      </c>
      <c r="U5" s="114" t="s">
        <v>28</v>
      </c>
      <c r="V5" s="111" t="s">
        <v>29</v>
      </c>
      <c r="W5" s="114" t="s">
        <v>28</v>
      </c>
      <c r="X5" s="111" t="s">
        <v>29</v>
      </c>
      <c r="Y5" s="116" t="s">
        <v>28</v>
      </c>
      <c r="Z5" s="115" t="s">
        <v>29</v>
      </c>
      <c r="AA5" s="114" t="s">
        <v>28</v>
      </c>
      <c r="AB5" s="111" t="s">
        <v>29</v>
      </c>
      <c r="AC5" s="114" t="s">
        <v>28</v>
      </c>
      <c r="AD5" s="111" t="s">
        <v>29</v>
      </c>
      <c r="AE5" s="107" t="s">
        <v>28</v>
      </c>
      <c r="AF5" s="108" t="s">
        <v>29</v>
      </c>
      <c r="AG5" s="98" t="s">
        <v>30</v>
      </c>
    </row>
    <row r="6" spans="1:33" ht="15.75" thickBot="1">
      <c r="A6" s="118">
        <v>1</v>
      </c>
      <c r="B6" s="119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20">
        <f>SUM(Y6,AC6,AA6,W6,U6,S6,Q6,O6,M6,K6,I6,G6,E6,C6)</f>
        <v>0</v>
      </c>
      <c r="AF6" s="120">
        <f>SUM(Z6,AD6,AB6,X6,V6,T6,R6,P6,N6,L6,J6,H6,F6,D6)</f>
        <v>0</v>
      </c>
      <c r="AG6" s="121">
        <f>SUM(AE6,AF6)</f>
        <v>0</v>
      </c>
    </row>
    <row r="7" spans="1:33" ht="15.75" thickBot="1">
      <c r="A7" s="122">
        <v>2</v>
      </c>
      <c r="B7" s="138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20">
        <f t="shared" ref="AE7:AF25" si="0">SUM(Y7,AC7,AA7,W7,U7,S7,Q7,O7,M7,K7,I7,G7,E7,C7)</f>
        <v>0</v>
      </c>
      <c r="AF7" s="120">
        <f t="shared" si="0"/>
        <v>0</v>
      </c>
      <c r="AG7" s="121">
        <f t="shared" ref="AG7:AG25" si="1">SUM(AE7,AF7)</f>
        <v>0</v>
      </c>
    </row>
    <row r="8" spans="1:33" ht="15.75" thickBot="1">
      <c r="A8" s="118">
        <v>3</v>
      </c>
      <c r="B8" s="138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20">
        <f t="shared" si="0"/>
        <v>0</v>
      </c>
      <c r="AF8" s="120">
        <f t="shared" si="0"/>
        <v>0</v>
      </c>
      <c r="AG8" s="121">
        <f t="shared" si="1"/>
        <v>0</v>
      </c>
    </row>
    <row r="9" spans="1:33" ht="15.75" thickBot="1">
      <c r="A9" s="122">
        <v>4</v>
      </c>
      <c r="B9" s="138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20">
        <f t="shared" si="0"/>
        <v>0</v>
      </c>
      <c r="AF9" s="120">
        <f t="shared" si="0"/>
        <v>0</v>
      </c>
      <c r="AG9" s="121">
        <f t="shared" si="1"/>
        <v>0</v>
      </c>
    </row>
    <row r="10" spans="1:33" ht="15.75" thickBot="1">
      <c r="A10" s="118">
        <v>5</v>
      </c>
      <c r="B10" s="138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20">
        <f t="shared" si="0"/>
        <v>0</v>
      </c>
      <c r="AF10" s="120">
        <f t="shared" si="0"/>
        <v>0</v>
      </c>
      <c r="AG10" s="121">
        <f t="shared" si="1"/>
        <v>0</v>
      </c>
    </row>
    <row r="11" spans="1:33" ht="15.75" thickBot="1">
      <c r="A11" s="122">
        <v>6</v>
      </c>
      <c r="B11" s="138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20">
        <f t="shared" si="0"/>
        <v>0</v>
      </c>
      <c r="AF11" s="120">
        <f t="shared" si="0"/>
        <v>0</v>
      </c>
      <c r="AG11" s="121">
        <f t="shared" si="1"/>
        <v>0</v>
      </c>
    </row>
    <row r="12" spans="1:33" ht="15.75" thickBot="1">
      <c r="A12" s="118">
        <v>7</v>
      </c>
      <c r="B12" s="138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20">
        <f t="shared" si="0"/>
        <v>0</v>
      </c>
      <c r="AF12" s="120">
        <f t="shared" si="0"/>
        <v>0</v>
      </c>
      <c r="AG12" s="121">
        <f t="shared" si="1"/>
        <v>0</v>
      </c>
    </row>
    <row r="13" spans="1:33" ht="15.75" thickBot="1">
      <c r="A13" s="123">
        <v>8</v>
      </c>
      <c r="B13" s="138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0">
        <f t="shared" si="0"/>
        <v>0</v>
      </c>
      <c r="AF13" s="120">
        <f t="shared" si="0"/>
        <v>0</v>
      </c>
      <c r="AG13" s="121">
        <f t="shared" si="1"/>
        <v>0</v>
      </c>
    </row>
    <row r="14" spans="1:33" ht="15.75" thickBot="1">
      <c r="A14" s="122">
        <v>9</v>
      </c>
      <c r="B14" s="138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20">
        <f t="shared" si="0"/>
        <v>0</v>
      </c>
      <c r="AF14" s="120">
        <f t="shared" si="0"/>
        <v>0</v>
      </c>
      <c r="AG14" s="121">
        <f t="shared" si="1"/>
        <v>0</v>
      </c>
    </row>
    <row r="15" spans="1:33" ht="15.75" thickBot="1">
      <c r="A15" s="118">
        <v>10</v>
      </c>
      <c r="B15" s="119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20">
        <f t="shared" si="0"/>
        <v>0</v>
      </c>
      <c r="AF15" s="120">
        <f t="shared" si="0"/>
        <v>0</v>
      </c>
      <c r="AG15" s="121">
        <f t="shared" si="1"/>
        <v>0</v>
      </c>
    </row>
    <row r="16" spans="1:33" ht="15.75" thickBot="1">
      <c r="A16" s="122">
        <v>11</v>
      </c>
      <c r="B16" s="138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20">
        <f t="shared" si="0"/>
        <v>0</v>
      </c>
      <c r="AF16" s="120">
        <f t="shared" si="0"/>
        <v>0</v>
      </c>
      <c r="AG16" s="121">
        <f t="shared" si="1"/>
        <v>0</v>
      </c>
    </row>
    <row r="17" spans="1:36" ht="15.75" thickBot="1">
      <c r="A17" s="118">
        <v>12</v>
      </c>
      <c r="B17" s="138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20">
        <f t="shared" si="0"/>
        <v>0</v>
      </c>
      <c r="AF17" s="120">
        <f t="shared" si="0"/>
        <v>0</v>
      </c>
      <c r="AG17" s="121">
        <f t="shared" si="1"/>
        <v>0</v>
      </c>
    </row>
    <row r="18" spans="1:36" ht="15.75" thickBot="1">
      <c r="A18" s="122">
        <v>13</v>
      </c>
      <c r="B18" s="138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20">
        <f t="shared" si="0"/>
        <v>0</v>
      </c>
      <c r="AF18" s="120">
        <f t="shared" si="0"/>
        <v>0</v>
      </c>
      <c r="AG18" s="121">
        <f t="shared" si="1"/>
        <v>0</v>
      </c>
    </row>
    <row r="19" spans="1:36" ht="15.75" thickBot="1">
      <c r="A19" s="118">
        <v>14</v>
      </c>
      <c r="B19" s="138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20">
        <f t="shared" si="0"/>
        <v>0</v>
      </c>
      <c r="AF19" s="120">
        <f t="shared" si="0"/>
        <v>0</v>
      </c>
      <c r="AG19" s="121">
        <f t="shared" si="1"/>
        <v>0</v>
      </c>
    </row>
    <row r="20" spans="1:36" ht="15.75" thickBot="1">
      <c r="A20" s="122">
        <v>15</v>
      </c>
      <c r="B20" s="138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20">
        <f t="shared" si="0"/>
        <v>0</v>
      </c>
      <c r="AF20" s="120">
        <f t="shared" si="0"/>
        <v>0</v>
      </c>
      <c r="AG20" s="121">
        <f t="shared" si="1"/>
        <v>0</v>
      </c>
    </row>
    <row r="21" spans="1:36" ht="15.75" thickBot="1">
      <c r="A21" s="118">
        <v>16</v>
      </c>
      <c r="B21" s="138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20">
        <f t="shared" si="0"/>
        <v>0</v>
      </c>
      <c r="AF21" s="120">
        <f t="shared" si="0"/>
        <v>0</v>
      </c>
      <c r="AG21" s="121">
        <f t="shared" si="1"/>
        <v>0</v>
      </c>
    </row>
    <row r="22" spans="1:36" ht="15.75" thickBot="1">
      <c r="A22" s="123">
        <v>17</v>
      </c>
      <c r="B22" s="138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20">
        <f t="shared" si="0"/>
        <v>0</v>
      </c>
      <c r="AF22" s="120">
        <f t="shared" si="0"/>
        <v>0</v>
      </c>
      <c r="AG22" s="121">
        <f t="shared" si="1"/>
        <v>0</v>
      </c>
    </row>
    <row r="23" spans="1:36" ht="15.75" thickBot="1">
      <c r="A23" s="123">
        <v>18</v>
      </c>
      <c r="B23" s="138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20">
        <f t="shared" si="0"/>
        <v>0</v>
      </c>
      <c r="AF23" s="120">
        <f t="shared" si="0"/>
        <v>0</v>
      </c>
      <c r="AG23" s="121">
        <f t="shared" si="1"/>
        <v>0</v>
      </c>
    </row>
    <row r="24" spans="1:36" ht="15.75" thickBot="1">
      <c r="A24" s="123">
        <v>19</v>
      </c>
      <c r="B24" s="138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20">
        <f t="shared" si="0"/>
        <v>0</v>
      </c>
      <c r="AF24" s="120">
        <f t="shared" si="0"/>
        <v>0</v>
      </c>
      <c r="AG24" s="121">
        <f t="shared" si="1"/>
        <v>0</v>
      </c>
    </row>
    <row r="25" spans="1:36">
      <c r="A25" s="123">
        <v>20</v>
      </c>
      <c r="B25" s="138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20">
        <f t="shared" si="0"/>
        <v>0</v>
      </c>
      <c r="AF25" s="120">
        <f t="shared" si="0"/>
        <v>0</v>
      </c>
      <c r="AG25" s="121">
        <f t="shared" si="1"/>
        <v>0</v>
      </c>
    </row>
    <row r="26" spans="1:36" s="106" customFormat="1" ht="18" customHeight="1">
      <c r="A26" s="242" t="s">
        <v>13</v>
      </c>
      <c r="B26" s="243"/>
      <c r="C26" s="124">
        <f t="shared" ref="C26:AG26" si="2">SUM(C6:C25)</f>
        <v>0</v>
      </c>
      <c r="D26" s="124">
        <f t="shared" si="2"/>
        <v>0</v>
      </c>
      <c r="E26" s="124">
        <f t="shared" si="2"/>
        <v>0</v>
      </c>
      <c r="F26" s="124">
        <f t="shared" si="2"/>
        <v>0</v>
      </c>
      <c r="G26" s="124">
        <f t="shared" si="2"/>
        <v>0</v>
      </c>
      <c r="H26" s="124">
        <f t="shared" si="2"/>
        <v>0</v>
      </c>
      <c r="I26" s="124">
        <f t="shared" si="2"/>
        <v>0</v>
      </c>
      <c r="J26" s="124">
        <f t="shared" si="2"/>
        <v>0</v>
      </c>
      <c r="K26" s="124">
        <f t="shared" si="2"/>
        <v>0</v>
      </c>
      <c r="L26" s="124">
        <f t="shared" si="2"/>
        <v>0</v>
      </c>
      <c r="M26" s="124">
        <f t="shared" si="2"/>
        <v>0</v>
      </c>
      <c r="N26" s="124">
        <f t="shared" si="2"/>
        <v>0</v>
      </c>
      <c r="O26" s="124">
        <f t="shared" si="2"/>
        <v>0</v>
      </c>
      <c r="P26" s="124">
        <f t="shared" si="2"/>
        <v>0</v>
      </c>
      <c r="Q26" s="124">
        <f t="shared" si="2"/>
        <v>0</v>
      </c>
      <c r="R26" s="124">
        <f t="shared" si="2"/>
        <v>0</v>
      </c>
      <c r="S26" s="124">
        <f t="shared" si="2"/>
        <v>0</v>
      </c>
      <c r="T26" s="124">
        <f t="shared" si="2"/>
        <v>0</v>
      </c>
      <c r="U26" s="124">
        <f t="shared" si="2"/>
        <v>0</v>
      </c>
      <c r="V26" s="124">
        <f t="shared" si="2"/>
        <v>0</v>
      </c>
      <c r="W26" s="124">
        <f t="shared" si="2"/>
        <v>0</v>
      </c>
      <c r="X26" s="124">
        <f t="shared" si="2"/>
        <v>0</v>
      </c>
      <c r="Y26" s="124">
        <f t="shared" si="2"/>
        <v>0</v>
      </c>
      <c r="Z26" s="124">
        <f t="shared" si="2"/>
        <v>0</v>
      </c>
      <c r="AA26" s="124">
        <f t="shared" si="2"/>
        <v>0</v>
      </c>
      <c r="AB26" s="124">
        <f t="shared" si="2"/>
        <v>0</v>
      </c>
      <c r="AC26" s="124">
        <f t="shared" si="2"/>
        <v>0</v>
      </c>
      <c r="AD26" s="124">
        <f t="shared" si="2"/>
        <v>0</v>
      </c>
      <c r="AE26" s="124">
        <f t="shared" si="2"/>
        <v>0</v>
      </c>
      <c r="AF26" s="124">
        <f t="shared" si="2"/>
        <v>0</v>
      </c>
      <c r="AG26" s="124">
        <f t="shared" si="2"/>
        <v>0</v>
      </c>
    </row>
    <row r="27" spans="1:36" ht="20.25">
      <c r="B27" s="126"/>
      <c r="C27" s="127"/>
      <c r="D27" s="127"/>
      <c r="AD27" s="127"/>
      <c r="AE27" s="127"/>
      <c r="AI27" s="127"/>
      <c r="AJ27" s="127"/>
    </row>
    <row r="28" spans="1:36" ht="18">
      <c r="D28" s="186"/>
      <c r="E28" s="186"/>
      <c r="F28" s="186" t="s">
        <v>158</v>
      </c>
      <c r="G28" s="186"/>
      <c r="H28" s="186"/>
      <c r="I28" s="186"/>
      <c r="T28" s="187"/>
      <c r="U28" s="187"/>
      <c r="V28" s="187"/>
      <c r="W28" s="187" t="s">
        <v>159</v>
      </c>
      <c r="X28" s="188"/>
      <c r="Y28" s="188"/>
      <c r="Z28" s="184"/>
      <c r="AA28" s="184"/>
      <c r="AB28" s="184"/>
      <c r="AC28" s="184"/>
      <c r="AD28" s="184"/>
    </row>
  </sheetData>
  <mergeCells count="18">
    <mergeCell ref="W4:X4"/>
    <mergeCell ref="Y4:Z4"/>
    <mergeCell ref="AA4:AB4"/>
    <mergeCell ref="AC4:AD4"/>
    <mergeCell ref="AE4:AG4"/>
    <mergeCell ref="A26:B26"/>
    <mergeCell ref="K4:L4"/>
    <mergeCell ref="M4:N4"/>
    <mergeCell ref="O4:P4"/>
    <mergeCell ref="Q4:R4"/>
    <mergeCell ref="S4:T4"/>
    <mergeCell ref="U4:V4"/>
    <mergeCell ref="A4:A5"/>
    <mergeCell ref="B4:B5"/>
    <mergeCell ref="C4:D4"/>
    <mergeCell ref="E4:F4"/>
    <mergeCell ref="G4:H4"/>
    <mergeCell ref="I4:J4"/>
  </mergeCells>
  <printOptions horizontalCentered="1"/>
  <pageMargins left="0.59055118110236227" right="0.59055118110236227" top="1.2598425196850394" bottom="0.9055118110236221" header="0.31496062992125984" footer="0.51181102362204722"/>
  <pageSetup paperSize="9" scale="99" fitToHeight="0" orientation="landscape" r:id="rId1"/>
  <headerFooter>
    <oddHeader>&amp;C&amp;"-,غامق"بسم الله الرحمن الرحيم
&amp;G&amp;R    &amp;"-,غامق"الجهورية اليمنية
       محافظة تعز
  مكتب التربية والتعليم 
 ادارة التخطيط والاحصاء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ورقة2">
    <tabColor theme="0" tint="-0.14999847407452621"/>
    <pageSetUpPr fitToPage="1"/>
  </sheetPr>
  <dimension ref="A1:AK32"/>
  <sheetViews>
    <sheetView rightToLeft="1" zoomScaleNormal="100" zoomScaleSheetLayoutView="80" zoomScalePageLayoutView="70" workbookViewId="0">
      <pane xSplit="27660" topLeftCell="XEX1"/>
      <selection activeCell="D12" sqref="D12"/>
      <selection pane="topRight" activeCell="AE37" sqref="AE37"/>
    </sheetView>
  </sheetViews>
  <sheetFormatPr defaultColWidth="9" defaultRowHeight="14.25"/>
  <cols>
    <col min="1" max="1" width="2.875" style="3" customWidth="1"/>
    <col min="2" max="2" width="11" style="3" customWidth="1"/>
    <col min="3" max="3" width="4.125" style="3" customWidth="1"/>
    <col min="4" max="6" width="4.375" style="3" customWidth="1"/>
    <col min="7" max="7" width="3.875" style="3" customWidth="1"/>
    <col min="8" max="8" width="5" style="3" customWidth="1"/>
    <col min="9" max="9" width="6.125" style="3" customWidth="1"/>
    <col min="10" max="10" width="4.375" style="3" customWidth="1"/>
    <col min="11" max="11" width="4.75" style="3" customWidth="1"/>
    <col min="12" max="12" width="4.25" style="3" customWidth="1"/>
    <col min="13" max="13" width="3.875" style="3" customWidth="1"/>
    <col min="14" max="14" width="5.625" style="3" customWidth="1"/>
    <col min="15" max="15" width="5.875" style="3" customWidth="1"/>
    <col min="16" max="18" width="3.875" style="3" customWidth="1"/>
    <col min="19" max="19" width="4.375" style="3" customWidth="1"/>
    <col min="20" max="22" width="3.875" style="3" customWidth="1"/>
    <col min="23" max="24" width="5.375" style="3" customWidth="1"/>
    <col min="25" max="25" width="4.625" style="3" customWidth="1"/>
    <col min="26" max="26" width="4.75" style="3" customWidth="1"/>
    <col min="27" max="27" width="4.875" style="3" customWidth="1"/>
    <col min="28" max="29" width="3.875" style="3" customWidth="1"/>
    <col min="30" max="30" width="4.875" style="3" customWidth="1"/>
    <col min="31" max="31" width="7.125" style="93" customWidth="1"/>
    <col min="32" max="32" width="7.875" style="93" customWidth="1"/>
    <col min="33" max="33" width="8.125" style="93" customWidth="1"/>
    <col min="34" max="16384" width="9" style="3"/>
  </cols>
  <sheetData>
    <row r="1" spans="1:33" ht="86.25" customHeight="1"/>
    <row r="4" spans="1:33" ht="15" thickBot="1"/>
    <row r="5" spans="1:33" s="104" customFormat="1" ht="15">
      <c r="A5" s="299" t="s">
        <v>1</v>
      </c>
      <c r="B5" s="246" t="s">
        <v>161</v>
      </c>
      <c r="C5" s="298" t="s">
        <v>14</v>
      </c>
      <c r="D5" s="296"/>
      <c r="E5" s="298" t="s">
        <v>15</v>
      </c>
      <c r="F5" s="297"/>
      <c r="G5" s="296" t="s">
        <v>16</v>
      </c>
      <c r="H5" s="296"/>
      <c r="I5" s="296" t="s">
        <v>17</v>
      </c>
      <c r="J5" s="296"/>
      <c r="K5" s="296" t="s">
        <v>18</v>
      </c>
      <c r="L5" s="296"/>
      <c r="M5" s="296" t="s">
        <v>19</v>
      </c>
      <c r="N5" s="296"/>
      <c r="O5" s="296" t="s">
        <v>20</v>
      </c>
      <c r="P5" s="296"/>
      <c r="Q5" s="297" t="s">
        <v>21</v>
      </c>
      <c r="R5" s="298"/>
      <c r="S5" s="296" t="s">
        <v>22</v>
      </c>
      <c r="T5" s="296"/>
      <c r="U5" s="296" t="s">
        <v>23</v>
      </c>
      <c r="V5" s="296"/>
      <c r="W5" s="296" t="s">
        <v>24</v>
      </c>
      <c r="X5" s="296"/>
      <c r="Y5" s="302" t="s">
        <v>25</v>
      </c>
      <c r="Z5" s="298"/>
      <c r="AA5" s="296" t="s">
        <v>26</v>
      </c>
      <c r="AB5" s="296"/>
      <c r="AC5" s="296" t="s">
        <v>27</v>
      </c>
      <c r="AD5" s="296"/>
      <c r="AE5" s="297" t="s">
        <v>7</v>
      </c>
      <c r="AF5" s="301"/>
      <c r="AG5" s="298"/>
    </row>
    <row r="6" spans="1:33" s="104" customFormat="1" ht="15.75" thickBot="1">
      <c r="A6" s="300"/>
      <c r="B6" s="247"/>
      <c r="C6" s="97" t="s">
        <v>28</v>
      </c>
      <c r="D6" s="98" t="s">
        <v>29</v>
      </c>
      <c r="E6" s="99" t="s">
        <v>28</v>
      </c>
      <c r="F6" s="100" t="s">
        <v>29</v>
      </c>
      <c r="G6" s="101" t="s">
        <v>28</v>
      </c>
      <c r="H6" s="101" t="s">
        <v>29</v>
      </c>
      <c r="I6" s="102" t="s">
        <v>28</v>
      </c>
      <c r="J6" s="98" t="s">
        <v>29</v>
      </c>
      <c r="K6" s="102" t="s">
        <v>28</v>
      </c>
      <c r="L6" s="98" t="s">
        <v>29</v>
      </c>
      <c r="M6" s="102" t="s">
        <v>28</v>
      </c>
      <c r="N6" s="98" t="s">
        <v>29</v>
      </c>
      <c r="O6" s="102" t="s">
        <v>28</v>
      </c>
      <c r="P6" s="98" t="s">
        <v>29</v>
      </c>
      <c r="Q6" s="101" t="s">
        <v>28</v>
      </c>
      <c r="R6" s="101" t="s">
        <v>29</v>
      </c>
      <c r="S6" s="102" t="s">
        <v>28</v>
      </c>
      <c r="T6" s="98" t="s">
        <v>29</v>
      </c>
      <c r="U6" s="102" t="s">
        <v>28</v>
      </c>
      <c r="V6" s="98" t="s">
        <v>29</v>
      </c>
      <c r="W6" s="102" t="s">
        <v>28</v>
      </c>
      <c r="X6" s="98" t="s">
        <v>29</v>
      </c>
      <c r="Y6" s="101" t="s">
        <v>28</v>
      </c>
      <c r="Z6" s="101" t="s">
        <v>29</v>
      </c>
      <c r="AA6" s="102" t="s">
        <v>28</v>
      </c>
      <c r="AB6" s="98" t="s">
        <v>29</v>
      </c>
      <c r="AC6" s="102" t="s">
        <v>28</v>
      </c>
      <c r="AD6" s="98" t="s">
        <v>29</v>
      </c>
      <c r="AE6" s="97" t="s">
        <v>28</v>
      </c>
      <c r="AF6" s="103" t="s">
        <v>29</v>
      </c>
      <c r="AG6" s="98" t="s">
        <v>30</v>
      </c>
    </row>
    <row r="7" spans="1:33" ht="15.75" thickBot="1">
      <c r="A7" s="94">
        <v>1</v>
      </c>
      <c r="B7" s="9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91">
        <f>SUM(AC7,AA7,Y7,W7,U7,S7,Q7,M7,K7,I7,G7,E7,C7)</f>
        <v>0</v>
      </c>
      <c r="AF7" s="91">
        <f>SUM(AD7,AB7,Z7,X7,V7,T7,R7,N7,L7,J7,H7,F7,D7)</f>
        <v>0</v>
      </c>
      <c r="AG7" s="91">
        <f>SUM(AE7:AF7)</f>
        <v>0</v>
      </c>
    </row>
    <row r="8" spans="1:33" ht="15.75" thickBot="1">
      <c r="A8" s="95">
        <v>2</v>
      </c>
      <c r="B8" s="9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90"/>
      <c r="Z8" s="5"/>
      <c r="AA8" s="5"/>
      <c r="AB8" s="5"/>
      <c r="AC8" s="5"/>
      <c r="AD8" s="5"/>
      <c r="AE8" s="91">
        <f t="shared" ref="AE8:AE26" si="0">SUM(AC8,AA8,Y8,W8,U8,S8,Q8,M8,K8,I8,G8,E8,C8)</f>
        <v>0</v>
      </c>
      <c r="AF8" s="91">
        <f t="shared" ref="AF8:AF26" si="1">SUM(AD8,AB8,Z8,X8,V8,T8,R8,N8,L8,J8,H8,F8,D8)</f>
        <v>0</v>
      </c>
      <c r="AG8" s="91">
        <f t="shared" ref="AG8:AG26" si="2">SUM(AE8:AF8)</f>
        <v>0</v>
      </c>
    </row>
    <row r="9" spans="1:33" ht="15.75" thickBot="1">
      <c r="A9" s="94">
        <v>3</v>
      </c>
      <c r="B9" s="9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90"/>
      <c r="Z9" s="5"/>
      <c r="AA9" s="5"/>
      <c r="AB9" s="5"/>
      <c r="AC9" s="5"/>
      <c r="AD9" s="5"/>
      <c r="AE9" s="91">
        <f t="shared" si="0"/>
        <v>0</v>
      </c>
      <c r="AF9" s="91">
        <f t="shared" si="1"/>
        <v>0</v>
      </c>
      <c r="AG9" s="91">
        <f t="shared" si="2"/>
        <v>0</v>
      </c>
    </row>
    <row r="10" spans="1:33" ht="15.75" thickBot="1">
      <c r="A10" s="95">
        <v>4</v>
      </c>
      <c r="B10" s="9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90"/>
      <c r="Z10" s="5"/>
      <c r="AA10" s="5"/>
      <c r="AB10" s="5"/>
      <c r="AC10" s="5"/>
      <c r="AD10" s="5"/>
      <c r="AE10" s="91">
        <f t="shared" si="0"/>
        <v>0</v>
      </c>
      <c r="AF10" s="91">
        <f t="shared" si="1"/>
        <v>0</v>
      </c>
      <c r="AG10" s="91">
        <f t="shared" si="2"/>
        <v>0</v>
      </c>
    </row>
    <row r="11" spans="1:33" ht="15.75" thickBot="1">
      <c r="A11" s="94">
        <v>5</v>
      </c>
      <c r="B11" s="9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90"/>
      <c r="Z11" s="5"/>
      <c r="AA11" s="5"/>
      <c r="AB11" s="5"/>
      <c r="AC11" s="5"/>
      <c r="AD11" s="5"/>
      <c r="AE11" s="91">
        <f t="shared" si="0"/>
        <v>0</v>
      </c>
      <c r="AF11" s="91">
        <f t="shared" si="1"/>
        <v>0</v>
      </c>
      <c r="AG11" s="91">
        <f t="shared" si="2"/>
        <v>0</v>
      </c>
    </row>
    <row r="12" spans="1:33" ht="15.75" thickBot="1">
      <c r="A12" s="95">
        <v>6</v>
      </c>
      <c r="B12" s="9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90"/>
      <c r="Z12" s="5"/>
      <c r="AA12" s="5"/>
      <c r="AB12" s="5"/>
      <c r="AC12" s="5"/>
      <c r="AD12" s="5"/>
      <c r="AE12" s="91">
        <f t="shared" si="0"/>
        <v>0</v>
      </c>
      <c r="AF12" s="91">
        <f t="shared" si="1"/>
        <v>0</v>
      </c>
      <c r="AG12" s="91">
        <f t="shared" si="2"/>
        <v>0</v>
      </c>
    </row>
    <row r="13" spans="1:33" ht="15.75" thickBot="1">
      <c r="A13" s="94">
        <v>7</v>
      </c>
      <c r="B13" s="9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90"/>
      <c r="Z13" s="5"/>
      <c r="AA13" s="5"/>
      <c r="AB13" s="5"/>
      <c r="AC13" s="5"/>
      <c r="AD13" s="5"/>
      <c r="AE13" s="91">
        <f t="shared" si="0"/>
        <v>0</v>
      </c>
      <c r="AF13" s="91">
        <f t="shared" si="1"/>
        <v>0</v>
      </c>
      <c r="AG13" s="91">
        <f t="shared" si="2"/>
        <v>0</v>
      </c>
    </row>
    <row r="14" spans="1:33" ht="15.75" thickBot="1">
      <c r="A14" s="96">
        <v>8</v>
      </c>
      <c r="B14" s="9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90"/>
      <c r="Z14" s="5"/>
      <c r="AA14" s="5"/>
      <c r="AB14" s="5"/>
      <c r="AC14" s="5"/>
      <c r="AD14" s="5"/>
      <c r="AE14" s="91">
        <f t="shared" si="0"/>
        <v>0</v>
      </c>
      <c r="AF14" s="91">
        <f t="shared" si="1"/>
        <v>0</v>
      </c>
      <c r="AG14" s="91">
        <f t="shared" si="2"/>
        <v>0</v>
      </c>
    </row>
    <row r="15" spans="1:33" ht="15.75" thickBot="1">
      <c r="A15" s="95">
        <v>9</v>
      </c>
      <c r="B15" s="9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90"/>
      <c r="Z15" s="5"/>
      <c r="AA15" s="5"/>
      <c r="AB15" s="5"/>
      <c r="AC15" s="5"/>
      <c r="AD15" s="5"/>
      <c r="AE15" s="91">
        <f t="shared" si="0"/>
        <v>0</v>
      </c>
      <c r="AF15" s="91">
        <f t="shared" si="1"/>
        <v>0</v>
      </c>
      <c r="AG15" s="91">
        <f t="shared" si="2"/>
        <v>0</v>
      </c>
    </row>
    <row r="16" spans="1:33" ht="15.75" thickBot="1">
      <c r="A16" s="94">
        <v>10</v>
      </c>
      <c r="B16" s="9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90"/>
      <c r="Z16" s="5"/>
      <c r="AA16" s="5"/>
      <c r="AB16" s="5"/>
      <c r="AC16" s="5"/>
      <c r="AD16" s="5"/>
      <c r="AE16" s="91">
        <f t="shared" si="0"/>
        <v>0</v>
      </c>
      <c r="AF16" s="91">
        <f t="shared" si="1"/>
        <v>0</v>
      </c>
      <c r="AG16" s="91">
        <f t="shared" si="2"/>
        <v>0</v>
      </c>
    </row>
    <row r="17" spans="1:37" ht="15.75" thickBot="1">
      <c r="A17" s="95">
        <v>11</v>
      </c>
      <c r="B17" s="9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90"/>
      <c r="Z17" s="5"/>
      <c r="AA17" s="5"/>
      <c r="AB17" s="5"/>
      <c r="AC17" s="5"/>
      <c r="AD17" s="5"/>
      <c r="AE17" s="91">
        <f t="shared" si="0"/>
        <v>0</v>
      </c>
      <c r="AF17" s="91">
        <f t="shared" si="1"/>
        <v>0</v>
      </c>
      <c r="AG17" s="91">
        <f t="shared" si="2"/>
        <v>0</v>
      </c>
    </row>
    <row r="18" spans="1:37" ht="15.75" thickBot="1">
      <c r="A18" s="94">
        <v>12</v>
      </c>
      <c r="B18" s="9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90"/>
      <c r="Z18" s="5"/>
      <c r="AA18" s="5"/>
      <c r="AB18" s="5"/>
      <c r="AC18" s="5"/>
      <c r="AD18" s="5"/>
      <c r="AE18" s="91">
        <f t="shared" si="0"/>
        <v>0</v>
      </c>
      <c r="AF18" s="91">
        <f t="shared" si="1"/>
        <v>0</v>
      </c>
      <c r="AG18" s="91">
        <f t="shared" si="2"/>
        <v>0</v>
      </c>
    </row>
    <row r="19" spans="1:37" ht="15.75" thickBot="1">
      <c r="A19" s="95">
        <v>13</v>
      </c>
      <c r="B19" s="9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90"/>
      <c r="Z19" s="5"/>
      <c r="AA19" s="5"/>
      <c r="AB19" s="5"/>
      <c r="AC19" s="5"/>
      <c r="AD19" s="5"/>
      <c r="AE19" s="91">
        <f t="shared" si="0"/>
        <v>0</v>
      </c>
      <c r="AF19" s="91">
        <f t="shared" si="1"/>
        <v>0</v>
      </c>
      <c r="AG19" s="91">
        <f t="shared" si="2"/>
        <v>0</v>
      </c>
    </row>
    <row r="20" spans="1:37" ht="15.75" thickBot="1">
      <c r="A20" s="94">
        <v>14</v>
      </c>
      <c r="B20" s="9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90"/>
      <c r="Z20" s="5"/>
      <c r="AA20" s="5"/>
      <c r="AB20" s="5"/>
      <c r="AC20" s="5"/>
      <c r="AD20" s="5"/>
      <c r="AE20" s="91">
        <f t="shared" si="0"/>
        <v>0</v>
      </c>
      <c r="AF20" s="91">
        <f t="shared" si="1"/>
        <v>0</v>
      </c>
      <c r="AG20" s="91">
        <f t="shared" si="2"/>
        <v>0</v>
      </c>
    </row>
    <row r="21" spans="1:37" ht="15.75" thickBot="1">
      <c r="A21" s="95">
        <v>15</v>
      </c>
      <c r="B21" s="9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90"/>
      <c r="Z21" s="5"/>
      <c r="AA21" s="5"/>
      <c r="AB21" s="5"/>
      <c r="AC21" s="5"/>
      <c r="AD21" s="5"/>
      <c r="AE21" s="91">
        <f t="shared" si="0"/>
        <v>0</v>
      </c>
      <c r="AF21" s="91">
        <f t="shared" si="1"/>
        <v>0</v>
      </c>
      <c r="AG21" s="91">
        <f t="shared" si="2"/>
        <v>0</v>
      </c>
    </row>
    <row r="22" spans="1:37" ht="15.75" thickBot="1">
      <c r="A22" s="94">
        <v>16</v>
      </c>
      <c r="B22" s="9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90"/>
      <c r="Z22" s="5"/>
      <c r="AA22" s="5"/>
      <c r="AB22" s="5"/>
      <c r="AC22" s="5"/>
      <c r="AD22" s="5"/>
      <c r="AE22" s="91">
        <f t="shared" si="0"/>
        <v>0</v>
      </c>
      <c r="AF22" s="91">
        <f t="shared" si="1"/>
        <v>0</v>
      </c>
      <c r="AG22" s="91">
        <f t="shared" si="2"/>
        <v>0</v>
      </c>
    </row>
    <row r="23" spans="1:37" ht="15.75" thickBot="1">
      <c r="A23" s="96">
        <v>17</v>
      </c>
      <c r="B23" s="9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90"/>
      <c r="Z23" s="5"/>
      <c r="AA23" s="5"/>
      <c r="AB23" s="5"/>
      <c r="AC23" s="5"/>
      <c r="AD23" s="5"/>
      <c r="AE23" s="91">
        <f t="shared" si="0"/>
        <v>0</v>
      </c>
      <c r="AF23" s="91">
        <f t="shared" si="1"/>
        <v>0</v>
      </c>
      <c r="AG23" s="91">
        <f t="shared" si="2"/>
        <v>0</v>
      </c>
    </row>
    <row r="24" spans="1:37" ht="15.75" thickBot="1">
      <c r="A24" s="96">
        <v>18</v>
      </c>
      <c r="B24" s="9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90"/>
      <c r="Z24" s="5"/>
      <c r="AA24" s="5"/>
      <c r="AB24" s="5"/>
      <c r="AC24" s="5"/>
      <c r="AD24" s="5"/>
      <c r="AE24" s="91">
        <f t="shared" si="0"/>
        <v>0</v>
      </c>
      <c r="AF24" s="91">
        <f t="shared" si="1"/>
        <v>0</v>
      </c>
      <c r="AG24" s="91">
        <f t="shared" si="2"/>
        <v>0</v>
      </c>
    </row>
    <row r="25" spans="1:37" ht="15.75" thickBot="1">
      <c r="A25" s="96">
        <v>19</v>
      </c>
      <c r="B25" s="9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90"/>
      <c r="Z25" s="5"/>
      <c r="AA25" s="5"/>
      <c r="AB25" s="5"/>
      <c r="AC25" s="5"/>
      <c r="AD25" s="5"/>
      <c r="AE25" s="91">
        <f t="shared" si="0"/>
        <v>0</v>
      </c>
      <c r="AF25" s="91">
        <f t="shared" si="1"/>
        <v>0</v>
      </c>
      <c r="AG25" s="91">
        <f t="shared" si="2"/>
        <v>0</v>
      </c>
    </row>
    <row r="26" spans="1:37" ht="15">
      <c r="A26" s="96">
        <v>20</v>
      </c>
      <c r="B26" s="9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90"/>
      <c r="Z26" s="5"/>
      <c r="AA26" s="5"/>
      <c r="AB26" s="5"/>
      <c r="AC26" s="5"/>
      <c r="AD26" s="5"/>
      <c r="AE26" s="91">
        <f t="shared" si="0"/>
        <v>0</v>
      </c>
      <c r="AF26" s="91">
        <f t="shared" si="1"/>
        <v>0</v>
      </c>
      <c r="AG26" s="91">
        <f t="shared" si="2"/>
        <v>0</v>
      </c>
    </row>
    <row r="27" spans="1:37" s="93" customFormat="1" ht="15.75" thickBot="1">
      <c r="A27" s="294" t="s">
        <v>7</v>
      </c>
      <c r="B27" s="295"/>
      <c r="C27" s="92">
        <f t="shared" ref="C27:AG27" si="3">SUM(C7:C26)</f>
        <v>0</v>
      </c>
      <c r="D27" s="92">
        <f t="shared" si="3"/>
        <v>0</v>
      </c>
      <c r="E27" s="92">
        <f t="shared" si="3"/>
        <v>0</v>
      </c>
      <c r="F27" s="92">
        <f t="shared" si="3"/>
        <v>0</v>
      </c>
      <c r="G27" s="92">
        <f t="shared" si="3"/>
        <v>0</v>
      </c>
      <c r="H27" s="92">
        <f t="shared" si="3"/>
        <v>0</v>
      </c>
      <c r="I27" s="92">
        <f t="shared" si="3"/>
        <v>0</v>
      </c>
      <c r="J27" s="92">
        <f t="shared" si="3"/>
        <v>0</v>
      </c>
      <c r="K27" s="92">
        <f t="shared" si="3"/>
        <v>0</v>
      </c>
      <c r="L27" s="92">
        <f t="shared" si="3"/>
        <v>0</v>
      </c>
      <c r="M27" s="92">
        <f t="shared" si="3"/>
        <v>0</v>
      </c>
      <c r="N27" s="92">
        <f t="shared" si="3"/>
        <v>0</v>
      </c>
      <c r="O27" s="92">
        <f t="shared" si="3"/>
        <v>0</v>
      </c>
      <c r="P27" s="92">
        <f t="shared" si="3"/>
        <v>0</v>
      </c>
      <c r="Q27" s="92">
        <f t="shared" si="3"/>
        <v>0</v>
      </c>
      <c r="R27" s="92">
        <f t="shared" si="3"/>
        <v>0</v>
      </c>
      <c r="S27" s="92">
        <f t="shared" si="3"/>
        <v>0</v>
      </c>
      <c r="T27" s="92">
        <f t="shared" si="3"/>
        <v>0</v>
      </c>
      <c r="U27" s="92">
        <f t="shared" si="3"/>
        <v>0</v>
      </c>
      <c r="V27" s="92">
        <f t="shared" si="3"/>
        <v>0</v>
      </c>
      <c r="W27" s="92">
        <f t="shared" si="3"/>
        <v>0</v>
      </c>
      <c r="X27" s="92">
        <f t="shared" si="3"/>
        <v>0</v>
      </c>
      <c r="Y27" s="92">
        <f t="shared" si="3"/>
        <v>0</v>
      </c>
      <c r="Z27" s="92">
        <f t="shared" si="3"/>
        <v>0</v>
      </c>
      <c r="AA27" s="92">
        <f t="shared" si="3"/>
        <v>0</v>
      </c>
      <c r="AB27" s="92">
        <f t="shared" si="3"/>
        <v>0</v>
      </c>
      <c r="AC27" s="92">
        <f t="shared" si="3"/>
        <v>0</v>
      </c>
      <c r="AD27" s="92">
        <f t="shared" si="3"/>
        <v>0</v>
      </c>
      <c r="AE27" s="92">
        <f t="shared" si="3"/>
        <v>0</v>
      </c>
      <c r="AF27" s="92">
        <f t="shared" si="3"/>
        <v>0</v>
      </c>
      <c r="AG27" s="92">
        <f t="shared" si="3"/>
        <v>0</v>
      </c>
    </row>
    <row r="28" spans="1:37">
      <c r="I28" s="7"/>
      <c r="J28" s="7"/>
    </row>
    <row r="29" spans="1:37" ht="18">
      <c r="B29" s="23"/>
      <c r="C29" s="23"/>
      <c r="D29" s="23"/>
      <c r="AC29" s="23"/>
    </row>
    <row r="30" spans="1:37" ht="18">
      <c r="B30" s="23"/>
      <c r="C30" s="23"/>
      <c r="D30" s="23"/>
      <c r="F30" s="303" t="s">
        <v>158</v>
      </c>
      <c r="G30" s="304"/>
      <c r="H30" s="304"/>
      <c r="I30" s="304"/>
      <c r="J30" s="304"/>
      <c r="K30" s="304"/>
      <c r="V30" s="303" t="s">
        <v>159</v>
      </c>
      <c r="W30" s="304"/>
      <c r="X30" s="304"/>
      <c r="Y30" s="304"/>
      <c r="Z30" s="304"/>
      <c r="AA30" s="304"/>
      <c r="AB30" s="304"/>
      <c r="AC30" s="304"/>
      <c r="AD30" s="304"/>
    </row>
    <row r="31" spans="1:37" ht="18">
      <c r="AK31" s="23"/>
    </row>
    <row r="32" spans="1:37" ht="18">
      <c r="AK32" s="23"/>
    </row>
  </sheetData>
  <mergeCells count="20">
    <mergeCell ref="AE5:AG5"/>
    <mergeCell ref="S5:T5"/>
    <mergeCell ref="U5:V5"/>
    <mergeCell ref="Y5:Z5"/>
    <mergeCell ref="F30:K30"/>
    <mergeCell ref="V30:AD30"/>
    <mergeCell ref="W5:X5"/>
    <mergeCell ref="AA5:AB5"/>
    <mergeCell ref="AC5:AD5"/>
    <mergeCell ref="A27:B27"/>
    <mergeCell ref="K5:L5"/>
    <mergeCell ref="M5:N5"/>
    <mergeCell ref="O5:P5"/>
    <mergeCell ref="Q5:R5"/>
    <mergeCell ref="A5:A6"/>
    <mergeCell ref="B5:B6"/>
    <mergeCell ref="C5:D5"/>
    <mergeCell ref="E5:F5"/>
    <mergeCell ref="G5:H5"/>
    <mergeCell ref="I5:J5"/>
  </mergeCells>
  <pageMargins left="0" right="0" top="1.299212598425197" bottom="1.0236220472440944" header="0.31496062992125984" footer="0.51181102362204722"/>
  <pageSetup paperSize="9" scale="77" orientation="landscape" r:id="rId1"/>
  <headerFooter scaleWithDoc="0">
    <oddHeader>&amp;C&amp;G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ورقة11">
    <tabColor theme="9" tint="-0.249977111117893"/>
  </sheetPr>
  <dimension ref="A7:E11"/>
  <sheetViews>
    <sheetView rightToLeft="1" view="pageBreakPreview" zoomScaleNormal="100" zoomScaleSheetLayoutView="100" workbookViewId="0">
      <selection activeCell="C14" sqref="C14"/>
    </sheetView>
  </sheetViews>
  <sheetFormatPr defaultRowHeight="14.25"/>
  <cols>
    <col min="1" max="1" width="4.75" customWidth="1"/>
    <col min="2" max="4" width="19.375" customWidth="1"/>
    <col min="5" max="5" width="17.875" customWidth="1"/>
    <col min="6" max="6" width="16.375" customWidth="1"/>
  </cols>
  <sheetData>
    <row r="7" spans="1:5" ht="33" customHeight="1" thickBot="1"/>
    <row r="8" spans="1:5" ht="24.75" customHeight="1">
      <c r="A8" s="308" t="s">
        <v>1</v>
      </c>
      <c r="B8" s="310" t="s">
        <v>161</v>
      </c>
      <c r="C8" s="306" t="s">
        <v>9</v>
      </c>
      <c r="D8" s="306" t="s">
        <v>6</v>
      </c>
      <c r="E8" s="306" t="s">
        <v>13</v>
      </c>
    </row>
    <row r="9" spans="1:5" ht="8.25" customHeight="1" thickBot="1">
      <c r="A9" s="309"/>
      <c r="B9" s="311"/>
      <c r="C9" s="307"/>
      <c r="D9" s="307"/>
      <c r="E9" s="307"/>
    </row>
    <row r="10" spans="1:5" ht="22.5" customHeight="1">
      <c r="A10" s="94">
        <v>1</v>
      </c>
      <c r="B10" s="94"/>
      <c r="C10" s="26" t="e">
        <f>#REF!</f>
        <v>#REF!</v>
      </c>
      <c r="D10" s="26" t="e">
        <f>#REF!</f>
        <v>#REF!</v>
      </c>
      <c r="E10" s="128" t="e">
        <f>SUM(C10:D10)</f>
        <v>#REF!</v>
      </c>
    </row>
    <row r="11" spans="1:5" ht="22.5" customHeight="1">
      <c r="A11" s="305" t="s">
        <v>13</v>
      </c>
      <c r="B11" s="295"/>
      <c r="C11" s="128" t="e">
        <f>SUM(C10:C10)</f>
        <v>#REF!</v>
      </c>
      <c r="D11" s="128" t="e">
        <f>SUM(D10:D10)</f>
        <v>#REF!</v>
      </c>
      <c r="E11" s="128" t="e">
        <f>SUM(E10:E10)</f>
        <v>#REF!</v>
      </c>
    </row>
  </sheetData>
  <mergeCells count="6">
    <mergeCell ref="A11:B11"/>
    <mergeCell ref="E8:E9"/>
    <mergeCell ref="A8:A9"/>
    <mergeCell ref="B8:B9"/>
    <mergeCell ref="C8:C9"/>
    <mergeCell ref="D8:D9"/>
  </mergeCells>
  <pageMargins left="0.39370078740157483" right="0.70866141732283472" top="1.1811023622047245" bottom="1.7322834645669292" header="0.31496062992125984" footer="1.0236220472440944"/>
  <pageSetup paperSize="9" orientation="portrait" r:id="rId1"/>
  <headerFooter scaleWithDoc="0" alignWithMargins="0">
    <oddFooter xml:space="preserve">&amp;L&amp;"-,غامق"&amp;14&amp;Xمدير إدارة التربية والتعليم&amp;X
 &amp;R&amp;"-,غامق"&amp;14رئيس قسم التخطيط والاحصاء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A8:E31"/>
  <sheetViews>
    <sheetView rightToLeft="1" view="pageBreakPreview" zoomScaleNormal="100" zoomScaleSheetLayoutView="100" workbookViewId="0">
      <selection activeCell="A12" sqref="A12:E30"/>
    </sheetView>
  </sheetViews>
  <sheetFormatPr defaultRowHeight="14.25"/>
  <cols>
    <col min="1" max="1" width="4.75" customWidth="1"/>
    <col min="2" max="4" width="19.375" customWidth="1"/>
    <col min="5" max="5" width="17.875" customWidth="1"/>
    <col min="6" max="6" width="16.375" customWidth="1"/>
  </cols>
  <sheetData>
    <row r="8" spans="1:5" ht="19.5" customHeight="1" thickBot="1"/>
    <row r="9" spans="1:5" ht="24.75" customHeight="1">
      <c r="A9" s="308" t="s">
        <v>1</v>
      </c>
      <c r="B9" s="310" t="s">
        <v>161</v>
      </c>
      <c r="C9" s="306" t="s">
        <v>9</v>
      </c>
      <c r="D9" s="306" t="s">
        <v>6</v>
      </c>
      <c r="E9" s="306" t="s">
        <v>13</v>
      </c>
    </row>
    <row r="10" spans="1:5" ht="15" customHeight="1" thickBot="1">
      <c r="A10" s="309"/>
      <c r="B10" s="311"/>
      <c r="C10" s="307"/>
      <c r="D10" s="307"/>
      <c r="E10" s="307"/>
    </row>
    <row r="11" spans="1:5" ht="22.5" customHeight="1">
      <c r="A11" s="94">
        <v>1</v>
      </c>
      <c r="B11" s="94"/>
      <c r="C11" s="26" t="e">
        <f>#REF!</f>
        <v>#REF!</v>
      </c>
      <c r="D11" s="26" t="e">
        <f>#REF!</f>
        <v>#REF!</v>
      </c>
      <c r="E11" s="128" t="e">
        <f>SUM(C11:D11)</f>
        <v>#REF!</v>
      </c>
    </row>
    <row r="12" spans="1:5" ht="22.5" customHeight="1">
      <c r="A12" s="305" t="s">
        <v>13</v>
      </c>
      <c r="B12" s="295"/>
      <c r="C12" s="128" t="e">
        <f>SUM(C11:C11)</f>
        <v>#REF!</v>
      </c>
      <c r="D12" s="128" t="e">
        <f>SUM(D11:D11)</f>
        <v>#REF!</v>
      </c>
      <c r="E12" s="128" t="e">
        <f>SUM(E11:E11)</f>
        <v>#REF!</v>
      </c>
    </row>
    <row r="13" spans="1:5" ht="22.5" customHeight="1"/>
    <row r="14" spans="1:5" ht="22.5" customHeight="1"/>
    <row r="15" spans="1:5" ht="22.5" customHeight="1"/>
    <row r="16" spans="1:5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</sheetData>
  <mergeCells count="6">
    <mergeCell ref="E9:E10"/>
    <mergeCell ref="A12:B12"/>
    <mergeCell ref="A9:A10"/>
    <mergeCell ref="B9:B10"/>
    <mergeCell ref="C9:C10"/>
    <mergeCell ref="D9:D10"/>
  </mergeCells>
  <pageMargins left="0.39370078740157483" right="0.70866141732283472" top="1.7716535433070868" bottom="1.7322834645669292" header="0" footer="1.0236220472440944"/>
  <pageSetup paperSize="9" orientation="portrait" r:id="rId1"/>
  <headerFooter scaleWithDoc="0" alignWithMargins="0">
    <oddFooter xml:space="preserve">&amp;L&amp;"-,غامق"&amp;14مدير إدارة التربية والتعليم
 &amp;R&amp;"-,غامق"&amp;14
رئيس قسم التخطيط والاحصاء
   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85B5-4C10-40E7-91F4-310967DABCE9}">
  <sheetPr>
    <tabColor theme="6" tint="0.39997558519241921"/>
  </sheetPr>
  <dimension ref="A1:I28"/>
  <sheetViews>
    <sheetView rightToLeft="1" workbookViewId="0">
      <selection activeCell="F18" sqref="F18"/>
    </sheetView>
  </sheetViews>
  <sheetFormatPr defaultRowHeight="14.25"/>
  <cols>
    <col min="2" max="2" width="4.75" customWidth="1"/>
    <col min="3" max="3" width="19.375" customWidth="1"/>
    <col min="4" max="4" width="8" customWidth="1"/>
    <col min="5" max="5" width="7.5" customWidth="1"/>
    <col min="6" max="6" width="8.75" customWidth="1"/>
    <col min="7" max="8" width="8.125" customWidth="1"/>
    <col min="9" max="9" width="8.75" customWidth="1"/>
    <col min="10" max="10" width="16.375" customWidth="1"/>
  </cols>
  <sheetData>
    <row r="1" spans="1:9" ht="72" customHeight="1"/>
    <row r="4" spans="1:9" ht="15" thickBot="1"/>
    <row r="5" spans="1:9" ht="30.75" customHeight="1" thickBot="1">
      <c r="B5" s="314" t="s">
        <v>1</v>
      </c>
      <c r="C5" s="317" t="s">
        <v>187</v>
      </c>
      <c r="D5" s="320" t="s">
        <v>260</v>
      </c>
      <c r="E5" s="320"/>
      <c r="F5" s="321" t="s">
        <v>263</v>
      </c>
      <c r="G5" s="322" t="s">
        <v>262</v>
      </c>
      <c r="H5" s="322"/>
      <c r="I5" s="321" t="s">
        <v>261</v>
      </c>
    </row>
    <row r="6" spans="1:9" ht="12" customHeight="1" thickBot="1">
      <c r="B6" s="315"/>
      <c r="C6" s="318"/>
      <c r="D6" s="323" t="s">
        <v>9</v>
      </c>
      <c r="E6" s="323" t="s">
        <v>6</v>
      </c>
      <c r="F6" s="321"/>
      <c r="G6" s="323" t="s">
        <v>9</v>
      </c>
      <c r="H6" s="323" t="s">
        <v>6</v>
      </c>
      <c r="I6" s="321"/>
    </row>
    <row r="7" spans="1:9" ht="11.25" customHeight="1" thickBot="1">
      <c r="B7" s="316"/>
      <c r="C7" s="319"/>
      <c r="D7" s="323"/>
      <c r="E7" s="323"/>
      <c r="F7" s="321"/>
      <c r="G7" s="323"/>
      <c r="H7" s="323"/>
      <c r="I7" s="321"/>
    </row>
    <row r="8" spans="1:9" ht="18">
      <c r="B8" s="4">
        <v>1</v>
      </c>
      <c r="C8" s="27"/>
      <c r="D8" s="237"/>
      <c r="E8" s="28"/>
      <c r="F8" s="238">
        <f>D8+E8</f>
        <v>0</v>
      </c>
      <c r="G8" s="28"/>
      <c r="H8" s="28"/>
      <c r="I8" s="236">
        <f>G8+H8</f>
        <v>0</v>
      </c>
    </row>
    <row r="9" spans="1:9" ht="18">
      <c r="B9" s="312" t="s">
        <v>13</v>
      </c>
      <c r="C9" s="313"/>
      <c r="D9" s="2">
        <f>SUM(D8:D8)</f>
        <v>0</v>
      </c>
      <c r="E9" s="2">
        <f>SUM(E8:E8)</f>
        <v>0</v>
      </c>
      <c r="F9" s="236">
        <f>D9+E9</f>
        <v>0</v>
      </c>
      <c r="G9" s="236">
        <f>SUM(G8:G8)</f>
        <v>0</v>
      </c>
      <c r="H9" s="236">
        <f>SUM(H8:H8)</f>
        <v>0</v>
      </c>
      <c r="I9" s="236">
        <f>SUM(I8:I8)</f>
        <v>0</v>
      </c>
    </row>
    <row r="11" spans="1:9" ht="18">
      <c r="A11" s="159" t="s">
        <v>236</v>
      </c>
      <c r="B11" s="280" t="s">
        <v>158</v>
      </c>
      <c r="C11" s="280"/>
      <c r="D11" s="24"/>
      <c r="E11" s="280" t="s">
        <v>159</v>
      </c>
      <c r="F11" s="280"/>
      <c r="G11" s="280"/>
      <c r="H11" s="280"/>
      <c r="I11" s="280"/>
    </row>
    <row r="12" spans="1:9" ht="18">
      <c r="B12" s="24"/>
      <c r="C12" s="24"/>
      <c r="D12" s="24"/>
      <c r="I12" s="24"/>
    </row>
    <row r="28" ht="19.5" customHeight="1"/>
  </sheetData>
  <mergeCells count="13">
    <mergeCell ref="B9:C9"/>
    <mergeCell ref="B11:C11"/>
    <mergeCell ref="E11:I11"/>
    <mergeCell ref="B5:B7"/>
    <mergeCell ref="C5:C7"/>
    <mergeCell ref="D5:E5"/>
    <mergeCell ref="F5:F7"/>
    <mergeCell ref="G5:H5"/>
    <mergeCell ref="I5:I7"/>
    <mergeCell ref="D6:D7"/>
    <mergeCell ref="E6:E7"/>
    <mergeCell ref="G6:G7"/>
    <mergeCell ref="H6:H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E2BE-AD11-4C76-A34F-FCB82FD5F189}">
  <sheetPr>
    <tabColor theme="6" tint="0.39997558519241921"/>
  </sheetPr>
  <dimension ref="A1:I31"/>
  <sheetViews>
    <sheetView rightToLeft="1" workbookViewId="0">
      <selection activeCell="A30" sqref="A30"/>
    </sheetView>
  </sheetViews>
  <sheetFormatPr defaultRowHeight="14.25"/>
  <cols>
    <col min="2" max="2" width="4.75" customWidth="1"/>
    <col min="3" max="3" width="19.375" customWidth="1"/>
    <col min="4" max="4" width="8" customWidth="1"/>
    <col min="5" max="5" width="7.5" customWidth="1"/>
    <col min="6" max="6" width="8.75" customWidth="1"/>
    <col min="7" max="8" width="8.125" customWidth="1"/>
    <col min="9" max="9" width="8.75" customWidth="1"/>
    <col min="10" max="10" width="16.375" customWidth="1"/>
  </cols>
  <sheetData>
    <row r="1" spans="2:9" ht="72" customHeight="1"/>
    <row r="4" spans="2:9" ht="15" thickBot="1"/>
    <row r="5" spans="2:9" ht="30.75" customHeight="1" thickBot="1">
      <c r="B5" s="314" t="s">
        <v>1</v>
      </c>
      <c r="C5" s="317" t="s">
        <v>187</v>
      </c>
      <c r="D5" s="320" t="s">
        <v>260</v>
      </c>
      <c r="E5" s="320"/>
      <c r="F5" s="321" t="s">
        <v>263</v>
      </c>
      <c r="G5" s="322" t="s">
        <v>262</v>
      </c>
      <c r="H5" s="322"/>
      <c r="I5" s="321" t="s">
        <v>261</v>
      </c>
    </row>
    <row r="6" spans="2:9" ht="12" customHeight="1" thickBot="1">
      <c r="B6" s="315"/>
      <c r="C6" s="318"/>
      <c r="D6" s="323" t="s">
        <v>9</v>
      </c>
      <c r="E6" s="323" t="s">
        <v>6</v>
      </c>
      <c r="F6" s="321"/>
      <c r="G6" s="323" t="s">
        <v>9</v>
      </c>
      <c r="H6" s="323" t="s">
        <v>6</v>
      </c>
      <c r="I6" s="321"/>
    </row>
    <row r="7" spans="2:9" ht="11.25" customHeight="1" thickBot="1">
      <c r="B7" s="316"/>
      <c r="C7" s="319"/>
      <c r="D7" s="323"/>
      <c r="E7" s="323"/>
      <c r="F7" s="321"/>
      <c r="G7" s="323"/>
      <c r="H7" s="323"/>
      <c r="I7" s="321"/>
    </row>
    <row r="8" spans="2:9" ht="18">
      <c r="B8" s="4">
        <v>1</v>
      </c>
      <c r="C8" s="27"/>
      <c r="D8" s="237"/>
      <c r="E8" s="28"/>
      <c r="F8" s="238">
        <f>D8+E8</f>
        <v>0</v>
      </c>
      <c r="G8" s="28"/>
      <c r="H8" s="28"/>
      <c r="I8" s="236">
        <f>G8+H8</f>
        <v>0</v>
      </c>
    </row>
    <row r="9" spans="2:9" ht="18.75" thickBot="1">
      <c r="B9" s="6">
        <v>2</v>
      </c>
      <c r="C9" s="65"/>
      <c r="D9" s="66"/>
      <c r="E9" s="28"/>
      <c r="F9" s="238">
        <f t="shared" ref="F9:F27" si="0">D9+E9</f>
        <v>0</v>
      </c>
      <c r="G9" s="28"/>
      <c r="H9" s="28"/>
      <c r="I9" s="236">
        <f t="shared" ref="I9:I27" si="1">G9+H9</f>
        <v>0</v>
      </c>
    </row>
    <row r="10" spans="2:9" ht="18">
      <c r="B10" s="4">
        <v>3</v>
      </c>
      <c r="C10" s="65"/>
      <c r="D10" s="66"/>
      <c r="E10" s="28"/>
      <c r="F10" s="238">
        <f t="shared" si="0"/>
        <v>0</v>
      </c>
      <c r="G10" s="28"/>
      <c r="H10" s="28"/>
      <c r="I10" s="236">
        <f t="shared" si="1"/>
        <v>0</v>
      </c>
    </row>
    <row r="11" spans="2:9" ht="18.75" thickBot="1">
      <c r="B11" s="6">
        <v>4</v>
      </c>
      <c r="C11" s="65"/>
      <c r="D11" s="66"/>
      <c r="E11" s="28"/>
      <c r="F11" s="238">
        <f t="shared" si="0"/>
        <v>0</v>
      </c>
      <c r="G11" s="28"/>
      <c r="H11" s="28"/>
      <c r="I11" s="236">
        <f t="shared" si="1"/>
        <v>0</v>
      </c>
    </row>
    <row r="12" spans="2:9" ht="18">
      <c r="B12" s="4">
        <v>5</v>
      </c>
      <c r="C12" s="65"/>
      <c r="D12" s="66"/>
      <c r="E12" s="28"/>
      <c r="F12" s="238">
        <f t="shared" si="0"/>
        <v>0</v>
      </c>
      <c r="G12" s="28"/>
      <c r="H12" s="28"/>
      <c r="I12" s="236">
        <f t="shared" si="1"/>
        <v>0</v>
      </c>
    </row>
    <row r="13" spans="2:9" ht="18.75" thickBot="1">
      <c r="B13" s="6">
        <v>6</v>
      </c>
      <c r="C13" s="65"/>
      <c r="D13" s="66"/>
      <c r="E13" s="28"/>
      <c r="F13" s="238">
        <f t="shared" si="0"/>
        <v>0</v>
      </c>
      <c r="G13" s="28"/>
      <c r="H13" s="28"/>
      <c r="I13" s="236">
        <f t="shared" si="1"/>
        <v>0</v>
      </c>
    </row>
    <row r="14" spans="2:9" ht="18">
      <c r="B14" s="4">
        <v>7</v>
      </c>
      <c r="C14" s="65"/>
      <c r="D14" s="66"/>
      <c r="E14" s="28"/>
      <c r="F14" s="238">
        <f t="shared" si="0"/>
        <v>0</v>
      </c>
      <c r="G14" s="28"/>
      <c r="H14" s="28"/>
      <c r="I14" s="236">
        <f t="shared" si="1"/>
        <v>0</v>
      </c>
    </row>
    <row r="15" spans="2:9" ht="18">
      <c r="B15" s="22">
        <v>8</v>
      </c>
      <c r="C15" s="65"/>
      <c r="D15" s="66"/>
      <c r="E15" s="28"/>
      <c r="F15" s="238">
        <f t="shared" si="0"/>
        <v>0</v>
      </c>
      <c r="G15" s="28"/>
      <c r="H15" s="28"/>
      <c r="I15" s="236">
        <f t="shared" si="1"/>
        <v>0</v>
      </c>
    </row>
    <row r="16" spans="2:9" ht="18.75" thickBot="1">
      <c r="B16" s="6">
        <v>9</v>
      </c>
      <c r="C16" s="65"/>
      <c r="D16" s="66"/>
      <c r="E16" s="28"/>
      <c r="F16" s="238">
        <f t="shared" si="0"/>
        <v>0</v>
      </c>
      <c r="G16" s="28"/>
      <c r="H16" s="28"/>
      <c r="I16" s="236">
        <f t="shared" si="1"/>
        <v>0</v>
      </c>
    </row>
    <row r="17" spans="1:9" ht="18">
      <c r="B17" s="4">
        <v>10</v>
      </c>
      <c r="C17" s="27"/>
      <c r="D17" s="66"/>
      <c r="E17" s="28"/>
      <c r="F17" s="238">
        <f t="shared" si="0"/>
        <v>0</v>
      </c>
      <c r="G17" s="28"/>
      <c r="H17" s="28"/>
      <c r="I17" s="236">
        <f t="shared" si="1"/>
        <v>0</v>
      </c>
    </row>
    <row r="18" spans="1:9" ht="18.75" thickBot="1">
      <c r="B18" s="6">
        <v>11</v>
      </c>
      <c r="C18" s="65"/>
      <c r="D18" s="66"/>
      <c r="E18" s="28"/>
      <c r="F18" s="238">
        <f t="shared" si="0"/>
        <v>0</v>
      </c>
      <c r="G18" s="28"/>
      <c r="H18" s="28"/>
      <c r="I18" s="236">
        <f t="shared" si="1"/>
        <v>0</v>
      </c>
    </row>
    <row r="19" spans="1:9" ht="18">
      <c r="B19" s="4">
        <v>12</v>
      </c>
      <c r="C19" s="65"/>
      <c r="D19" s="66"/>
      <c r="E19" s="28"/>
      <c r="F19" s="238">
        <f t="shared" si="0"/>
        <v>0</v>
      </c>
      <c r="G19" s="28"/>
      <c r="H19" s="28"/>
      <c r="I19" s="236">
        <f t="shared" si="1"/>
        <v>0</v>
      </c>
    </row>
    <row r="20" spans="1:9" ht="18.75" thickBot="1">
      <c r="B20" s="6">
        <v>13</v>
      </c>
      <c r="C20" s="65"/>
      <c r="D20" s="66"/>
      <c r="E20" s="28"/>
      <c r="F20" s="238">
        <f t="shared" si="0"/>
        <v>0</v>
      </c>
      <c r="G20" s="28"/>
      <c r="H20" s="28"/>
      <c r="I20" s="236">
        <f t="shared" si="1"/>
        <v>0</v>
      </c>
    </row>
    <row r="21" spans="1:9" ht="18">
      <c r="B21" s="4">
        <v>14</v>
      </c>
      <c r="C21" s="65"/>
      <c r="D21" s="66"/>
      <c r="E21" s="28"/>
      <c r="F21" s="238">
        <f t="shared" si="0"/>
        <v>0</v>
      </c>
      <c r="G21" s="28"/>
      <c r="H21" s="28"/>
      <c r="I21" s="236">
        <f t="shared" si="1"/>
        <v>0</v>
      </c>
    </row>
    <row r="22" spans="1:9" ht="18.75" thickBot="1">
      <c r="B22" s="6">
        <v>15</v>
      </c>
      <c r="C22" s="65"/>
      <c r="D22" s="66"/>
      <c r="E22" s="28"/>
      <c r="F22" s="238">
        <f t="shared" si="0"/>
        <v>0</v>
      </c>
      <c r="G22" s="28"/>
      <c r="H22" s="28"/>
      <c r="I22" s="236">
        <f t="shared" si="1"/>
        <v>0</v>
      </c>
    </row>
    <row r="23" spans="1:9" ht="18">
      <c r="B23" s="4">
        <v>16</v>
      </c>
      <c r="C23" s="65"/>
      <c r="D23" s="66"/>
      <c r="E23" s="28"/>
      <c r="F23" s="238">
        <f t="shared" si="0"/>
        <v>0</v>
      </c>
      <c r="G23" s="28"/>
      <c r="H23" s="28"/>
      <c r="I23" s="236">
        <f t="shared" si="1"/>
        <v>0</v>
      </c>
    </row>
    <row r="24" spans="1:9" ht="18">
      <c r="B24" s="22">
        <v>17</v>
      </c>
      <c r="C24" s="65"/>
      <c r="D24" s="66"/>
      <c r="E24" s="28"/>
      <c r="F24" s="238">
        <f t="shared" si="0"/>
        <v>0</v>
      </c>
      <c r="G24" s="28"/>
      <c r="H24" s="28"/>
      <c r="I24" s="236">
        <f t="shared" si="1"/>
        <v>0</v>
      </c>
    </row>
    <row r="25" spans="1:9" ht="18">
      <c r="B25" s="22">
        <v>18</v>
      </c>
      <c r="C25" s="65"/>
      <c r="D25" s="66"/>
      <c r="E25" s="28"/>
      <c r="F25" s="238">
        <f t="shared" si="0"/>
        <v>0</v>
      </c>
      <c r="G25" s="28"/>
      <c r="H25" s="28"/>
      <c r="I25" s="236">
        <f t="shared" si="1"/>
        <v>0</v>
      </c>
    </row>
    <row r="26" spans="1:9" ht="18">
      <c r="B26" s="22">
        <v>19</v>
      </c>
      <c r="C26" s="65"/>
      <c r="D26" s="66"/>
      <c r="E26" s="28"/>
      <c r="F26" s="238">
        <f t="shared" si="0"/>
        <v>0</v>
      </c>
      <c r="G26" s="28"/>
      <c r="H26" s="28"/>
      <c r="I26" s="236">
        <f t="shared" si="1"/>
        <v>0</v>
      </c>
    </row>
    <row r="27" spans="1:9" ht="18">
      <c r="B27" s="22">
        <v>20</v>
      </c>
      <c r="C27" s="65"/>
      <c r="D27" s="66"/>
      <c r="E27" s="28"/>
      <c r="F27" s="238">
        <f t="shared" si="0"/>
        <v>0</v>
      </c>
      <c r="G27" s="28"/>
      <c r="H27" s="28"/>
      <c r="I27" s="236">
        <f t="shared" si="1"/>
        <v>0</v>
      </c>
    </row>
    <row r="28" spans="1:9" ht="19.5" customHeight="1">
      <c r="B28" s="312" t="s">
        <v>13</v>
      </c>
      <c r="C28" s="313"/>
      <c r="D28" s="2">
        <f>SUM(D8:D27)</f>
        <v>0</v>
      </c>
      <c r="E28" s="2">
        <f>SUM(E8:E27)</f>
        <v>0</v>
      </c>
      <c r="F28" s="236">
        <f>D28+E28</f>
        <v>0</v>
      </c>
      <c r="G28" s="236">
        <f>SUM(G8:G27)</f>
        <v>0</v>
      </c>
      <c r="H28" s="236">
        <f>SUM(H8:H27)</f>
        <v>0</v>
      </c>
      <c r="I28" s="236">
        <f>SUM(I8:I27)</f>
        <v>0</v>
      </c>
    </row>
    <row r="30" spans="1:9" ht="18">
      <c r="A30" s="159" t="s">
        <v>236</v>
      </c>
      <c r="B30" s="280" t="s">
        <v>158</v>
      </c>
      <c r="C30" s="280"/>
      <c r="D30" s="24"/>
      <c r="E30" s="280" t="s">
        <v>159</v>
      </c>
      <c r="F30" s="280"/>
      <c r="G30" s="280"/>
      <c r="H30" s="280"/>
      <c r="I30" s="280"/>
    </row>
    <row r="31" spans="1:9" ht="18">
      <c r="B31" s="24"/>
      <c r="C31" s="24"/>
      <c r="D31" s="24"/>
      <c r="I31" s="24"/>
    </row>
  </sheetData>
  <mergeCells count="13">
    <mergeCell ref="B30:C30"/>
    <mergeCell ref="E30:I30"/>
    <mergeCell ref="D5:E5"/>
    <mergeCell ref="I5:I7"/>
    <mergeCell ref="C5:C7"/>
    <mergeCell ref="B5:B7"/>
    <mergeCell ref="F5:F7"/>
    <mergeCell ref="G5:H5"/>
    <mergeCell ref="G6:G7"/>
    <mergeCell ref="H6:H7"/>
    <mergeCell ref="D6:D7"/>
    <mergeCell ref="E6:E7"/>
    <mergeCell ref="B28:C2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P35"/>
  <sheetViews>
    <sheetView rightToLeft="1" topLeftCell="A11" workbookViewId="0">
      <selection activeCell="B1" sqref="B1:Y32"/>
    </sheetView>
  </sheetViews>
  <sheetFormatPr defaultColWidth="9" defaultRowHeight="12.75"/>
  <cols>
    <col min="1" max="1" width="1.25" style="30" customWidth="1"/>
    <col min="2" max="2" width="3.375" style="30" customWidth="1"/>
    <col min="3" max="3" width="15.125" style="30" customWidth="1"/>
    <col min="4" max="4" width="5.875" style="30" customWidth="1"/>
    <col min="5" max="25" width="4.875" style="30" customWidth="1"/>
    <col min="26" max="26" width="5.75" style="30" customWidth="1"/>
    <col min="27" max="16384" width="9" style="30"/>
  </cols>
  <sheetData>
    <row r="1" spans="2:25">
      <c r="C1" s="345" t="s">
        <v>31</v>
      </c>
      <c r="D1" s="345"/>
      <c r="E1" s="345"/>
      <c r="F1" s="345"/>
    </row>
    <row r="2" spans="2:25">
      <c r="C2" s="345" t="s">
        <v>33</v>
      </c>
      <c r="D2" s="345"/>
      <c r="E2" s="345"/>
      <c r="F2" s="345"/>
    </row>
    <row r="3" spans="2:25">
      <c r="C3" s="345" t="s">
        <v>32</v>
      </c>
      <c r="D3" s="345"/>
      <c r="E3" s="345"/>
      <c r="F3" s="345"/>
      <c r="V3" s="30" t="s">
        <v>0</v>
      </c>
    </row>
    <row r="4" spans="2:25">
      <c r="C4" s="345"/>
      <c r="D4" s="345"/>
      <c r="E4" s="345"/>
      <c r="F4" s="345"/>
    </row>
    <row r="6" spans="2:25" ht="13.5" thickBot="1"/>
    <row r="7" spans="2:25" ht="16.5" thickBot="1">
      <c r="B7" s="352" t="s">
        <v>1</v>
      </c>
      <c r="C7" s="352" t="s">
        <v>65</v>
      </c>
      <c r="D7" s="44" t="s">
        <v>2</v>
      </c>
      <c r="E7" s="44" t="s">
        <v>2</v>
      </c>
      <c r="F7" s="347" t="s">
        <v>93</v>
      </c>
      <c r="G7" s="347"/>
      <c r="H7" s="347"/>
      <c r="I7" s="348"/>
      <c r="J7" s="346" t="s">
        <v>94</v>
      </c>
      <c r="K7" s="347"/>
      <c r="L7" s="347"/>
      <c r="M7" s="348"/>
      <c r="N7" s="346" t="s">
        <v>95</v>
      </c>
      <c r="O7" s="347"/>
      <c r="P7" s="347"/>
      <c r="Q7" s="348"/>
      <c r="R7" s="346" t="s">
        <v>96</v>
      </c>
      <c r="S7" s="347"/>
      <c r="T7" s="347"/>
      <c r="U7" s="348"/>
      <c r="V7" s="346" t="s">
        <v>97</v>
      </c>
      <c r="W7" s="347"/>
      <c r="X7" s="347"/>
      <c r="Y7" s="348"/>
    </row>
    <row r="8" spans="2:25" ht="16.5" thickBot="1">
      <c r="B8" s="353"/>
      <c r="C8" s="353"/>
      <c r="D8" s="44" t="s">
        <v>3</v>
      </c>
      <c r="E8" s="44" t="s">
        <v>34</v>
      </c>
      <c r="F8" s="32" t="s">
        <v>4</v>
      </c>
      <c r="G8" s="33" t="s">
        <v>5</v>
      </c>
      <c r="H8" s="33" t="s">
        <v>6</v>
      </c>
      <c r="I8" s="34" t="s">
        <v>7</v>
      </c>
      <c r="J8" s="45" t="s">
        <v>4</v>
      </c>
      <c r="K8" s="33" t="s">
        <v>5</v>
      </c>
      <c r="L8" s="33" t="s">
        <v>6</v>
      </c>
      <c r="M8" s="34" t="s">
        <v>7</v>
      </c>
      <c r="N8" s="32" t="s">
        <v>4</v>
      </c>
      <c r="O8" s="33" t="s">
        <v>5</v>
      </c>
      <c r="P8" s="33" t="s">
        <v>6</v>
      </c>
      <c r="Q8" s="34" t="s">
        <v>7</v>
      </c>
      <c r="R8" s="32" t="s">
        <v>4</v>
      </c>
      <c r="S8" s="33" t="s">
        <v>5</v>
      </c>
      <c r="T8" s="33" t="s">
        <v>6</v>
      </c>
      <c r="U8" s="34" t="s">
        <v>7</v>
      </c>
      <c r="V8" s="32" t="s">
        <v>4</v>
      </c>
      <c r="W8" s="33" t="s">
        <v>5</v>
      </c>
      <c r="X8" s="33" t="s">
        <v>6</v>
      </c>
      <c r="Y8" s="34" t="s">
        <v>7</v>
      </c>
    </row>
    <row r="9" spans="2:25" s="29" customFormat="1">
      <c r="B9" s="35">
        <v>1</v>
      </c>
      <c r="C9" s="35" t="s">
        <v>68</v>
      </c>
      <c r="D9" s="46"/>
      <c r="E9" s="47"/>
      <c r="F9" s="47"/>
      <c r="G9" s="47"/>
      <c r="H9" s="47"/>
      <c r="I9" s="47">
        <f>SUM(G9:H9)</f>
        <v>0</v>
      </c>
      <c r="J9" s="47"/>
      <c r="K9" s="47"/>
      <c r="L9" s="47"/>
      <c r="M9" s="47">
        <f>SUM(K9:L9)</f>
        <v>0</v>
      </c>
      <c r="N9" s="47"/>
      <c r="O9" s="47"/>
      <c r="P9" s="47"/>
      <c r="Q9" s="47">
        <f>SUM(O9:P9)</f>
        <v>0</v>
      </c>
      <c r="R9" s="47"/>
      <c r="S9" s="47"/>
      <c r="T9" s="47"/>
      <c r="U9" s="47">
        <f>SUM(S9:T9)</f>
        <v>0</v>
      </c>
      <c r="V9" s="47"/>
      <c r="W9" s="47"/>
      <c r="X9" s="47"/>
      <c r="Y9" s="48">
        <f>SUM(W9:X9)</f>
        <v>0</v>
      </c>
    </row>
    <row r="10" spans="2:25" s="29" customFormat="1" ht="13.5" thickBot="1">
      <c r="B10" s="38">
        <v>2</v>
      </c>
      <c r="C10" s="38" t="s">
        <v>69</v>
      </c>
      <c r="D10" s="46"/>
      <c r="E10" s="46"/>
      <c r="F10" s="47"/>
      <c r="G10" s="47"/>
      <c r="H10" s="47"/>
      <c r="I10" s="47">
        <f t="shared" ref="I10:I31" si="0">SUM(G10:H10)</f>
        <v>0</v>
      </c>
      <c r="J10" s="47"/>
      <c r="K10" s="47"/>
      <c r="L10" s="47"/>
      <c r="M10" s="47">
        <f t="shared" ref="M10:M31" si="1">SUM(K10:L10)</f>
        <v>0</v>
      </c>
      <c r="N10" s="47"/>
      <c r="O10" s="47"/>
      <c r="P10" s="47"/>
      <c r="Q10" s="47">
        <f t="shared" ref="Q10:Q31" si="2">SUM(O10:P10)</f>
        <v>0</v>
      </c>
      <c r="R10" s="47"/>
      <c r="S10" s="47"/>
      <c r="T10" s="47"/>
      <c r="U10" s="47">
        <f t="shared" ref="U10:U31" si="3">SUM(S10:T10)</f>
        <v>0</v>
      </c>
      <c r="V10" s="47"/>
      <c r="W10" s="47"/>
      <c r="X10" s="47"/>
      <c r="Y10" s="48">
        <f t="shared" ref="Y10:Y31" si="4">SUM(W10:X10)</f>
        <v>0</v>
      </c>
    </row>
    <row r="11" spans="2:25" s="29" customFormat="1">
      <c r="B11" s="35">
        <v>3</v>
      </c>
      <c r="C11" s="38" t="s">
        <v>70</v>
      </c>
      <c r="D11" s="47"/>
      <c r="E11" s="47"/>
      <c r="F11" s="47"/>
      <c r="G11" s="47"/>
      <c r="H11" s="47"/>
      <c r="I11" s="47">
        <f t="shared" si="0"/>
        <v>0</v>
      </c>
      <c r="J11" s="47"/>
      <c r="K11" s="47"/>
      <c r="L11" s="47"/>
      <c r="M11" s="47">
        <f t="shared" si="1"/>
        <v>0</v>
      </c>
      <c r="N11" s="47"/>
      <c r="O11" s="47"/>
      <c r="P11" s="47"/>
      <c r="Q11" s="47">
        <f t="shared" si="2"/>
        <v>0</v>
      </c>
      <c r="R11" s="47"/>
      <c r="S11" s="47"/>
      <c r="T11" s="47"/>
      <c r="U11" s="47">
        <f t="shared" si="3"/>
        <v>0</v>
      </c>
      <c r="V11" s="47"/>
      <c r="W11" s="47"/>
      <c r="X11" s="47"/>
      <c r="Y11" s="48">
        <f t="shared" si="4"/>
        <v>0</v>
      </c>
    </row>
    <row r="12" spans="2:25" s="29" customFormat="1" ht="13.5" thickBot="1">
      <c r="B12" s="38">
        <v>4</v>
      </c>
      <c r="C12" s="38" t="s">
        <v>71</v>
      </c>
      <c r="D12" s="47"/>
      <c r="E12" s="47"/>
      <c r="F12" s="47"/>
      <c r="G12" s="47"/>
      <c r="H12" s="47"/>
      <c r="I12" s="47">
        <f t="shared" si="0"/>
        <v>0</v>
      </c>
      <c r="J12" s="47"/>
      <c r="K12" s="47"/>
      <c r="L12" s="47"/>
      <c r="M12" s="47">
        <f t="shared" si="1"/>
        <v>0</v>
      </c>
      <c r="N12" s="47"/>
      <c r="O12" s="47"/>
      <c r="P12" s="47"/>
      <c r="Q12" s="47">
        <f t="shared" si="2"/>
        <v>0</v>
      </c>
      <c r="R12" s="47"/>
      <c r="S12" s="47"/>
      <c r="T12" s="47"/>
      <c r="U12" s="47">
        <f t="shared" si="3"/>
        <v>0</v>
      </c>
      <c r="V12" s="47"/>
      <c r="W12" s="47"/>
      <c r="X12" s="47"/>
      <c r="Y12" s="48">
        <f t="shared" si="4"/>
        <v>0</v>
      </c>
    </row>
    <row r="13" spans="2:25" s="29" customFormat="1">
      <c r="B13" s="35">
        <v>5</v>
      </c>
      <c r="C13" s="38" t="s">
        <v>72</v>
      </c>
      <c r="D13" s="46"/>
      <c r="E13" s="47"/>
      <c r="F13" s="47"/>
      <c r="G13" s="47"/>
      <c r="H13" s="47"/>
      <c r="I13" s="47">
        <f t="shared" si="0"/>
        <v>0</v>
      </c>
      <c r="J13" s="47"/>
      <c r="K13" s="47"/>
      <c r="L13" s="47"/>
      <c r="M13" s="47">
        <f t="shared" si="1"/>
        <v>0</v>
      </c>
      <c r="N13" s="47"/>
      <c r="O13" s="47"/>
      <c r="P13" s="47"/>
      <c r="Q13" s="47">
        <f t="shared" si="2"/>
        <v>0</v>
      </c>
      <c r="R13" s="47"/>
      <c r="S13" s="47"/>
      <c r="T13" s="47"/>
      <c r="U13" s="47">
        <f t="shared" si="3"/>
        <v>0</v>
      </c>
      <c r="V13" s="47"/>
      <c r="W13" s="47"/>
      <c r="X13" s="47"/>
      <c r="Y13" s="48">
        <f t="shared" si="4"/>
        <v>0</v>
      </c>
    </row>
    <row r="14" spans="2:25" s="29" customFormat="1" ht="13.5" thickBot="1">
      <c r="B14" s="38">
        <v>6</v>
      </c>
      <c r="C14" s="38" t="s">
        <v>73</v>
      </c>
      <c r="D14" s="49"/>
      <c r="E14" s="49"/>
      <c r="F14" s="47"/>
      <c r="G14" s="47"/>
      <c r="H14" s="47"/>
      <c r="I14" s="47">
        <f t="shared" si="0"/>
        <v>0</v>
      </c>
      <c r="J14" s="47"/>
      <c r="K14" s="47"/>
      <c r="L14" s="47"/>
      <c r="M14" s="47">
        <f t="shared" si="1"/>
        <v>0</v>
      </c>
      <c r="N14" s="47"/>
      <c r="O14" s="47"/>
      <c r="P14" s="47"/>
      <c r="Q14" s="47">
        <f t="shared" si="2"/>
        <v>0</v>
      </c>
      <c r="R14" s="47"/>
      <c r="S14" s="47"/>
      <c r="T14" s="47"/>
      <c r="U14" s="47">
        <f t="shared" si="3"/>
        <v>0</v>
      </c>
      <c r="V14" s="47"/>
      <c r="W14" s="47"/>
      <c r="X14" s="47"/>
      <c r="Y14" s="48">
        <f t="shared" si="4"/>
        <v>0</v>
      </c>
    </row>
    <row r="15" spans="2:25" s="29" customFormat="1">
      <c r="B15" s="35">
        <v>7</v>
      </c>
      <c r="C15" s="38" t="s">
        <v>74</v>
      </c>
      <c r="D15" s="46"/>
      <c r="E15" s="46"/>
      <c r="F15" s="47"/>
      <c r="G15" s="47"/>
      <c r="H15" s="47"/>
      <c r="I15" s="47">
        <f t="shared" si="0"/>
        <v>0</v>
      </c>
      <c r="J15" s="47"/>
      <c r="K15" s="47"/>
      <c r="L15" s="47"/>
      <c r="M15" s="47">
        <f t="shared" si="1"/>
        <v>0</v>
      </c>
      <c r="N15" s="47"/>
      <c r="O15" s="47"/>
      <c r="P15" s="47"/>
      <c r="Q15" s="47">
        <f t="shared" si="2"/>
        <v>0</v>
      </c>
      <c r="R15" s="47"/>
      <c r="S15" s="47"/>
      <c r="T15" s="47"/>
      <c r="U15" s="47">
        <f t="shared" si="3"/>
        <v>0</v>
      </c>
      <c r="V15" s="47"/>
      <c r="W15" s="47"/>
      <c r="X15" s="47"/>
      <c r="Y15" s="48">
        <f t="shared" si="4"/>
        <v>0</v>
      </c>
    </row>
    <row r="16" spans="2:25" s="29" customFormat="1">
      <c r="B16" s="40">
        <v>8</v>
      </c>
      <c r="C16" s="38" t="s">
        <v>75</v>
      </c>
      <c r="D16" s="47"/>
      <c r="E16" s="47"/>
      <c r="F16" s="47"/>
      <c r="G16" s="47"/>
      <c r="H16" s="47"/>
      <c r="I16" s="47">
        <f t="shared" si="0"/>
        <v>0</v>
      </c>
      <c r="J16" s="47"/>
      <c r="K16" s="47"/>
      <c r="L16" s="47"/>
      <c r="M16" s="47">
        <f t="shared" si="1"/>
        <v>0</v>
      </c>
      <c r="N16" s="47"/>
      <c r="O16" s="47"/>
      <c r="P16" s="47"/>
      <c r="Q16" s="47">
        <f t="shared" si="2"/>
        <v>0</v>
      </c>
      <c r="R16" s="47"/>
      <c r="S16" s="47"/>
      <c r="T16" s="47"/>
      <c r="U16" s="47">
        <f t="shared" si="3"/>
        <v>0</v>
      </c>
      <c r="V16" s="47"/>
      <c r="W16" s="47"/>
      <c r="X16" s="47"/>
      <c r="Y16" s="48">
        <f t="shared" si="4"/>
        <v>0</v>
      </c>
    </row>
    <row r="17" spans="2:42" s="29" customFormat="1" ht="13.5" thickBot="1">
      <c r="B17" s="38">
        <v>9</v>
      </c>
      <c r="C17" s="38" t="s">
        <v>76</v>
      </c>
      <c r="D17" s="47"/>
      <c r="E17" s="47"/>
      <c r="F17" s="47"/>
      <c r="G17" s="47"/>
      <c r="H17" s="47"/>
      <c r="I17" s="47">
        <f t="shared" si="0"/>
        <v>0</v>
      </c>
      <c r="J17" s="47"/>
      <c r="K17" s="47"/>
      <c r="L17" s="47"/>
      <c r="M17" s="47">
        <f t="shared" si="1"/>
        <v>0</v>
      </c>
      <c r="N17" s="47"/>
      <c r="O17" s="47"/>
      <c r="P17" s="47"/>
      <c r="Q17" s="47">
        <f t="shared" si="2"/>
        <v>0</v>
      </c>
      <c r="R17" s="47"/>
      <c r="S17" s="47"/>
      <c r="T17" s="47"/>
      <c r="U17" s="47">
        <f t="shared" si="3"/>
        <v>0</v>
      </c>
      <c r="V17" s="47"/>
      <c r="W17" s="47"/>
      <c r="X17" s="47"/>
      <c r="Y17" s="48">
        <f t="shared" si="4"/>
        <v>0</v>
      </c>
    </row>
    <row r="18" spans="2:42" s="29" customFormat="1">
      <c r="B18" s="35">
        <v>10</v>
      </c>
      <c r="C18" s="35" t="s">
        <v>77</v>
      </c>
      <c r="D18" s="47"/>
      <c r="E18" s="47"/>
      <c r="F18" s="47"/>
      <c r="G18" s="47"/>
      <c r="H18" s="47"/>
      <c r="I18" s="47">
        <f t="shared" si="0"/>
        <v>0</v>
      </c>
      <c r="J18" s="47"/>
      <c r="K18" s="47"/>
      <c r="L18" s="47"/>
      <c r="M18" s="47">
        <f t="shared" si="1"/>
        <v>0</v>
      </c>
      <c r="N18" s="47"/>
      <c r="O18" s="47"/>
      <c r="P18" s="47"/>
      <c r="Q18" s="47">
        <f t="shared" si="2"/>
        <v>0</v>
      </c>
      <c r="R18" s="47"/>
      <c r="S18" s="47"/>
      <c r="T18" s="47"/>
      <c r="U18" s="47">
        <f t="shared" si="3"/>
        <v>0</v>
      </c>
      <c r="V18" s="47"/>
      <c r="W18" s="47"/>
      <c r="X18" s="47"/>
      <c r="Y18" s="48">
        <f t="shared" si="4"/>
        <v>0</v>
      </c>
    </row>
    <row r="19" spans="2:42" s="29" customFormat="1" ht="13.5" thickBot="1">
      <c r="B19" s="38">
        <v>11</v>
      </c>
      <c r="C19" s="38" t="s">
        <v>78</v>
      </c>
      <c r="D19" s="46"/>
      <c r="E19" s="47"/>
      <c r="F19" s="47"/>
      <c r="G19" s="47"/>
      <c r="H19" s="47"/>
      <c r="I19" s="47">
        <f t="shared" si="0"/>
        <v>0</v>
      </c>
      <c r="J19" s="47"/>
      <c r="K19" s="47"/>
      <c r="L19" s="47"/>
      <c r="M19" s="47">
        <f t="shared" si="1"/>
        <v>0</v>
      </c>
      <c r="N19" s="47"/>
      <c r="O19" s="47"/>
      <c r="P19" s="47"/>
      <c r="Q19" s="47">
        <f t="shared" si="2"/>
        <v>0</v>
      </c>
      <c r="R19" s="47"/>
      <c r="S19" s="47"/>
      <c r="T19" s="47"/>
      <c r="U19" s="47">
        <f t="shared" si="3"/>
        <v>0</v>
      </c>
      <c r="V19" s="47"/>
      <c r="W19" s="47"/>
      <c r="X19" s="47"/>
      <c r="Y19" s="48">
        <f t="shared" si="4"/>
        <v>0</v>
      </c>
    </row>
    <row r="20" spans="2:42" s="29" customFormat="1">
      <c r="B20" s="35">
        <v>12</v>
      </c>
      <c r="C20" s="38" t="s">
        <v>79</v>
      </c>
      <c r="D20" s="47"/>
      <c r="E20" s="47"/>
      <c r="F20" s="47"/>
      <c r="G20" s="47"/>
      <c r="H20" s="47"/>
      <c r="I20" s="47">
        <f t="shared" si="0"/>
        <v>0</v>
      </c>
      <c r="J20" s="47"/>
      <c r="K20" s="47"/>
      <c r="L20" s="47"/>
      <c r="M20" s="47">
        <f t="shared" si="1"/>
        <v>0</v>
      </c>
      <c r="N20" s="47"/>
      <c r="O20" s="47"/>
      <c r="P20" s="47"/>
      <c r="Q20" s="47">
        <f t="shared" si="2"/>
        <v>0</v>
      </c>
      <c r="R20" s="47"/>
      <c r="S20" s="47"/>
      <c r="T20" s="47"/>
      <c r="U20" s="47">
        <f t="shared" si="3"/>
        <v>0</v>
      </c>
      <c r="V20" s="47"/>
      <c r="W20" s="47"/>
      <c r="X20" s="47"/>
      <c r="Y20" s="48">
        <f t="shared" si="4"/>
        <v>0</v>
      </c>
    </row>
    <row r="21" spans="2:42" s="29" customFormat="1" ht="13.5" thickBot="1">
      <c r="B21" s="38">
        <v>13</v>
      </c>
      <c r="C21" s="38" t="s">
        <v>80</v>
      </c>
      <c r="D21" s="47"/>
      <c r="E21" s="47"/>
      <c r="F21" s="47"/>
      <c r="G21" s="47"/>
      <c r="H21" s="47"/>
      <c r="I21" s="47">
        <f t="shared" si="0"/>
        <v>0</v>
      </c>
      <c r="J21" s="47"/>
      <c r="K21" s="47"/>
      <c r="L21" s="47"/>
      <c r="M21" s="47">
        <f t="shared" si="1"/>
        <v>0</v>
      </c>
      <c r="N21" s="47"/>
      <c r="O21" s="47"/>
      <c r="P21" s="47"/>
      <c r="Q21" s="47">
        <f t="shared" si="2"/>
        <v>0</v>
      </c>
      <c r="R21" s="47"/>
      <c r="S21" s="47"/>
      <c r="T21" s="47"/>
      <c r="U21" s="47">
        <f t="shared" si="3"/>
        <v>0</v>
      </c>
      <c r="V21" s="47"/>
      <c r="W21" s="47"/>
      <c r="X21" s="47"/>
      <c r="Y21" s="48">
        <f t="shared" si="4"/>
        <v>0</v>
      </c>
    </row>
    <row r="22" spans="2:42" s="29" customFormat="1">
      <c r="B22" s="35">
        <v>14</v>
      </c>
      <c r="C22" s="38" t="s">
        <v>81</v>
      </c>
      <c r="D22" s="46"/>
      <c r="E22" s="47"/>
      <c r="F22" s="47"/>
      <c r="G22" s="47"/>
      <c r="H22" s="47"/>
      <c r="I22" s="47">
        <f t="shared" si="0"/>
        <v>0</v>
      </c>
      <c r="J22" s="47"/>
      <c r="K22" s="47"/>
      <c r="L22" s="47"/>
      <c r="M22" s="47">
        <f t="shared" si="1"/>
        <v>0</v>
      </c>
      <c r="N22" s="47"/>
      <c r="O22" s="47"/>
      <c r="P22" s="47"/>
      <c r="Q22" s="47">
        <f t="shared" si="2"/>
        <v>0</v>
      </c>
      <c r="R22" s="47"/>
      <c r="S22" s="47"/>
      <c r="T22" s="47"/>
      <c r="U22" s="47">
        <f t="shared" si="3"/>
        <v>0</v>
      </c>
      <c r="V22" s="47"/>
      <c r="W22" s="47"/>
      <c r="X22" s="47"/>
      <c r="Y22" s="48">
        <f t="shared" si="4"/>
        <v>0</v>
      </c>
    </row>
    <row r="23" spans="2:42" s="29" customFormat="1" ht="13.5" thickBot="1">
      <c r="B23" s="38">
        <v>15</v>
      </c>
      <c r="C23" s="38" t="s">
        <v>82</v>
      </c>
      <c r="D23" s="46"/>
      <c r="E23" s="46"/>
      <c r="F23" s="47"/>
      <c r="G23" s="47"/>
      <c r="H23" s="47"/>
      <c r="I23" s="47">
        <f t="shared" si="0"/>
        <v>0</v>
      </c>
      <c r="J23" s="47"/>
      <c r="K23" s="47"/>
      <c r="L23" s="47"/>
      <c r="M23" s="47">
        <f t="shared" si="1"/>
        <v>0</v>
      </c>
      <c r="N23" s="47"/>
      <c r="O23" s="47"/>
      <c r="P23" s="47"/>
      <c r="Q23" s="47">
        <f t="shared" si="2"/>
        <v>0</v>
      </c>
      <c r="R23" s="47"/>
      <c r="S23" s="47"/>
      <c r="T23" s="47"/>
      <c r="U23" s="47">
        <f t="shared" si="3"/>
        <v>0</v>
      </c>
      <c r="V23" s="47"/>
      <c r="W23" s="47"/>
      <c r="X23" s="47"/>
      <c r="Y23" s="48">
        <f t="shared" si="4"/>
        <v>0</v>
      </c>
    </row>
    <row r="24" spans="2:42" s="29" customFormat="1">
      <c r="B24" s="35">
        <v>16</v>
      </c>
      <c r="C24" s="38" t="s">
        <v>83</v>
      </c>
      <c r="D24" s="47"/>
      <c r="E24" s="47"/>
      <c r="F24" s="47"/>
      <c r="G24" s="47"/>
      <c r="H24" s="47"/>
      <c r="I24" s="47">
        <f t="shared" si="0"/>
        <v>0</v>
      </c>
      <c r="J24" s="47"/>
      <c r="K24" s="47"/>
      <c r="L24" s="47"/>
      <c r="M24" s="47">
        <f t="shared" si="1"/>
        <v>0</v>
      </c>
      <c r="N24" s="47"/>
      <c r="O24" s="47"/>
      <c r="P24" s="47"/>
      <c r="Q24" s="47">
        <f t="shared" si="2"/>
        <v>0</v>
      </c>
      <c r="R24" s="47"/>
      <c r="S24" s="47"/>
      <c r="T24" s="47"/>
      <c r="U24" s="47">
        <f t="shared" si="3"/>
        <v>0</v>
      </c>
      <c r="V24" s="47"/>
      <c r="W24" s="47"/>
      <c r="X24" s="47"/>
      <c r="Y24" s="48">
        <f t="shared" si="4"/>
        <v>0</v>
      </c>
    </row>
    <row r="25" spans="2:42" s="29" customFormat="1">
      <c r="B25" s="40">
        <v>17</v>
      </c>
      <c r="C25" s="38" t="s">
        <v>84</v>
      </c>
      <c r="D25" s="47"/>
      <c r="E25" s="47"/>
      <c r="F25" s="47"/>
      <c r="G25" s="47"/>
      <c r="H25" s="47"/>
      <c r="I25" s="47">
        <f t="shared" si="0"/>
        <v>0</v>
      </c>
      <c r="J25" s="47"/>
      <c r="K25" s="47"/>
      <c r="L25" s="47"/>
      <c r="M25" s="47">
        <f t="shared" si="1"/>
        <v>0</v>
      </c>
      <c r="N25" s="47"/>
      <c r="O25" s="47"/>
      <c r="P25" s="47"/>
      <c r="Q25" s="47">
        <f t="shared" si="2"/>
        <v>0</v>
      </c>
      <c r="R25" s="47"/>
      <c r="S25" s="47"/>
      <c r="T25" s="47"/>
      <c r="U25" s="47">
        <f t="shared" si="3"/>
        <v>0</v>
      </c>
      <c r="V25" s="47"/>
      <c r="W25" s="47"/>
      <c r="X25" s="47"/>
      <c r="Y25" s="48">
        <f t="shared" si="4"/>
        <v>0</v>
      </c>
    </row>
    <row r="26" spans="2:42" s="29" customFormat="1">
      <c r="B26" s="40">
        <v>18</v>
      </c>
      <c r="C26" s="38" t="s">
        <v>85</v>
      </c>
      <c r="D26" s="46"/>
      <c r="E26" s="47"/>
      <c r="F26" s="47"/>
      <c r="G26" s="47"/>
      <c r="H26" s="47"/>
      <c r="I26" s="47">
        <f t="shared" si="0"/>
        <v>0</v>
      </c>
      <c r="J26" s="47"/>
      <c r="K26" s="47"/>
      <c r="L26" s="47"/>
      <c r="M26" s="47">
        <f t="shared" si="1"/>
        <v>0</v>
      </c>
      <c r="N26" s="47"/>
      <c r="O26" s="47"/>
      <c r="P26" s="47"/>
      <c r="Q26" s="47">
        <f t="shared" si="2"/>
        <v>0</v>
      </c>
      <c r="R26" s="47"/>
      <c r="S26" s="47"/>
      <c r="T26" s="47"/>
      <c r="U26" s="47">
        <f t="shared" si="3"/>
        <v>0</v>
      </c>
      <c r="V26" s="47"/>
      <c r="W26" s="47"/>
      <c r="X26" s="47"/>
      <c r="Y26" s="48">
        <f t="shared" si="4"/>
        <v>0</v>
      </c>
    </row>
    <row r="27" spans="2:42" s="29" customFormat="1">
      <c r="B27" s="40">
        <v>19</v>
      </c>
      <c r="C27" s="38" t="s">
        <v>86</v>
      </c>
      <c r="D27" s="49"/>
      <c r="E27" s="49"/>
      <c r="F27" s="47"/>
      <c r="G27" s="47">
        <v>1056</v>
      </c>
      <c r="H27" s="47">
        <v>991</v>
      </c>
      <c r="I27" s="47">
        <f t="shared" si="0"/>
        <v>2047</v>
      </c>
      <c r="J27" s="47"/>
      <c r="K27" s="47">
        <v>1101</v>
      </c>
      <c r="L27" s="47">
        <v>952</v>
      </c>
      <c r="M27" s="47">
        <f t="shared" si="1"/>
        <v>2053</v>
      </c>
      <c r="N27" s="47"/>
      <c r="O27" s="47">
        <v>986</v>
      </c>
      <c r="P27" s="47">
        <v>839</v>
      </c>
      <c r="Q27" s="47">
        <f t="shared" si="2"/>
        <v>1825</v>
      </c>
      <c r="R27" s="47"/>
      <c r="S27" s="47">
        <v>836</v>
      </c>
      <c r="T27" s="47">
        <v>810</v>
      </c>
      <c r="U27" s="47">
        <f t="shared" si="3"/>
        <v>1646</v>
      </c>
      <c r="V27" s="47"/>
      <c r="W27" s="47">
        <v>1157</v>
      </c>
      <c r="X27" s="47">
        <v>995</v>
      </c>
      <c r="Y27" s="48">
        <f t="shared" si="4"/>
        <v>2152</v>
      </c>
    </row>
    <row r="28" spans="2:42" s="51" customFormat="1">
      <c r="B28" s="40">
        <v>20</v>
      </c>
      <c r="C28" s="38" t="s">
        <v>87</v>
      </c>
      <c r="D28" s="47"/>
      <c r="E28" s="47"/>
      <c r="F28" s="47"/>
      <c r="G28" s="47"/>
      <c r="H28" s="47"/>
      <c r="I28" s="47">
        <f t="shared" si="0"/>
        <v>0</v>
      </c>
      <c r="J28" s="47"/>
      <c r="K28" s="47"/>
      <c r="L28" s="47"/>
      <c r="M28" s="47">
        <f t="shared" si="1"/>
        <v>0</v>
      </c>
      <c r="N28" s="47"/>
      <c r="O28" s="47"/>
      <c r="P28" s="47"/>
      <c r="Q28" s="47">
        <f t="shared" si="2"/>
        <v>0</v>
      </c>
      <c r="R28" s="47"/>
      <c r="S28" s="47"/>
      <c r="T28" s="47"/>
      <c r="U28" s="47">
        <f t="shared" si="3"/>
        <v>0</v>
      </c>
      <c r="V28" s="47"/>
      <c r="W28" s="47"/>
      <c r="X28" s="47"/>
      <c r="Y28" s="48">
        <f t="shared" si="4"/>
        <v>0</v>
      </c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</row>
    <row r="29" spans="2:42" s="51" customFormat="1">
      <c r="B29" s="40">
        <v>21</v>
      </c>
      <c r="C29" s="38" t="s">
        <v>88</v>
      </c>
      <c r="D29" s="46"/>
      <c r="E29" s="46"/>
      <c r="F29" s="47"/>
      <c r="G29" s="47"/>
      <c r="H29" s="47"/>
      <c r="I29" s="47">
        <f t="shared" si="0"/>
        <v>0</v>
      </c>
      <c r="J29" s="47"/>
      <c r="K29" s="47"/>
      <c r="L29" s="47"/>
      <c r="M29" s="47">
        <f t="shared" si="1"/>
        <v>0</v>
      </c>
      <c r="N29" s="47"/>
      <c r="O29" s="47"/>
      <c r="P29" s="47"/>
      <c r="Q29" s="47">
        <f t="shared" si="2"/>
        <v>0</v>
      </c>
      <c r="R29" s="47"/>
      <c r="S29" s="47"/>
      <c r="T29" s="47"/>
      <c r="U29" s="47">
        <f t="shared" si="3"/>
        <v>0</v>
      </c>
      <c r="V29" s="47"/>
      <c r="W29" s="47"/>
      <c r="X29" s="47"/>
      <c r="Y29" s="48">
        <f t="shared" si="4"/>
        <v>0</v>
      </c>
    </row>
    <row r="30" spans="2:42" s="51" customFormat="1">
      <c r="B30" s="40">
        <v>22</v>
      </c>
      <c r="C30" s="38" t="s">
        <v>89</v>
      </c>
      <c r="D30" s="47"/>
      <c r="E30" s="47"/>
      <c r="F30" s="47"/>
      <c r="G30" s="47"/>
      <c r="H30" s="47"/>
      <c r="I30" s="47">
        <f t="shared" si="0"/>
        <v>0</v>
      </c>
      <c r="J30" s="47"/>
      <c r="K30" s="47"/>
      <c r="L30" s="47"/>
      <c r="M30" s="47">
        <f t="shared" si="1"/>
        <v>0</v>
      </c>
      <c r="N30" s="47"/>
      <c r="O30" s="47"/>
      <c r="P30" s="47"/>
      <c r="Q30" s="47">
        <f t="shared" si="2"/>
        <v>0</v>
      </c>
      <c r="R30" s="47"/>
      <c r="S30" s="47"/>
      <c r="T30" s="47"/>
      <c r="U30" s="47">
        <f t="shared" si="3"/>
        <v>0</v>
      </c>
      <c r="V30" s="47"/>
      <c r="W30" s="47"/>
      <c r="X30" s="47"/>
      <c r="Y30" s="48">
        <f t="shared" si="4"/>
        <v>0</v>
      </c>
    </row>
    <row r="31" spans="2:42" s="51" customFormat="1" ht="13.5" thickBot="1">
      <c r="B31" s="40">
        <v>23</v>
      </c>
      <c r="C31" s="38" t="s">
        <v>90</v>
      </c>
      <c r="D31" s="47"/>
      <c r="E31" s="47"/>
      <c r="F31" s="47"/>
      <c r="G31" s="47"/>
      <c r="H31" s="47"/>
      <c r="I31" s="47">
        <f t="shared" si="0"/>
        <v>0</v>
      </c>
      <c r="J31" s="47"/>
      <c r="K31" s="47"/>
      <c r="L31" s="47"/>
      <c r="M31" s="47">
        <f t="shared" si="1"/>
        <v>0</v>
      </c>
      <c r="N31" s="47"/>
      <c r="O31" s="47"/>
      <c r="P31" s="47"/>
      <c r="Q31" s="47">
        <f t="shared" si="2"/>
        <v>0</v>
      </c>
      <c r="R31" s="47"/>
      <c r="S31" s="47"/>
      <c r="T31" s="47"/>
      <c r="U31" s="47">
        <f t="shared" si="3"/>
        <v>0</v>
      </c>
      <c r="V31" s="47"/>
      <c r="W31" s="47"/>
      <c r="X31" s="47"/>
      <c r="Y31" s="48">
        <f t="shared" si="4"/>
        <v>0</v>
      </c>
    </row>
    <row r="32" spans="2:42" ht="16.5" thickBot="1">
      <c r="B32" s="349" t="s">
        <v>7</v>
      </c>
      <c r="C32" s="350"/>
      <c r="D32" s="52">
        <f t="shared" ref="D32:Y32" si="5">SUM(D9:D31)</f>
        <v>0</v>
      </c>
      <c r="E32" s="52">
        <f t="shared" si="5"/>
        <v>0</v>
      </c>
      <c r="F32" s="52">
        <f t="shared" si="5"/>
        <v>0</v>
      </c>
      <c r="G32" s="52">
        <f t="shared" si="5"/>
        <v>1056</v>
      </c>
      <c r="H32" s="52">
        <f t="shared" si="5"/>
        <v>991</v>
      </c>
      <c r="I32" s="52">
        <f t="shared" si="5"/>
        <v>2047</v>
      </c>
      <c r="J32" s="52">
        <f t="shared" si="5"/>
        <v>0</v>
      </c>
      <c r="K32" s="52">
        <f t="shared" si="5"/>
        <v>1101</v>
      </c>
      <c r="L32" s="52">
        <f t="shared" si="5"/>
        <v>952</v>
      </c>
      <c r="M32" s="52">
        <f t="shared" si="5"/>
        <v>2053</v>
      </c>
      <c r="N32" s="52">
        <f t="shared" si="5"/>
        <v>0</v>
      </c>
      <c r="O32" s="52">
        <f t="shared" si="5"/>
        <v>986</v>
      </c>
      <c r="P32" s="52">
        <f t="shared" si="5"/>
        <v>839</v>
      </c>
      <c r="Q32" s="52">
        <f t="shared" si="5"/>
        <v>1825</v>
      </c>
      <c r="R32" s="52">
        <f t="shared" si="5"/>
        <v>0</v>
      </c>
      <c r="S32" s="52">
        <f t="shared" si="5"/>
        <v>836</v>
      </c>
      <c r="T32" s="52">
        <f t="shared" si="5"/>
        <v>810</v>
      </c>
      <c r="U32" s="52">
        <f t="shared" si="5"/>
        <v>1646</v>
      </c>
      <c r="V32" s="52">
        <f t="shared" si="5"/>
        <v>0</v>
      </c>
      <c r="W32" s="52">
        <f t="shared" si="5"/>
        <v>1157</v>
      </c>
      <c r="X32" s="52">
        <f t="shared" si="5"/>
        <v>995</v>
      </c>
      <c r="Y32" s="52">
        <f t="shared" si="5"/>
        <v>2152</v>
      </c>
    </row>
    <row r="33" spans="3:26">
      <c r="T33" s="53"/>
      <c r="U33" s="53"/>
      <c r="V33" s="53"/>
      <c r="W33" s="1"/>
      <c r="X33" s="1"/>
      <c r="Y33" s="1"/>
    </row>
    <row r="34" spans="3:26">
      <c r="C34" s="351" t="s">
        <v>92</v>
      </c>
      <c r="D34" s="351"/>
      <c r="E34" s="351"/>
      <c r="F34" s="54"/>
      <c r="G34" s="54"/>
      <c r="H34" s="54"/>
      <c r="I34" s="43"/>
      <c r="J34" s="43"/>
      <c r="K34" s="43"/>
      <c r="L34" s="43"/>
      <c r="M34" s="43"/>
      <c r="N34" s="43"/>
      <c r="O34" s="43"/>
      <c r="P34" s="345"/>
      <c r="Q34" s="345"/>
      <c r="R34" s="345"/>
      <c r="S34" s="345" t="s">
        <v>67</v>
      </c>
      <c r="T34" s="345"/>
      <c r="U34" s="345"/>
      <c r="V34" s="345"/>
      <c r="W34" s="345"/>
      <c r="X34" s="345"/>
      <c r="Y34" s="55"/>
      <c r="Z34" s="55"/>
    </row>
    <row r="35" spans="3:26">
      <c r="C35" s="344" t="s">
        <v>66</v>
      </c>
      <c r="D35" s="344"/>
      <c r="E35" s="344"/>
      <c r="F35" s="56"/>
      <c r="G35" s="56"/>
      <c r="H35" s="56"/>
      <c r="I35" s="43"/>
      <c r="J35" s="43"/>
      <c r="K35" s="43"/>
      <c r="L35" s="43"/>
      <c r="M35" s="43"/>
      <c r="N35" s="43"/>
      <c r="O35" s="43"/>
      <c r="P35" s="55"/>
      <c r="Q35" s="55"/>
      <c r="R35" s="55"/>
      <c r="S35" s="345" t="s">
        <v>91</v>
      </c>
      <c r="T35" s="345"/>
      <c r="U35" s="345"/>
      <c r="V35" s="345"/>
      <c r="W35" s="345"/>
      <c r="X35" s="345"/>
      <c r="Y35" s="55"/>
      <c r="Z35" s="55"/>
    </row>
  </sheetData>
  <mergeCells count="17">
    <mergeCell ref="C1:F1"/>
    <mergeCell ref="C2:F2"/>
    <mergeCell ref="C3:F3"/>
    <mergeCell ref="C4:F4"/>
    <mergeCell ref="B7:B8"/>
    <mergeCell ref="C7:C8"/>
    <mergeCell ref="F7:I7"/>
    <mergeCell ref="C35:E35"/>
    <mergeCell ref="S35:X35"/>
    <mergeCell ref="J7:M7"/>
    <mergeCell ref="N7:Q7"/>
    <mergeCell ref="R7:U7"/>
    <mergeCell ref="V7:Y7"/>
    <mergeCell ref="B32:C32"/>
    <mergeCell ref="C34:E34"/>
    <mergeCell ref="P34:R34"/>
    <mergeCell ref="S34:X3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ورقة12"/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</sheetPr>
  <dimension ref="A1:AP29"/>
  <sheetViews>
    <sheetView rightToLeft="1" view="pageBreakPreview" topLeftCell="N1" zoomScaleNormal="100" zoomScaleSheetLayoutView="100" zoomScalePageLayoutView="71" workbookViewId="0">
      <selection activeCell="AI4" sqref="AI4:AL4"/>
    </sheetView>
  </sheetViews>
  <sheetFormatPr defaultColWidth="9" defaultRowHeight="12.75"/>
  <cols>
    <col min="1" max="1" width="3" style="30" bestFit="1" customWidth="1"/>
    <col min="2" max="2" width="12.375" style="57" customWidth="1"/>
    <col min="3" max="39" width="5.375" style="30" customWidth="1"/>
    <col min="40" max="40" width="5.875" style="30" customWidth="1"/>
    <col min="41" max="41" width="6.125" style="30" customWidth="1"/>
    <col min="42" max="42" width="6.375" style="30" customWidth="1"/>
    <col min="43" max="16384" width="9" style="30"/>
  </cols>
  <sheetData>
    <row r="1" spans="1:42">
      <c r="B1" s="58"/>
      <c r="C1" s="59"/>
      <c r="W1" s="60"/>
    </row>
    <row r="2" spans="1:42">
      <c r="B2" s="58"/>
      <c r="C2" s="59"/>
      <c r="W2" s="60"/>
    </row>
    <row r="3" spans="1:42" ht="13.5" thickBot="1">
      <c r="B3" s="58"/>
      <c r="C3" s="59"/>
      <c r="S3" s="30" t="s">
        <v>0</v>
      </c>
      <c r="W3" s="60"/>
      <c r="AM3" s="30" t="s">
        <v>0</v>
      </c>
    </row>
    <row r="4" spans="1:42" s="80" customFormat="1" ht="15.75">
      <c r="A4" s="359" t="s">
        <v>1</v>
      </c>
      <c r="B4" s="354" t="s">
        <v>65</v>
      </c>
      <c r="C4" s="364" t="s">
        <v>203</v>
      </c>
      <c r="D4" s="354"/>
      <c r="E4" s="354"/>
      <c r="F4" s="354"/>
      <c r="G4" s="354" t="s">
        <v>204</v>
      </c>
      <c r="H4" s="354"/>
      <c r="I4" s="354"/>
      <c r="J4" s="354"/>
      <c r="K4" s="354" t="s">
        <v>205</v>
      </c>
      <c r="L4" s="354"/>
      <c r="M4" s="354"/>
      <c r="N4" s="354"/>
      <c r="O4" s="354" t="s">
        <v>206</v>
      </c>
      <c r="P4" s="354"/>
      <c r="Q4" s="354"/>
      <c r="R4" s="354"/>
      <c r="S4" s="354" t="s">
        <v>207</v>
      </c>
      <c r="T4" s="354"/>
      <c r="U4" s="354"/>
      <c r="V4" s="355"/>
      <c r="W4" s="359" t="s">
        <v>208</v>
      </c>
      <c r="X4" s="354"/>
      <c r="Y4" s="354"/>
      <c r="Z4" s="354"/>
      <c r="AA4" s="354" t="s">
        <v>209</v>
      </c>
      <c r="AB4" s="354"/>
      <c r="AC4" s="354"/>
      <c r="AD4" s="354"/>
      <c r="AE4" s="354" t="s">
        <v>210</v>
      </c>
      <c r="AF4" s="354"/>
      <c r="AG4" s="354"/>
      <c r="AH4" s="354"/>
      <c r="AI4" s="354" t="s">
        <v>211</v>
      </c>
      <c r="AJ4" s="354"/>
      <c r="AK4" s="354"/>
      <c r="AL4" s="354"/>
      <c r="AM4" s="354" t="s">
        <v>97</v>
      </c>
      <c r="AN4" s="354"/>
      <c r="AO4" s="354"/>
      <c r="AP4" s="355"/>
    </row>
    <row r="5" spans="1:42" s="80" customFormat="1" ht="15.75">
      <c r="A5" s="360"/>
      <c r="B5" s="361"/>
      <c r="C5" s="76" t="s">
        <v>4</v>
      </c>
      <c r="D5" s="137" t="s">
        <v>5</v>
      </c>
      <c r="E5" s="137" t="s">
        <v>6</v>
      </c>
      <c r="F5" s="137" t="s">
        <v>7</v>
      </c>
      <c r="G5" s="137" t="s">
        <v>4</v>
      </c>
      <c r="H5" s="137" t="s">
        <v>5</v>
      </c>
      <c r="I5" s="137" t="s">
        <v>6</v>
      </c>
      <c r="J5" s="137" t="s">
        <v>7</v>
      </c>
      <c r="K5" s="137" t="s">
        <v>4</v>
      </c>
      <c r="L5" s="137" t="s">
        <v>5</v>
      </c>
      <c r="M5" s="137" t="s">
        <v>6</v>
      </c>
      <c r="N5" s="137" t="s">
        <v>7</v>
      </c>
      <c r="O5" s="137" t="s">
        <v>4</v>
      </c>
      <c r="P5" s="137" t="s">
        <v>5</v>
      </c>
      <c r="Q5" s="137" t="s">
        <v>6</v>
      </c>
      <c r="R5" s="137" t="s">
        <v>7</v>
      </c>
      <c r="S5" s="137" t="s">
        <v>4</v>
      </c>
      <c r="T5" s="137" t="s">
        <v>5</v>
      </c>
      <c r="U5" s="137" t="s">
        <v>6</v>
      </c>
      <c r="V5" s="77" t="s">
        <v>7</v>
      </c>
      <c r="W5" s="136" t="s">
        <v>4</v>
      </c>
      <c r="X5" s="137" t="s">
        <v>5</v>
      </c>
      <c r="Y5" s="137" t="s">
        <v>6</v>
      </c>
      <c r="Z5" s="137" t="s">
        <v>7</v>
      </c>
      <c r="AA5" s="137" t="s">
        <v>4</v>
      </c>
      <c r="AB5" s="137" t="s">
        <v>5</v>
      </c>
      <c r="AC5" s="137" t="s">
        <v>6</v>
      </c>
      <c r="AD5" s="137" t="s">
        <v>7</v>
      </c>
      <c r="AE5" s="137" t="s">
        <v>4</v>
      </c>
      <c r="AF5" s="137" t="s">
        <v>5</v>
      </c>
      <c r="AG5" s="137" t="s">
        <v>6</v>
      </c>
      <c r="AH5" s="137" t="s">
        <v>7</v>
      </c>
      <c r="AI5" s="137" t="s">
        <v>4</v>
      </c>
      <c r="AJ5" s="137" t="s">
        <v>5</v>
      </c>
      <c r="AK5" s="137" t="s">
        <v>6</v>
      </c>
      <c r="AL5" s="137" t="s">
        <v>7</v>
      </c>
      <c r="AM5" s="137" t="s">
        <v>4</v>
      </c>
      <c r="AN5" s="137" t="s">
        <v>5</v>
      </c>
      <c r="AO5" s="137" t="s">
        <v>6</v>
      </c>
      <c r="AP5" s="77" t="s">
        <v>7</v>
      </c>
    </row>
    <row r="6" spans="1:42" s="134" customFormat="1" ht="15.75">
      <c r="A6" s="74">
        <v>1</v>
      </c>
      <c r="B6" s="75"/>
      <c r="C6" s="63"/>
      <c r="D6" s="62"/>
      <c r="E6" s="62"/>
      <c r="F6" s="62">
        <f t="shared" ref="F6:F25" si="0">SUM(D6:E6)</f>
        <v>0</v>
      </c>
      <c r="G6" s="62"/>
      <c r="H6" s="62"/>
      <c r="I6" s="62"/>
      <c r="J6" s="62">
        <f t="shared" ref="J6:J25" si="1">SUM(H6:I6)</f>
        <v>0</v>
      </c>
      <c r="K6" s="62"/>
      <c r="L6" s="62"/>
      <c r="M6" s="62"/>
      <c r="N6" s="62">
        <f t="shared" ref="N6:N25" si="2">SUM(L6:M6)</f>
        <v>0</v>
      </c>
      <c r="O6" s="62"/>
      <c r="P6" s="62"/>
      <c r="Q6" s="62"/>
      <c r="R6" s="62">
        <f t="shared" ref="R6:R25" si="3">SUM(P6:Q6)</f>
        <v>0</v>
      </c>
      <c r="S6" s="62"/>
      <c r="T6" s="62"/>
      <c r="U6" s="62"/>
      <c r="V6" s="78">
        <f>SUM(T6:U6)</f>
        <v>0</v>
      </c>
      <c r="W6" s="64"/>
      <c r="X6" s="62"/>
      <c r="Y6" s="62"/>
      <c r="Z6" s="62">
        <f t="shared" ref="Z6:Z25" si="4">SUM(X6:Y6)</f>
        <v>0</v>
      </c>
      <c r="AA6" s="62"/>
      <c r="AB6" s="62"/>
      <c r="AC6" s="62"/>
      <c r="AD6" s="62">
        <f t="shared" ref="AD6:AD25" si="5">SUM(AB6:AC6)</f>
        <v>0</v>
      </c>
      <c r="AE6" s="62"/>
      <c r="AF6" s="62"/>
      <c r="AG6" s="62"/>
      <c r="AH6" s="62">
        <f t="shared" ref="AH6:AH25" si="6">SUM(AF6:AG6)</f>
        <v>0</v>
      </c>
      <c r="AI6" s="62"/>
      <c r="AJ6" s="62"/>
      <c r="AK6" s="62"/>
      <c r="AL6" s="62">
        <f t="shared" ref="AL6:AL25" si="7">SUM(AJ6:AK6)</f>
        <v>0</v>
      </c>
      <c r="AM6" s="62">
        <f t="shared" ref="AM6:AM25" si="8">SUM(AI6,AE6,AA6,W6,S6,O6,K6,G6,C6)</f>
        <v>0</v>
      </c>
      <c r="AN6" s="62">
        <f t="shared" ref="AN6:AN25" si="9">SUM(AF6,AJ6,AB6,X6,T6,P6,L6,H6,D6)</f>
        <v>0</v>
      </c>
      <c r="AO6" s="62">
        <f t="shared" ref="AO6:AO25" si="10">SUM(AK6,AG6,AC6,Y6,U6,Q6,M6,I6,E6)</f>
        <v>0</v>
      </c>
      <c r="AP6" s="78">
        <f t="shared" ref="AP6:AP25" si="11">SUM(AN6:AO6)</f>
        <v>0</v>
      </c>
    </row>
    <row r="7" spans="1:42" s="134" customFormat="1" ht="15.75">
      <c r="A7" s="74">
        <v>2</v>
      </c>
      <c r="B7" s="75"/>
      <c r="C7" s="63"/>
      <c r="D7" s="62"/>
      <c r="E7" s="62"/>
      <c r="F7" s="62">
        <f t="shared" si="0"/>
        <v>0</v>
      </c>
      <c r="G7" s="62"/>
      <c r="H7" s="62"/>
      <c r="I7" s="62"/>
      <c r="J7" s="62">
        <f t="shared" si="1"/>
        <v>0</v>
      </c>
      <c r="K7" s="62"/>
      <c r="L7" s="62"/>
      <c r="M7" s="62"/>
      <c r="N7" s="62">
        <f t="shared" si="2"/>
        <v>0</v>
      </c>
      <c r="O7" s="62"/>
      <c r="P7" s="62"/>
      <c r="Q7" s="62"/>
      <c r="R7" s="62">
        <f t="shared" si="3"/>
        <v>0</v>
      </c>
      <c r="S7" s="62"/>
      <c r="T7" s="62"/>
      <c r="U7" s="62"/>
      <c r="V7" s="78">
        <f t="shared" ref="V7:V25" si="12">SUM(T7:U7)</f>
        <v>0</v>
      </c>
      <c r="W7" s="64"/>
      <c r="X7" s="62"/>
      <c r="Y7" s="62"/>
      <c r="Z7" s="62">
        <f t="shared" si="4"/>
        <v>0</v>
      </c>
      <c r="AA7" s="62"/>
      <c r="AB7" s="62"/>
      <c r="AC7" s="62"/>
      <c r="AD7" s="62">
        <f t="shared" si="5"/>
        <v>0</v>
      </c>
      <c r="AE7" s="62"/>
      <c r="AF7" s="62"/>
      <c r="AG7" s="62"/>
      <c r="AH7" s="62">
        <f t="shared" si="6"/>
        <v>0</v>
      </c>
      <c r="AI7" s="62"/>
      <c r="AJ7" s="62"/>
      <c r="AK7" s="62"/>
      <c r="AL7" s="62">
        <f t="shared" si="7"/>
        <v>0</v>
      </c>
      <c r="AM7" s="62">
        <f t="shared" si="8"/>
        <v>0</v>
      </c>
      <c r="AN7" s="62">
        <f t="shared" si="9"/>
        <v>0</v>
      </c>
      <c r="AO7" s="62">
        <f t="shared" si="10"/>
        <v>0</v>
      </c>
      <c r="AP7" s="78">
        <f t="shared" si="11"/>
        <v>0</v>
      </c>
    </row>
    <row r="8" spans="1:42" s="134" customFormat="1" ht="15.75">
      <c r="A8" s="74">
        <v>3</v>
      </c>
      <c r="B8" s="75"/>
      <c r="C8" s="63"/>
      <c r="D8" s="62"/>
      <c r="E8" s="62"/>
      <c r="F8" s="62">
        <f t="shared" si="0"/>
        <v>0</v>
      </c>
      <c r="G8" s="62"/>
      <c r="H8" s="62"/>
      <c r="I8" s="62"/>
      <c r="J8" s="62">
        <f t="shared" si="1"/>
        <v>0</v>
      </c>
      <c r="K8" s="62"/>
      <c r="L8" s="62"/>
      <c r="M8" s="62"/>
      <c r="N8" s="62">
        <f t="shared" si="2"/>
        <v>0</v>
      </c>
      <c r="O8" s="62"/>
      <c r="P8" s="62"/>
      <c r="Q8" s="62"/>
      <c r="R8" s="62">
        <f t="shared" si="3"/>
        <v>0</v>
      </c>
      <c r="S8" s="62"/>
      <c r="T8" s="62"/>
      <c r="U8" s="62"/>
      <c r="V8" s="78">
        <f t="shared" si="12"/>
        <v>0</v>
      </c>
      <c r="W8" s="64"/>
      <c r="X8" s="62"/>
      <c r="Y8" s="62"/>
      <c r="Z8" s="62">
        <f t="shared" si="4"/>
        <v>0</v>
      </c>
      <c r="AA8" s="62"/>
      <c r="AB8" s="62"/>
      <c r="AC8" s="62"/>
      <c r="AD8" s="62">
        <f t="shared" si="5"/>
        <v>0</v>
      </c>
      <c r="AE8" s="62"/>
      <c r="AF8" s="62"/>
      <c r="AG8" s="62"/>
      <c r="AH8" s="62">
        <f t="shared" si="6"/>
        <v>0</v>
      </c>
      <c r="AI8" s="62"/>
      <c r="AJ8" s="62"/>
      <c r="AK8" s="62"/>
      <c r="AL8" s="62">
        <f t="shared" si="7"/>
        <v>0</v>
      </c>
      <c r="AM8" s="62">
        <f t="shared" si="8"/>
        <v>0</v>
      </c>
      <c r="AN8" s="62">
        <f t="shared" si="9"/>
        <v>0</v>
      </c>
      <c r="AO8" s="62">
        <f t="shared" si="10"/>
        <v>0</v>
      </c>
      <c r="AP8" s="78">
        <f t="shared" si="11"/>
        <v>0</v>
      </c>
    </row>
    <row r="9" spans="1:42" s="134" customFormat="1" ht="15.75">
      <c r="A9" s="74">
        <v>4</v>
      </c>
      <c r="B9" s="75"/>
      <c r="C9" s="63"/>
      <c r="D9" s="62"/>
      <c r="E9" s="62"/>
      <c r="F9" s="62">
        <f t="shared" si="0"/>
        <v>0</v>
      </c>
      <c r="G9" s="62"/>
      <c r="H9" s="62"/>
      <c r="I9" s="62"/>
      <c r="J9" s="62">
        <f t="shared" si="1"/>
        <v>0</v>
      </c>
      <c r="K9" s="62"/>
      <c r="L9" s="62"/>
      <c r="M9" s="62"/>
      <c r="N9" s="62">
        <f t="shared" si="2"/>
        <v>0</v>
      </c>
      <c r="O9" s="62"/>
      <c r="P9" s="62"/>
      <c r="Q9" s="62"/>
      <c r="R9" s="62">
        <f t="shared" si="3"/>
        <v>0</v>
      </c>
      <c r="S9" s="62"/>
      <c r="T9" s="62"/>
      <c r="U9" s="62"/>
      <c r="V9" s="78">
        <f t="shared" si="12"/>
        <v>0</v>
      </c>
      <c r="W9" s="64"/>
      <c r="X9" s="62"/>
      <c r="Y9" s="62"/>
      <c r="Z9" s="62">
        <f t="shared" si="4"/>
        <v>0</v>
      </c>
      <c r="AA9" s="62"/>
      <c r="AB9" s="62"/>
      <c r="AC9" s="62"/>
      <c r="AD9" s="62">
        <f t="shared" si="5"/>
        <v>0</v>
      </c>
      <c r="AE9" s="62"/>
      <c r="AF9" s="62"/>
      <c r="AG9" s="62"/>
      <c r="AH9" s="62">
        <f t="shared" si="6"/>
        <v>0</v>
      </c>
      <c r="AI9" s="62"/>
      <c r="AJ9" s="62"/>
      <c r="AK9" s="62"/>
      <c r="AL9" s="62">
        <f t="shared" si="7"/>
        <v>0</v>
      </c>
      <c r="AM9" s="62">
        <f t="shared" si="8"/>
        <v>0</v>
      </c>
      <c r="AN9" s="62">
        <f t="shared" si="9"/>
        <v>0</v>
      </c>
      <c r="AO9" s="62">
        <f t="shared" si="10"/>
        <v>0</v>
      </c>
      <c r="AP9" s="78">
        <f t="shared" si="11"/>
        <v>0</v>
      </c>
    </row>
    <row r="10" spans="1:42" s="134" customFormat="1" ht="15.75">
      <c r="A10" s="74">
        <v>5</v>
      </c>
      <c r="B10" s="75"/>
      <c r="C10" s="63"/>
      <c r="D10" s="62"/>
      <c r="E10" s="62"/>
      <c r="F10" s="62">
        <f t="shared" si="0"/>
        <v>0</v>
      </c>
      <c r="G10" s="62"/>
      <c r="H10" s="62"/>
      <c r="I10" s="62"/>
      <c r="J10" s="62">
        <f t="shared" si="1"/>
        <v>0</v>
      </c>
      <c r="K10" s="62"/>
      <c r="L10" s="62"/>
      <c r="M10" s="62"/>
      <c r="N10" s="62">
        <f t="shared" si="2"/>
        <v>0</v>
      </c>
      <c r="O10" s="62"/>
      <c r="P10" s="62"/>
      <c r="Q10" s="62"/>
      <c r="R10" s="62">
        <f t="shared" si="3"/>
        <v>0</v>
      </c>
      <c r="S10" s="62"/>
      <c r="T10" s="62"/>
      <c r="U10" s="62"/>
      <c r="V10" s="78">
        <f t="shared" si="12"/>
        <v>0</v>
      </c>
      <c r="W10" s="64"/>
      <c r="X10" s="62"/>
      <c r="Y10" s="62"/>
      <c r="Z10" s="62">
        <f t="shared" si="4"/>
        <v>0</v>
      </c>
      <c r="AA10" s="62"/>
      <c r="AB10" s="62"/>
      <c r="AC10" s="62"/>
      <c r="AD10" s="62">
        <f t="shared" si="5"/>
        <v>0</v>
      </c>
      <c r="AE10" s="62"/>
      <c r="AF10" s="62"/>
      <c r="AG10" s="62"/>
      <c r="AH10" s="62">
        <f t="shared" si="6"/>
        <v>0</v>
      </c>
      <c r="AI10" s="62"/>
      <c r="AJ10" s="62"/>
      <c r="AK10" s="62"/>
      <c r="AL10" s="62">
        <f t="shared" si="7"/>
        <v>0</v>
      </c>
      <c r="AM10" s="62">
        <f t="shared" si="8"/>
        <v>0</v>
      </c>
      <c r="AN10" s="62">
        <f t="shared" si="9"/>
        <v>0</v>
      </c>
      <c r="AO10" s="62">
        <f t="shared" si="10"/>
        <v>0</v>
      </c>
      <c r="AP10" s="78">
        <f t="shared" si="11"/>
        <v>0</v>
      </c>
    </row>
    <row r="11" spans="1:42" s="134" customFormat="1" ht="15.75">
      <c r="A11" s="74">
        <v>6</v>
      </c>
      <c r="B11" s="75"/>
      <c r="C11" s="63"/>
      <c r="D11" s="62"/>
      <c r="E11" s="62"/>
      <c r="F11" s="62">
        <f t="shared" si="0"/>
        <v>0</v>
      </c>
      <c r="G11" s="62"/>
      <c r="H11" s="62"/>
      <c r="I11" s="62"/>
      <c r="J11" s="62">
        <f t="shared" si="1"/>
        <v>0</v>
      </c>
      <c r="K11" s="62"/>
      <c r="L11" s="62"/>
      <c r="M11" s="62"/>
      <c r="N11" s="62">
        <f t="shared" si="2"/>
        <v>0</v>
      </c>
      <c r="O11" s="62"/>
      <c r="P11" s="62"/>
      <c r="Q11" s="62"/>
      <c r="R11" s="62">
        <f t="shared" si="3"/>
        <v>0</v>
      </c>
      <c r="S11" s="62"/>
      <c r="T11" s="62"/>
      <c r="U11" s="62"/>
      <c r="V11" s="78">
        <f t="shared" si="12"/>
        <v>0</v>
      </c>
      <c r="W11" s="64"/>
      <c r="X11" s="62"/>
      <c r="Y11" s="62"/>
      <c r="Z11" s="62">
        <f t="shared" si="4"/>
        <v>0</v>
      </c>
      <c r="AA11" s="62"/>
      <c r="AB11" s="62"/>
      <c r="AC11" s="62"/>
      <c r="AD11" s="62">
        <f t="shared" si="5"/>
        <v>0</v>
      </c>
      <c r="AE11" s="62"/>
      <c r="AF11" s="62"/>
      <c r="AG11" s="62"/>
      <c r="AH11" s="62">
        <f t="shared" si="6"/>
        <v>0</v>
      </c>
      <c r="AI11" s="62"/>
      <c r="AJ11" s="62"/>
      <c r="AK11" s="62"/>
      <c r="AL11" s="62">
        <f t="shared" si="7"/>
        <v>0</v>
      </c>
      <c r="AM11" s="62">
        <f t="shared" si="8"/>
        <v>0</v>
      </c>
      <c r="AN11" s="62">
        <f t="shared" si="9"/>
        <v>0</v>
      </c>
      <c r="AO11" s="62">
        <f t="shared" si="10"/>
        <v>0</v>
      </c>
      <c r="AP11" s="78">
        <f t="shared" si="11"/>
        <v>0</v>
      </c>
    </row>
    <row r="12" spans="1:42" s="134" customFormat="1" ht="15.75">
      <c r="A12" s="74">
        <v>7</v>
      </c>
      <c r="B12" s="75"/>
      <c r="C12" s="63"/>
      <c r="D12" s="62"/>
      <c r="E12" s="62"/>
      <c r="F12" s="62">
        <f t="shared" si="0"/>
        <v>0</v>
      </c>
      <c r="G12" s="62"/>
      <c r="H12" s="62"/>
      <c r="I12" s="62"/>
      <c r="J12" s="62">
        <f t="shared" si="1"/>
        <v>0</v>
      </c>
      <c r="K12" s="62"/>
      <c r="L12" s="62"/>
      <c r="M12" s="62"/>
      <c r="N12" s="62">
        <f t="shared" si="2"/>
        <v>0</v>
      </c>
      <c r="O12" s="62"/>
      <c r="P12" s="62"/>
      <c r="Q12" s="62"/>
      <c r="R12" s="62">
        <f t="shared" si="3"/>
        <v>0</v>
      </c>
      <c r="S12" s="62"/>
      <c r="T12" s="62"/>
      <c r="U12" s="62"/>
      <c r="V12" s="78">
        <f t="shared" si="12"/>
        <v>0</v>
      </c>
      <c r="W12" s="64"/>
      <c r="X12" s="62"/>
      <c r="Y12" s="62"/>
      <c r="Z12" s="62">
        <f t="shared" si="4"/>
        <v>0</v>
      </c>
      <c r="AA12" s="62"/>
      <c r="AB12" s="62"/>
      <c r="AC12" s="62"/>
      <c r="AD12" s="62">
        <f t="shared" si="5"/>
        <v>0</v>
      </c>
      <c r="AE12" s="62"/>
      <c r="AF12" s="62"/>
      <c r="AG12" s="62"/>
      <c r="AH12" s="62">
        <f t="shared" si="6"/>
        <v>0</v>
      </c>
      <c r="AI12" s="62"/>
      <c r="AJ12" s="62"/>
      <c r="AK12" s="62"/>
      <c r="AL12" s="62">
        <f t="shared" si="7"/>
        <v>0</v>
      </c>
      <c r="AM12" s="62">
        <f t="shared" si="8"/>
        <v>0</v>
      </c>
      <c r="AN12" s="62">
        <f t="shared" si="9"/>
        <v>0</v>
      </c>
      <c r="AO12" s="62">
        <f t="shared" si="10"/>
        <v>0</v>
      </c>
      <c r="AP12" s="78">
        <f t="shared" si="11"/>
        <v>0</v>
      </c>
    </row>
    <row r="13" spans="1:42" s="134" customFormat="1" ht="15.75">
      <c r="A13" s="74">
        <v>8</v>
      </c>
      <c r="B13" s="75"/>
      <c r="C13" s="63"/>
      <c r="D13" s="62"/>
      <c r="E13" s="62"/>
      <c r="F13" s="62">
        <f t="shared" si="0"/>
        <v>0</v>
      </c>
      <c r="G13" s="62"/>
      <c r="H13" s="62"/>
      <c r="I13" s="62"/>
      <c r="J13" s="62">
        <f t="shared" si="1"/>
        <v>0</v>
      </c>
      <c r="K13" s="62"/>
      <c r="L13" s="62"/>
      <c r="M13" s="62"/>
      <c r="N13" s="62">
        <f t="shared" si="2"/>
        <v>0</v>
      </c>
      <c r="O13" s="62"/>
      <c r="P13" s="62"/>
      <c r="Q13" s="62"/>
      <c r="R13" s="62">
        <f t="shared" si="3"/>
        <v>0</v>
      </c>
      <c r="S13" s="62"/>
      <c r="T13" s="62"/>
      <c r="U13" s="62"/>
      <c r="V13" s="78">
        <f t="shared" si="12"/>
        <v>0</v>
      </c>
      <c r="W13" s="64"/>
      <c r="X13" s="62"/>
      <c r="Y13" s="62"/>
      <c r="Z13" s="62">
        <f t="shared" si="4"/>
        <v>0</v>
      </c>
      <c r="AA13" s="62"/>
      <c r="AB13" s="62"/>
      <c r="AC13" s="62"/>
      <c r="AD13" s="62">
        <f t="shared" si="5"/>
        <v>0</v>
      </c>
      <c r="AE13" s="62"/>
      <c r="AF13" s="62"/>
      <c r="AG13" s="62"/>
      <c r="AH13" s="62">
        <f t="shared" si="6"/>
        <v>0</v>
      </c>
      <c r="AI13" s="62"/>
      <c r="AJ13" s="62"/>
      <c r="AK13" s="62"/>
      <c r="AL13" s="62">
        <f t="shared" si="7"/>
        <v>0</v>
      </c>
      <c r="AM13" s="62">
        <f t="shared" si="8"/>
        <v>0</v>
      </c>
      <c r="AN13" s="62">
        <f t="shared" si="9"/>
        <v>0</v>
      </c>
      <c r="AO13" s="62">
        <f t="shared" si="10"/>
        <v>0</v>
      </c>
      <c r="AP13" s="78">
        <f t="shared" si="11"/>
        <v>0</v>
      </c>
    </row>
    <row r="14" spans="1:42" s="134" customFormat="1" ht="15.75">
      <c r="A14" s="74">
        <v>9</v>
      </c>
      <c r="B14" s="75"/>
      <c r="C14" s="63"/>
      <c r="D14" s="62"/>
      <c r="E14" s="62"/>
      <c r="F14" s="62">
        <f t="shared" si="0"/>
        <v>0</v>
      </c>
      <c r="G14" s="62"/>
      <c r="H14" s="62"/>
      <c r="I14" s="62"/>
      <c r="J14" s="62">
        <f t="shared" si="1"/>
        <v>0</v>
      </c>
      <c r="K14" s="62"/>
      <c r="L14" s="62"/>
      <c r="M14" s="62"/>
      <c r="N14" s="62">
        <f t="shared" si="2"/>
        <v>0</v>
      </c>
      <c r="O14" s="62"/>
      <c r="P14" s="62"/>
      <c r="Q14" s="62"/>
      <c r="R14" s="62">
        <f t="shared" si="3"/>
        <v>0</v>
      </c>
      <c r="S14" s="62"/>
      <c r="T14" s="62"/>
      <c r="U14" s="62"/>
      <c r="V14" s="78">
        <f t="shared" si="12"/>
        <v>0</v>
      </c>
      <c r="W14" s="64"/>
      <c r="X14" s="62"/>
      <c r="Y14" s="62"/>
      <c r="Z14" s="62">
        <f t="shared" si="4"/>
        <v>0</v>
      </c>
      <c r="AA14" s="62"/>
      <c r="AB14" s="62"/>
      <c r="AC14" s="62"/>
      <c r="AD14" s="62">
        <f t="shared" si="5"/>
        <v>0</v>
      </c>
      <c r="AE14" s="62"/>
      <c r="AF14" s="62"/>
      <c r="AG14" s="62"/>
      <c r="AH14" s="62">
        <f t="shared" si="6"/>
        <v>0</v>
      </c>
      <c r="AI14" s="62"/>
      <c r="AJ14" s="62"/>
      <c r="AK14" s="62"/>
      <c r="AL14" s="62">
        <f t="shared" si="7"/>
        <v>0</v>
      </c>
      <c r="AM14" s="62">
        <f t="shared" si="8"/>
        <v>0</v>
      </c>
      <c r="AN14" s="62">
        <f t="shared" si="9"/>
        <v>0</v>
      </c>
      <c r="AO14" s="62">
        <f t="shared" si="10"/>
        <v>0</v>
      </c>
      <c r="AP14" s="78">
        <f t="shared" si="11"/>
        <v>0</v>
      </c>
    </row>
    <row r="15" spans="1:42" s="134" customFormat="1" ht="15.75">
      <c r="A15" s="74">
        <v>10</v>
      </c>
      <c r="B15" s="75"/>
      <c r="C15" s="63"/>
      <c r="D15" s="62"/>
      <c r="E15" s="62"/>
      <c r="F15" s="62">
        <f t="shared" si="0"/>
        <v>0</v>
      </c>
      <c r="G15" s="62"/>
      <c r="H15" s="62"/>
      <c r="I15" s="62"/>
      <c r="J15" s="62">
        <f t="shared" si="1"/>
        <v>0</v>
      </c>
      <c r="K15" s="62"/>
      <c r="L15" s="62"/>
      <c r="M15" s="62"/>
      <c r="N15" s="62">
        <f t="shared" si="2"/>
        <v>0</v>
      </c>
      <c r="O15" s="62"/>
      <c r="P15" s="62"/>
      <c r="Q15" s="62"/>
      <c r="R15" s="62">
        <f t="shared" si="3"/>
        <v>0</v>
      </c>
      <c r="S15" s="62"/>
      <c r="T15" s="62"/>
      <c r="U15" s="62"/>
      <c r="V15" s="78">
        <f t="shared" si="12"/>
        <v>0</v>
      </c>
      <c r="W15" s="64"/>
      <c r="X15" s="62"/>
      <c r="Y15" s="62"/>
      <c r="Z15" s="62">
        <f t="shared" si="4"/>
        <v>0</v>
      </c>
      <c r="AA15" s="62"/>
      <c r="AB15" s="62"/>
      <c r="AC15" s="62"/>
      <c r="AD15" s="62">
        <f t="shared" si="5"/>
        <v>0</v>
      </c>
      <c r="AE15" s="62"/>
      <c r="AF15" s="62"/>
      <c r="AG15" s="62"/>
      <c r="AH15" s="62">
        <f t="shared" si="6"/>
        <v>0</v>
      </c>
      <c r="AI15" s="62"/>
      <c r="AJ15" s="62"/>
      <c r="AK15" s="62"/>
      <c r="AL15" s="62">
        <f t="shared" si="7"/>
        <v>0</v>
      </c>
      <c r="AM15" s="62">
        <f t="shared" si="8"/>
        <v>0</v>
      </c>
      <c r="AN15" s="62">
        <f t="shared" si="9"/>
        <v>0</v>
      </c>
      <c r="AO15" s="62">
        <f t="shared" si="10"/>
        <v>0</v>
      </c>
      <c r="AP15" s="78">
        <f t="shared" si="11"/>
        <v>0</v>
      </c>
    </row>
    <row r="16" spans="1:42" s="134" customFormat="1" ht="15.75">
      <c r="A16" s="74">
        <v>11</v>
      </c>
      <c r="B16" s="75"/>
      <c r="C16" s="63"/>
      <c r="D16" s="62"/>
      <c r="E16" s="62"/>
      <c r="F16" s="62">
        <f t="shared" si="0"/>
        <v>0</v>
      </c>
      <c r="G16" s="62"/>
      <c r="H16" s="62"/>
      <c r="I16" s="62"/>
      <c r="J16" s="62">
        <f t="shared" si="1"/>
        <v>0</v>
      </c>
      <c r="K16" s="62"/>
      <c r="L16" s="62"/>
      <c r="M16" s="62"/>
      <c r="N16" s="62">
        <f t="shared" si="2"/>
        <v>0</v>
      </c>
      <c r="O16" s="62"/>
      <c r="P16" s="62"/>
      <c r="Q16" s="62"/>
      <c r="R16" s="62">
        <f t="shared" si="3"/>
        <v>0</v>
      </c>
      <c r="S16" s="62"/>
      <c r="T16" s="62"/>
      <c r="U16" s="62"/>
      <c r="V16" s="78">
        <f t="shared" si="12"/>
        <v>0</v>
      </c>
      <c r="W16" s="64"/>
      <c r="X16" s="62"/>
      <c r="Y16" s="62"/>
      <c r="Z16" s="62">
        <f t="shared" si="4"/>
        <v>0</v>
      </c>
      <c r="AA16" s="62"/>
      <c r="AB16" s="62"/>
      <c r="AC16" s="62"/>
      <c r="AD16" s="62">
        <f t="shared" si="5"/>
        <v>0</v>
      </c>
      <c r="AE16" s="62"/>
      <c r="AF16" s="62"/>
      <c r="AG16" s="62"/>
      <c r="AH16" s="62">
        <f t="shared" si="6"/>
        <v>0</v>
      </c>
      <c r="AI16" s="62"/>
      <c r="AJ16" s="62"/>
      <c r="AK16" s="62"/>
      <c r="AL16" s="62">
        <f t="shared" si="7"/>
        <v>0</v>
      </c>
      <c r="AM16" s="62">
        <f t="shared" si="8"/>
        <v>0</v>
      </c>
      <c r="AN16" s="62">
        <f>SUM(AF16,AJ16,AB16,X16,T16,P16,L16,H16,D16)</f>
        <v>0</v>
      </c>
      <c r="AO16" s="62">
        <f>SUM(AK16,AG16,AC16,Y16,U16,Q16,M16,I16,E16)</f>
        <v>0</v>
      </c>
      <c r="AP16" s="78">
        <f>SUM(AN16:AO16)</f>
        <v>0</v>
      </c>
    </row>
    <row r="17" spans="1:42" s="134" customFormat="1" ht="15.75">
      <c r="A17" s="74">
        <v>12</v>
      </c>
      <c r="B17" s="75"/>
      <c r="C17" s="63"/>
      <c r="D17" s="62"/>
      <c r="E17" s="62"/>
      <c r="F17" s="62">
        <f t="shared" si="0"/>
        <v>0</v>
      </c>
      <c r="G17" s="62"/>
      <c r="H17" s="62"/>
      <c r="I17" s="62"/>
      <c r="J17" s="62">
        <f t="shared" si="1"/>
        <v>0</v>
      </c>
      <c r="K17" s="62"/>
      <c r="L17" s="62"/>
      <c r="M17" s="62"/>
      <c r="N17" s="62">
        <f t="shared" si="2"/>
        <v>0</v>
      </c>
      <c r="O17" s="62"/>
      <c r="P17" s="62"/>
      <c r="Q17" s="62"/>
      <c r="R17" s="62">
        <f t="shared" si="3"/>
        <v>0</v>
      </c>
      <c r="S17" s="62"/>
      <c r="T17" s="62"/>
      <c r="U17" s="62"/>
      <c r="V17" s="78">
        <f t="shared" si="12"/>
        <v>0</v>
      </c>
      <c r="W17" s="64"/>
      <c r="X17" s="62"/>
      <c r="Y17" s="62"/>
      <c r="Z17" s="62">
        <f t="shared" si="4"/>
        <v>0</v>
      </c>
      <c r="AA17" s="62"/>
      <c r="AB17" s="62"/>
      <c r="AC17" s="62"/>
      <c r="AD17" s="62">
        <f t="shared" si="5"/>
        <v>0</v>
      </c>
      <c r="AE17" s="62"/>
      <c r="AF17" s="62"/>
      <c r="AG17" s="62"/>
      <c r="AH17" s="62">
        <f t="shared" si="6"/>
        <v>0</v>
      </c>
      <c r="AI17" s="62"/>
      <c r="AJ17" s="62"/>
      <c r="AK17" s="62"/>
      <c r="AL17" s="62">
        <f t="shared" si="7"/>
        <v>0</v>
      </c>
      <c r="AM17" s="62">
        <f t="shared" si="8"/>
        <v>0</v>
      </c>
      <c r="AN17" s="62">
        <f t="shared" si="9"/>
        <v>0</v>
      </c>
      <c r="AO17" s="62">
        <f t="shared" si="10"/>
        <v>0</v>
      </c>
      <c r="AP17" s="78">
        <f t="shared" si="11"/>
        <v>0</v>
      </c>
    </row>
    <row r="18" spans="1:42" s="134" customFormat="1" ht="15.75">
      <c r="A18" s="74">
        <v>13</v>
      </c>
      <c r="B18" s="75"/>
      <c r="C18" s="63"/>
      <c r="D18" s="62"/>
      <c r="E18" s="62"/>
      <c r="F18" s="62">
        <f t="shared" si="0"/>
        <v>0</v>
      </c>
      <c r="G18" s="62"/>
      <c r="H18" s="62"/>
      <c r="I18" s="62"/>
      <c r="J18" s="62">
        <f t="shared" si="1"/>
        <v>0</v>
      </c>
      <c r="K18" s="62"/>
      <c r="L18" s="62"/>
      <c r="M18" s="62"/>
      <c r="N18" s="62">
        <f t="shared" si="2"/>
        <v>0</v>
      </c>
      <c r="O18" s="62"/>
      <c r="P18" s="62"/>
      <c r="Q18" s="62"/>
      <c r="R18" s="62">
        <f t="shared" si="3"/>
        <v>0</v>
      </c>
      <c r="S18" s="62"/>
      <c r="T18" s="62"/>
      <c r="U18" s="62"/>
      <c r="V18" s="78">
        <f t="shared" si="12"/>
        <v>0</v>
      </c>
      <c r="W18" s="64"/>
      <c r="X18" s="62"/>
      <c r="Y18" s="62"/>
      <c r="Z18" s="62">
        <f t="shared" si="4"/>
        <v>0</v>
      </c>
      <c r="AA18" s="62"/>
      <c r="AB18" s="62"/>
      <c r="AC18" s="62"/>
      <c r="AD18" s="62">
        <f t="shared" si="5"/>
        <v>0</v>
      </c>
      <c r="AE18" s="62"/>
      <c r="AF18" s="62"/>
      <c r="AG18" s="62"/>
      <c r="AH18" s="62">
        <f t="shared" si="6"/>
        <v>0</v>
      </c>
      <c r="AI18" s="62"/>
      <c r="AJ18" s="62"/>
      <c r="AK18" s="62"/>
      <c r="AL18" s="62">
        <f t="shared" si="7"/>
        <v>0</v>
      </c>
      <c r="AM18" s="62">
        <f t="shared" si="8"/>
        <v>0</v>
      </c>
      <c r="AN18" s="62">
        <f t="shared" si="9"/>
        <v>0</v>
      </c>
      <c r="AO18" s="62">
        <f t="shared" si="10"/>
        <v>0</v>
      </c>
      <c r="AP18" s="78">
        <f t="shared" si="11"/>
        <v>0</v>
      </c>
    </row>
    <row r="19" spans="1:42" s="134" customFormat="1" ht="15.75">
      <c r="A19" s="74">
        <v>14</v>
      </c>
      <c r="B19" s="75"/>
      <c r="C19" s="63"/>
      <c r="D19" s="62"/>
      <c r="E19" s="62"/>
      <c r="F19" s="62">
        <f t="shared" si="0"/>
        <v>0</v>
      </c>
      <c r="G19" s="62"/>
      <c r="H19" s="62"/>
      <c r="I19" s="62"/>
      <c r="J19" s="62">
        <f t="shared" si="1"/>
        <v>0</v>
      </c>
      <c r="K19" s="62"/>
      <c r="L19" s="62"/>
      <c r="M19" s="62"/>
      <c r="N19" s="62">
        <f t="shared" si="2"/>
        <v>0</v>
      </c>
      <c r="O19" s="62"/>
      <c r="P19" s="62"/>
      <c r="Q19" s="62"/>
      <c r="R19" s="62">
        <f t="shared" si="3"/>
        <v>0</v>
      </c>
      <c r="S19" s="62"/>
      <c r="T19" s="62"/>
      <c r="U19" s="62"/>
      <c r="V19" s="78">
        <f t="shared" si="12"/>
        <v>0</v>
      </c>
      <c r="W19" s="64"/>
      <c r="X19" s="62"/>
      <c r="Y19" s="62"/>
      <c r="Z19" s="62">
        <f t="shared" si="4"/>
        <v>0</v>
      </c>
      <c r="AA19" s="62"/>
      <c r="AB19" s="62"/>
      <c r="AC19" s="62"/>
      <c r="AD19" s="62">
        <f t="shared" si="5"/>
        <v>0</v>
      </c>
      <c r="AE19" s="62"/>
      <c r="AF19" s="62"/>
      <c r="AG19" s="62"/>
      <c r="AH19" s="62">
        <f t="shared" si="6"/>
        <v>0</v>
      </c>
      <c r="AI19" s="62"/>
      <c r="AJ19" s="62"/>
      <c r="AK19" s="62"/>
      <c r="AL19" s="62">
        <f t="shared" si="7"/>
        <v>0</v>
      </c>
      <c r="AM19" s="62">
        <f t="shared" si="8"/>
        <v>0</v>
      </c>
      <c r="AN19" s="62">
        <f t="shared" si="9"/>
        <v>0</v>
      </c>
      <c r="AO19" s="62">
        <f t="shared" si="10"/>
        <v>0</v>
      </c>
      <c r="AP19" s="78">
        <f t="shared" si="11"/>
        <v>0</v>
      </c>
    </row>
    <row r="20" spans="1:42" s="134" customFormat="1" ht="15.75">
      <c r="A20" s="74">
        <v>15</v>
      </c>
      <c r="B20" s="75"/>
      <c r="C20" s="63"/>
      <c r="D20" s="62"/>
      <c r="E20" s="62"/>
      <c r="F20" s="62">
        <f t="shared" si="0"/>
        <v>0</v>
      </c>
      <c r="G20" s="62"/>
      <c r="H20" s="62"/>
      <c r="I20" s="62"/>
      <c r="J20" s="62">
        <f t="shared" si="1"/>
        <v>0</v>
      </c>
      <c r="K20" s="62"/>
      <c r="L20" s="62"/>
      <c r="M20" s="62"/>
      <c r="N20" s="62">
        <f t="shared" si="2"/>
        <v>0</v>
      </c>
      <c r="O20" s="62"/>
      <c r="P20" s="62"/>
      <c r="Q20" s="62"/>
      <c r="R20" s="62">
        <f t="shared" si="3"/>
        <v>0</v>
      </c>
      <c r="S20" s="62"/>
      <c r="T20" s="62"/>
      <c r="U20" s="62"/>
      <c r="V20" s="78">
        <f t="shared" si="12"/>
        <v>0</v>
      </c>
      <c r="W20" s="64"/>
      <c r="X20" s="62"/>
      <c r="Y20" s="62"/>
      <c r="Z20" s="62">
        <f t="shared" si="4"/>
        <v>0</v>
      </c>
      <c r="AA20" s="62"/>
      <c r="AB20" s="62"/>
      <c r="AC20" s="62"/>
      <c r="AD20" s="62">
        <f t="shared" si="5"/>
        <v>0</v>
      </c>
      <c r="AE20" s="62"/>
      <c r="AF20" s="62"/>
      <c r="AG20" s="62"/>
      <c r="AH20" s="62">
        <f t="shared" si="6"/>
        <v>0</v>
      </c>
      <c r="AI20" s="62"/>
      <c r="AJ20" s="62"/>
      <c r="AK20" s="62"/>
      <c r="AL20" s="62">
        <f t="shared" si="7"/>
        <v>0</v>
      </c>
      <c r="AM20" s="62">
        <f t="shared" si="8"/>
        <v>0</v>
      </c>
      <c r="AN20" s="62">
        <f t="shared" si="9"/>
        <v>0</v>
      </c>
      <c r="AO20" s="62">
        <f t="shared" si="10"/>
        <v>0</v>
      </c>
      <c r="AP20" s="78">
        <f t="shared" si="11"/>
        <v>0</v>
      </c>
    </row>
    <row r="21" spans="1:42" s="134" customFormat="1" ht="15.75">
      <c r="A21" s="74">
        <v>16</v>
      </c>
      <c r="B21" s="75"/>
      <c r="C21" s="63"/>
      <c r="D21" s="62"/>
      <c r="E21" s="62"/>
      <c r="F21" s="62">
        <f t="shared" si="0"/>
        <v>0</v>
      </c>
      <c r="G21" s="62"/>
      <c r="H21" s="62"/>
      <c r="I21" s="62"/>
      <c r="J21" s="62">
        <f t="shared" si="1"/>
        <v>0</v>
      </c>
      <c r="K21" s="62"/>
      <c r="L21" s="62"/>
      <c r="M21" s="62"/>
      <c r="N21" s="62">
        <f t="shared" si="2"/>
        <v>0</v>
      </c>
      <c r="O21" s="62"/>
      <c r="P21" s="62"/>
      <c r="Q21" s="62"/>
      <c r="R21" s="62">
        <f t="shared" si="3"/>
        <v>0</v>
      </c>
      <c r="S21" s="62"/>
      <c r="T21" s="62"/>
      <c r="U21" s="62"/>
      <c r="V21" s="78">
        <f t="shared" si="12"/>
        <v>0</v>
      </c>
      <c r="W21" s="64"/>
      <c r="X21" s="62"/>
      <c r="Y21" s="62"/>
      <c r="Z21" s="62">
        <f t="shared" si="4"/>
        <v>0</v>
      </c>
      <c r="AA21" s="62"/>
      <c r="AB21" s="62"/>
      <c r="AC21" s="62"/>
      <c r="AD21" s="62">
        <f t="shared" si="5"/>
        <v>0</v>
      </c>
      <c r="AE21" s="62"/>
      <c r="AF21" s="62"/>
      <c r="AG21" s="62"/>
      <c r="AH21" s="62">
        <f t="shared" si="6"/>
        <v>0</v>
      </c>
      <c r="AI21" s="62"/>
      <c r="AJ21" s="62"/>
      <c r="AK21" s="62"/>
      <c r="AL21" s="62">
        <f t="shared" si="7"/>
        <v>0</v>
      </c>
      <c r="AM21" s="62">
        <f t="shared" si="8"/>
        <v>0</v>
      </c>
      <c r="AN21" s="62">
        <f t="shared" si="9"/>
        <v>0</v>
      </c>
      <c r="AO21" s="62">
        <f t="shared" si="10"/>
        <v>0</v>
      </c>
      <c r="AP21" s="78">
        <f t="shared" si="11"/>
        <v>0</v>
      </c>
    </row>
    <row r="22" spans="1:42" s="134" customFormat="1" ht="15.75">
      <c r="A22" s="74">
        <v>17</v>
      </c>
      <c r="B22" s="75"/>
      <c r="C22" s="63"/>
      <c r="D22" s="62"/>
      <c r="E22" s="62"/>
      <c r="F22" s="62">
        <f t="shared" si="0"/>
        <v>0</v>
      </c>
      <c r="G22" s="62"/>
      <c r="H22" s="62"/>
      <c r="I22" s="62"/>
      <c r="J22" s="62">
        <f t="shared" si="1"/>
        <v>0</v>
      </c>
      <c r="K22" s="62"/>
      <c r="L22" s="62"/>
      <c r="M22" s="62"/>
      <c r="N22" s="62">
        <f t="shared" si="2"/>
        <v>0</v>
      </c>
      <c r="O22" s="62"/>
      <c r="P22" s="62"/>
      <c r="Q22" s="62"/>
      <c r="R22" s="62">
        <f t="shared" si="3"/>
        <v>0</v>
      </c>
      <c r="S22" s="62"/>
      <c r="T22" s="62"/>
      <c r="U22" s="62"/>
      <c r="V22" s="78">
        <f t="shared" si="12"/>
        <v>0</v>
      </c>
      <c r="W22" s="64"/>
      <c r="X22" s="62"/>
      <c r="Y22" s="62"/>
      <c r="Z22" s="62">
        <f t="shared" si="4"/>
        <v>0</v>
      </c>
      <c r="AA22" s="62"/>
      <c r="AB22" s="62"/>
      <c r="AC22" s="62"/>
      <c r="AD22" s="62">
        <f t="shared" si="5"/>
        <v>0</v>
      </c>
      <c r="AE22" s="62"/>
      <c r="AF22" s="62"/>
      <c r="AG22" s="62"/>
      <c r="AH22" s="62">
        <f t="shared" si="6"/>
        <v>0</v>
      </c>
      <c r="AI22" s="62"/>
      <c r="AJ22" s="62"/>
      <c r="AK22" s="62"/>
      <c r="AL22" s="62">
        <f t="shared" si="7"/>
        <v>0</v>
      </c>
      <c r="AM22" s="62">
        <f t="shared" si="8"/>
        <v>0</v>
      </c>
      <c r="AN22" s="62">
        <f t="shared" si="9"/>
        <v>0</v>
      </c>
      <c r="AO22" s="62">
        <f t="shared" si="10"/>
        <v>0</v>
      </c>
      <c r="AP22" s="78">
        <f t="shared" si="11"/>
        <v>0</v>
      </c>
    </row>
    <row r="23" spans="1:42" s="134" customFormat="1" ht="15.75">
      <c r="A23" s="74">
        <v>18</v>
      </c>
      <c r="B23" s="75"/>
      <c r="C23" s="63"/>
      <c r="D23" s="62"/>
      <c r="E23" s="62"/>
      <c r="F23" s="62">
        <f t="shared" si="0"/>
        <v>0</v>
      </c>
      <c r="G23" s="62"/>
      <c r="H23" s="62"/>
      <c r="I23" s="62"/>
      <c r="J23" s="62">
        <f t="shared" si="1"/>
        <v>0</v>
      </c>
      <c r="K23" s="62"/>
      <c r="L23" s="62"/>
      <c r="M23" s="62"/>
      <c r="N23" s="62">
        <f t="shared" si="2"/>
        <v>0</v>
      </c>
      <c r="O23" s="62"/>
      <c r="P23" s="62"/>
      <c r="Q23" s="62"/>
      <c r="R23" s="62">
        <f t="shared" si="3"/>
        <v>0</v>
      </c>
      <c r="S23" s="62"/>
      <c r="T23" s="62"/>
      <c r="U23" s="62"/>
      <c r="V23" s="78">
        <f t="shared" si="12"/>
        <v>0</v>
      </c>
      <c r="W23" s="64"/>
      <c r="X23" s="62"/>
      <c r="Y23" s="62"/>
      <c r="Z23" s="62">
        <f t="shared" si="4"/>
        <v>0</v>
      </c>
      <c r="AA23" s="62"/>
      <c r="AB23" s="62"/>
      <c r="AC23" s="62"/>
      <c r="AD23" s="62">
        <f t="shared" si="5"/>
        <v>0</v>
      </c>
      <c r="AE23" s="62"/>
      <c r="AF23" s="62"/>
      <c r="AG23" s="62"/>
      <c r="AH23" s="62">
        <f t="shared" si="6"/>
        <v>0</v>
      </c>
      <c r="AI23" s="62"/>
      <c r="AJ23" s="62"/>
      <c r="AK23" s="62"/>
      <c r="AL23" s="62">
        <f t="shared" si="7"/>
        <v>0</v>
      </c>
      <c r="AM23" s="62">
        <f t="shared" si="8"/>
        <v>0</v>
      </c>
      <c r="AN23" s="62">
        <f t="shared" si="9"/>
        <v>0</v>
      </c>
      <c r="AO23" s="62">
        <f t="shared" si="10"/>
        <v>0</v>
      </c>
      <c r="AP23" s="78">
        <f t="shared" si="11"/>
        <v>0</v>
      </c>
    </row>
    <row r="24" spans="1:42" s="134" customFormat="1" ht="15.75">
      <c r="A24" s="74">
        <v>19</v>
      </c>
      <c r="B24" s="75"/>
      <c r="C24" s="63"/>
      <c r="D24" s="62"/>
      <c r="E24" s="62"/>
      <c r="F24" s="62">
        <f t="shared" si="0"/>
        <v>0</v>
      </c>
      <c r="G24" s="62"/>
      <c r="H24" s="62"/>
      <c r="I24" s="62"/>
      <c r="J24" s="62">
        <f t="shared" si="1"/>
        <v>0</v>
      </c>
      <c r="K24" s="62"/>
      <c r="L24" s="62"/>
      <c r="M24" s="62"/>
      <c r="N24" s="62">
        <f t="shared" si="2"/>
        <v>0</v>
      </c>
      <c r="O24" s="62"/>
      <c r="P24" s="62"/>
      <c r="Q24" s="62"/>
      <c r="R24" s="62">
        <f t="shared" si="3"/>
        <v>0</v>
      </c>
      <c r="S24" s="62"/>
      <c r="T24" s="62"/>
      <c r="U24" s="62"/>
      <c r="V24" s="78">
        <f t="shared" si="12"/>
        <v>0</v>
      </c>
      <c r="W24" s="64"/>
      <c r="X24" s="62"/>
      <c r="Y24" s="62"/>
      <c r="Z24" s="62">
        <f t="shared" si="4"/>
        <v>0</v>
      </c>
      <c r="AA24" s="62"/>
      <c r="AB24" s="62"/>
      <c r="AC24" s="62"/>
      <c r="AD24" s="62">
        <f t="shared" si="5"/>
        <v>0</v>
      </c>
      <c r="AE24" s="62"/>
      <c r="AF24" s="62"/>
      <c r="AG24" s="62"/>
      <c r="AH24" s="62">
        <f t="shared" si="6"/>
        <v>0</v>
      </c>
      <c r="AI24" s="62"/>
      <c r="AJ24" s="62"/>
      <c r="AK24" s="62"/>
      <c r="AL24" s="62">
        <f t="shared" si="7"/>
        <v>0</v>
      </c>
      <c r="AM24" s="62">
        <f t="shared" si="8"/>
        <v>0</v>
      </c>
      <c r="AN24" s="62">
        <f t="shared" si="9"/>
        <v>0</v>
      </c>
      <c r="AO24" s="62">
        <f t="shared" si="10"/>
        <v>0</v>
      </c>
      <c r="AP24" s="78">
        <f t="shared" si="11"/>
        <v>0</v>
      </c>
    </row>
    <row r="25" spans="1:42" s="51" customFormat="1" ht="15.75">
      <c r="A25" s="74">
        <v>20</v>
      </c>
      <c r="B25" s="75"/>
      <c r="C25" s="63"/>
      <c r="D25" s="62"/>
      <c r="E25" s="62"/>
      <c r="F25" s="62">
        <f t="shared" si="0"/>
        <v>0</v>
      </c>
      <c r="G25" s="62"/>
      <c r="H25" s="62"/>
      <c r="I25" s="62"/>
      <c r="J25" s="62">
        <f t="shared" si="1"/>
        <v>0</v>
      </c>
      <c r="K25" s="62"/>
      <c r="L25" s="62"/>
      <c r="M25" s="62"/>
      <c r="N25" s="62">
        <f t="shared" si="2"/>
        <v>0</v>
      </c>
      <c r="O25" s="62"/>
      <c r="P25" s="62"/>
      <c r="Q25" s="62"/>
      <c r="R25" s="62">
        <f t="shared" si="3"/>
        <v>0</v>
      </c>
      <c r="S25" s="62"/>
      <c r="T25" s="62"/>
      <c r="U25" s="62"/>
      <c r="V25" s="78">
        <f t="shared" si="12"/>
        <v>0</v>
      </c>
      <c r="W25" s="64"/>
      <c r="X25" s="62"/>
      <c r="Y25" s="62"/>
      <c r="Z25" s="62">
        <f t="shared" si="4"/>
        <v>0</v>
      </c>
      <c r="AA25" s="62"/>
      <c r="AB25" s="62"/>
      <c r="AC25" s="62"/>
      <c r="AD25" s="62">
        <f t="shared" si="5"/>
        <v>0</v>
      </c>
      <c r="AE25" s="62"/>
      <c r="AF25" s="62"/>
      <c r="AG25" s="62"/>
      <c r="AH25" s="62">
        <f t="shared" si="6"/>
        <v>0</v>
      </c>
      <c r="AI25" s="62"/>
      <c r="AJ25" s="62"/>
      <c r="AK25" s="62"/>
      <c r="AL25" s="62">
        <f t="shared" si="7"/>
        <v>0</v>
      </c>
      <c r="AM25" s="62">
        <f t="shared" si="8"/>
        <v>0</v>
      </c>
      <c r="AN25" s="62">
        <f t="shared" si="9"/>
        <v>0</v>
      </c>
      <c r="AO25" s="62">
        <f t="shared" si="10"/>
        <v>0</v>
      </c>
      <c r="AP25" s="78">
        <f t="shared" si="11"/>
        <v>0</v>
      </c>
    </row>
    <row r="26" spans="1:42" s="84" customFormat="1" ht="16.5" thickBot="1">
      <c r="A26" s="357" t="s">
        <v>7</v>
      </c>
      <c r="B26" s="358"/>
      <c r="C26" s="82">
        <f t="shared" ref="C26:AP26" si="13">SUM(C6:C25)</f>
        <v>0</v>
      </c>
      <c r="D26" s="81">
        <f t="shared" si="13"/>
        <v>0</v>
      </c>
      <c r="E26" s="81">
        <f t="shared" si="13"/>
        <v>0</v>
      </c>
      <c r="F26" s="81">
        <f t="shared" si="13"/>
        <v>0</v>
      </c>
      <c r="G26" s="81">
        <f t="shared" si="13"/>
        <v>0</v>
      </c>
      <c r="H26" s="81">
        <f t="shared" si="13"/>
        <v>0</v>
      </c>
      <c r="I26" s="81">
        <f t="shared" si="13"/>
        <v>0</v>
      </c>
      <c r="J26" s="81">
        <f t="shared" si="13"/>
        <v>0</v>
      </c>
      <c r="K26" s="81">
        <f t="shared" si="13"/>
        <v>0</v>
      </c>
      <c r="L26" s="81">
        <f t="shared" si="13"/>
        <v>0</v>
      </c>
      <c r="M26" s="81">
        <f t="shared" si="13"/>
        <v>0</v>
      </c>
      <c r="N26" s="81">
        <f t="shared" si="13"/>
        <v>0</v>
      </c>
      <c r="O26" s="81">
        <f t="shared" si="13"/>
        <v>0</v>
      </c>
      <c r="P26" s="81">
        <f t="shared" si="13"/>
        <v>0</v>
      </c>
      <c r="Q26" s="81">
        <f t="shared" si="13"/>
        <v>0</v>
      </c>
      <c r="R26" s="81">
        <f t="shared" si="13"/>
        <v>0</v>
      </c>
      <c r="S26" s="81">
        <f t="shared" si="13"/>
        <v>0</v>
      </c>
      <c r="T26" s="81">
        <f t="shared" si="13"/>
        <v>0</v>
      </c>
      <c r="U26" s="81">
        <f t="shared" si="13"/>
        <v>0</v>
      </c>
      <c r="V26" s="79">
        <f t="shared" si="13"/>
        <v>0</v>
      </c>
      <c r="W26" s="83">
        <f t="shared" si="13"/>
        <v>0</v>
      </c>
      <c r="X26" s="81">
        <f t="shared" si="13"/>
        <v>0</v>
      </c>
      <c r="Y26" s="81">
        <f t="shared" si="13"/>
        <v>0</v>
      </c>
      <c r="Z26" s="81">
        <f t="shared" si="13"/>
        <v>0</v>
      </c>
      <c r="AA26" s="81">
        <f t="shared" si="13"/>
        <v>0</v>
      </c>
      <c r="AB26" s="81">
        <f t="shared" si="13"/>
        <v>0</v>
      </c>
      <c r="AC26" s="81">
        <f t="shared" si="13"/>
        <v>0</v>
      </c>
      <c r="AD26" s="81">
        <f t="shared" si="13"/>
        <v>0</v>
      </c>
      <c r="AE26" s="81">
        <f t="shared" si="13"/>
        <v>0</v>
      </c>
      <c r="AF26" s="81">
        <f t="shared" si="13"/>
        <v>0</v>
      </c>
      <c r="AG26" s="81">
        <f t="shared" si="13"/>
        <v>0</v>
      </c>
      <c r="AH26" s="81">
        <f t="shared" si="13"/>
        <v>0</v>
      </c>
      <c r="AI26" s="81">
        <f t="shared" si="13"/>
        <v>0</v>
      </c>
      <c r="AJ26" s="81">
        <f t="shared" si="13"/>
        <v>0</v>
      </c>
      <c r="AK26" s="81">
        <f t="shared" si="13"/>
        <v>0</v>
      </c>
      <c r="AL26" s="81">
        <f t="shared" si="13"/>
        <v>0</v>
      </c>
      <c r="AM26" s="81">
        <f t="shared" si="13"/>
        <v>0</v>
      </c>
      <c r="AN26" s="81">
        <f t="shared" si="13"/>
        <v>0</v>
      </c>
      <c r="AO26" s="81">
        <f t="shared" si="13"/>
        <v>0</v>
      </c>
      <c r="AP26" s="79">
        <f t="shared" si="13"/>
        <v>0</v>
      </c>
    </row>
    <row r="27" spans="1:42">
      <c r="Q27" s="53"/>
      <c r="R27" s="53"/>
      <c r="S27" s="53"/>
      <c r="T27" s="61"/>
      <c r="U27" s="61"/>
      <c r="V27" s="61"/>
    </row>
    <row r="28" spans="1:42" ht="15">
      <c r="C28" s="149" t="s">
        <v>158</v>
      </c>
      <c r="D28" s="149"/>
      <c r="E28" s="149"/>
      <c r="R28" s="356" t="s">
        <v>159</v>
      </c>
      <c r="S28" s="356"/>
      <c r="T28" s="356"/>
      <c r="U28" s="356"/>
      <c r="AA28" s="152" t="s">
        <v>158</v>
      </c>
      <c r="AB28" s="152"/>
      <c r="AC28" s="152"/>
      <c r="AI28" s="356" t="s">
        <v>159</v>
      </c>
      <c r="AJ28" s="356"/>
      <c r="AK28" s="356"/>
      <c r="AL28" s="356"/>
      <c r="AM28" s="356"/>
      <c r="AN28" s="182"/>
      <c r="AO28" s="182"/>
      <c r="AP28" s="151"/>
    </row>
    <row r="29" spans="1:42" ht="15">
      <c r="C29" s="363"/>
      <c r="D29" s="363"/>
      <c r="E29" s="363"/>
      <c r="R29" s="362"/>
      <c r="S29" s="362"/>
      <c r="T29" s="362"/>
      <c r="U29" s="362"/>
      <c r="AA29" s="363"/>
      <c r="AB29" s="363"/>
      <c r="AC29" s="363"/>
      <c r="AM29" s="181"/>
      <c r="AN29" s="181"/>
      <c r="AO29" s="181"/>
      <c r="AP29" s="181"/>
    </row>
  </sheetData>
  <mergeCells count="18">
    <mergeCell ref="R29:U29"/>
    <mergeCell ref="C29:E29"/>
    <mergeCell ref="AA29:AC29"/>
    <mergeCell ref="S4:V4"/>
    <mergeCell ref="W4:Z4"/>
    <mergeCell ref="AA4:AD4"/>
    <mergeCell ref="O4:R4"/>
    <mergeCell ref="C4:F4"/>
    <mergeCell ref="G4:J4"/>
    <mergeCell ref="K4:N4"/>
    <mergeCell ref="AM4:AP4"/>
    <mergeCell ref="AI28:AM28"/>
    <mergeCell ref="A26:B26"/>
    <mergeCell ref="R28:U28"/>
    <mergeCell ref="AE4:AH4"/>
    <mergeCell ref="AI4:AL4"/>
    <mergeCell ref="A4:A5"/>
    <mergeCell ref="B4:B5"/>
  </mergeCells>
  <printOptions horizontalCentered="1"/>
  <pageMargins left="0.39370078740157483" right="0.35433070866141736" top="1.3779527559055118" bottom="0.59055118110236227" header="0.15748031496062992" footer="3.937007874015748E-2"/>
  <pageSetup paperSize="9" scale="95" fitToWidth="2" orientation="landscape" r:id="rId1"/>
  <headerFooter alignWithMargins="0">
    <oddHeader>&amp;Lالرقم : (         )
التاريخ : &amp;D&amp;C&amp;"DecoType Thuluth,غامق"بسم الله الرحمن الرحيم
&amp;G&amp;R&amp;G        &amp;"Diwani Letter,عادي"  &amp;"-,عادي"
  &amp;"-,غامق"وزارة التربية والتعليم   
مكتب التربية والتعليم - تعز  
ادارة الاحصاء والتخطيط &amp;"Diwani Letter,عادي"&amp;K00+000.</oddHeader>
  </headerFooter>
  <colBreaks count="1" manualBreakCount="1">
    <brk id="22" max="31" man="1"/>
  </colBreak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8" tint="0.39997558519241921"/>
  </sheetPr>
  <dimension ref="A1:R35"/>
  <sheetViews>
    <sheetView rightToLeft="1" view="pageLayout" topLeftCell="A7" zoomScale="106" zoomScaleNormal="90" zoomScaleSheetLayoutView="100" zoomScalePageLayoutView="106" workbookViewId="0">
      <selection activeCell="O32" sqref="O32:Q32"/>
    </sheetView>
  </sheetViews>
  <sheetFormatPr defaultColWidth="9" defaultRowHeight="12.75"/>
  <cols>
    <col min="1" max="1" width="2.875" style="134" customWidth="1"/>
    <col min="2" max="2" width="10.25" style="134" customWidth="1"/>
    <col min="3" max="10" width="4.875" style="30" customWidth="1"/>
    <col min="11" max="14" width="3.875" style="30" customWidth="1"/>
    <col min="15" max="17" width="4.875" style="30" customWidth="1"/>
    <col min="18" max="18" width="5.625" style="30" customWidth="1"/>
    <col min="19" max="16384" width="9" style="30"/>
  </cols>
  <sheetData>
    <row r="1" spans="1:18">
      <c r="A1" s="153"/>
      <c r="B1" s="153"/>
    </row>
    <row r="2" spans="1:18">
      <c r="A2" s="153"/>
      <c r="B2" s="153"/>
    </row>
    <row r="3" spans="1:18">
      <c r="A3" s="153"/>
      <c r="B3" s="153"/>
    </row>
    <row r="4" spans="1:18">
      <c r="A4" s="153"/>
      <c r="B4" s="153"/>
    </row>
    <row r="5" spans="1:18">
      <c r="A5" s="153"/>
      <c r="B5" s="153"/>
    </row>
    <row r="6" spans="1:18" ht="9.75" customHeight="1"/>
    <row r="7" spans="1:18" ht="9.75" customHeight="1">
      <c r="B7" s="55"/>
      <c r="C7" s="55"/>
      <c r="D7" s="55"/>
    </row>
    <row r="8" spans="1:18" ht="9.75" customHeight="1">
      <c r="B8" s="55"/>
      <c r="C8" s="55"/>
      <c r="D8" s="55"/>
    </row>
    <row r="9" spans="1:18" ht="9.75" customHeight="1" thickBot="1">
      <c r="B9" s="55"/>
      <c r="C9" s="55"/>
      <c r="D9" s="55"/>
    </row>
    <row r="10" spans="1:18" s="31" customFormat="1" ht="17.25" customHeight="1">
      <c r="A10" s="368" t="s">
        <v>1</v>
      </c>
      <c r="B10" s="368" t="s">
        <v>65</v>
      </c>
      <c r="C10" s="370" t="s">
        <v>109</v>
      </c>
      <c r="D10" s="365"/>
      <c r="E10" s="365"/>
      <c r="F10" s="365"/>
      <c r="G10" s="365" t="s">
        <v>110</v>
      </c>
      <c r="H10" s="365"/>
      <c r="I10" s="365"/>
      <c r="J10" s="365"/>
      <c r="K10" s="365" t="s">
        <v>111</v>
      </c>
      <c r="L10" s="365"/>
      <c r="M10" s="365"/>
      <c r="N10" s="365"/>
      <c r="O10" s="365" t="s">
        <v>7</v>
      </c>
      <c r="P10" s="365"/>
      <c r="Q10" s="365"/>
      <c r="R10" s="365"/>
    </row>
    <row r="11" spans="1:18" ht="16.5" thickBot="1">
      <c r="A11" s="369"/>
      <c r="B11" s="369"/>
      <c r="C11" s="70" t="s">
        <v>8</v>
      </c>
      <c r="D11" s="135" t="s">
        <v>9</v>
      </c>
      <c r="E11" s="135" t="s">
        <v>6</v>
      </c>
      <c r="F11" s="71" t="s">
        <v>10</v>
      </c>
      <c r="G11" s="70" t="s">
        <v>8</v>
      </c>
      <c r="H11" s="135" t="s">
        <v>9</v>
      </c>
      <c r="I11" s="135" t="s">
        <v>6</v>
      </c>
      <c r="J11" s="71" t="s">
        <v>10</v>
      </c>
      <c r="K11" s="70" t="s">
        <v>8</v>
      </c>
      <c r="L11" s="135" t="s">
        <v>9</v>
      </c>
      <c r="M11" s="135" t="s">
        <v>6</v>
      </c>
      <c r="N11" s="71" t="s">
        <v>10</v>
      </c>
      <c r="O11" s="70" t="s">
        <v>8</v>
      </c>
      <c r="P11" s="135" t="s">
        <v>9</v>
      </c>
      <c r="Q11" s="135" t="s">
        <v>6</v>
      </c>
      <c r="R11" s="71" t="s">
        <v>10</v>
      </c>
    </row>
    <row r="12" spans="1:18" ht="14.25" customHeight="1">
      <c r="A12" s="67">
        <v>1</v>
      </c>
      <c r="B12" s="67"/>
      <c r="C12" s="37"/>
      <c r="D12" s="37"/>
      <c r="E12" s="37"/>
      <c r="F12" s="37">
        <f>SUM(D12:E12)</f>
        <v>0</v>
      </c>
      <c r="G12" s="37"/>
      <c r="H12" s="37"/>
      <c r="I12" s="37"/>
      <c r="J12" s="37">
        <f>SUM(H12:I12)</f>
        <v>0</v>
      </c>
      <c r="K12" s="37"/>
      <c r="L12" s="37"/>
      <c r="M12" s="37"/>
      <c r="N12" s="37">
        <f>SUM(L12:M12)</f>
        <v>0</v>
      </c>
      <c r="O12" s="37">
        <f>C12+G12+K12</f>
        <v>0</v>
      </c>
      <c r="P12" s="37">
        <f>D12+H12+L12</f>
        <v>0</v>
      </c>
      <c r="Q12" s="37">
        <f>E12+I12+M12</f>
        <v>0</v>
      </c>
      <c r="R12" s="72">
        <f>SUM(P12:Q12)</f>
        <v>0</v>
      </c>
    </row>
    <row r="13" spans="1:18" s="39" customFormat="1" ht="14.25" customHeight="1" thickBot="1">
      <c r="A13" s="68">
        <v>2</v>
      </c>
      <c r="B13" s="68"/>
      <c r="C13" s="36"/>
      <c r="D13" s="37"/>
      <c r="E13" s="37"/>
      <c r="F13" s="37">
        <f t="shared" ref="F13:F31" si="0">SUM(D13:E13)</f>
        <v>0</v>
      </c>
      <c r="G13" s="37"/>
      <c r="H13" s="37"/>
      <c r="I13" s="37"/>
      <c r="J13" s="37">
        <f t="shared" ref="J13:J31" si="1">SUM(H13:I13)</f>
        <v>0</v>
      </c>
      <c r="K13" s="37"/>
      <c r="L13" s="37"/>
      <c r="M13" s="37"/>
      <c r="N13" s="37">
        <f t="shared" ref="N13:N17" si="2">SUM(L13:M13)</f>
        <v>0</v>
      </c>
      <c r="O13" s="37">
        <f t="shared" ref="O13:O32" si="3">C13+G13+K13</f>
        <v>0</v>
      </c>
      <c r="P13" s="37">
        <f t="shared" ref="P13:P32" si="4">D13+H13+L13</f>
        <v>0</v>
      </c>
      <c r="Q13" s="37">
        <f t="shared" ref="Q13:Q32" si="5">E13+I13+M13</f>
        <v>0</v>
      </c>
      <c r="R13" s="72">
        <f t="shared" ref="R13:R32" si="6">SUM(P13:Q13)</f>
        <v>0</v>
      </c>
    </row>
    <row r="14" spans="1:18" ht="14.25" customHeight="1">
      <c r="A14" s="67">
        <v>3</v>
      </c>
      <c r="B14" s="68"/>
      <c r="C14" s="37"/>
      <c r="D14" s="37"/>
      <c r="E14" s="37"/>
      <c r="F14" s="37">
        <f t="shared" si="0"/>
        <v>0</v>
      </c>
      <c r="G14" s="37"/>
      <c r="H14" s="37"/>
      <c r="I14" s="37"/>
      <c r="J14" s="37">
        <f t="shared" si="1"/>
        <v>0</v>
      </c>
      <c r="K14" s="37"/>
      <c r="L14" s="37"/>
      <c r="M14" s="37"/>
      <c r="N14" s="37">
        <f t="shared" si="2"/>
        <v>0</v>
      </c>
      <c r="O14" s="37">
        <f t="shared" si="3"/>
        <v>0</v>
      </c>
      <c r="P14" s="37">
        <f t="shared" si="4"/>
        <v>0</v>
      </c>
      <c r="Q14" s="37">
        <f t="shared" si="5"/>
        <v>0</v>
      </c>
      <c r="R14" s="72">
        <f t="shared" si="6"/>
        <v>0</v>
      </c>
    </row>
    <row r="15" spans="1:18" ht="14.25" customHeight="1" thickBot="1">
      <c r="A15" s="68">
        <v>4</v>
      </c>
      <c r="B15" s="68"/>
      <c r="C15" s="37"/>
      <c r="D15" s="37"/>
      <c r="E15" s="37"/>
      <c r="F15" s="37">
        <f t="shared" si="0"/>
        <v>0</v>
      </c>
      <c r="G15" s="37"/>
      <c r="H15" s="37"/>
      <c r="I15" s="37"/>
      <c r="J15" s="37">
        <f t="shared" si="1"/>
        <v>0</v>
      </c>
      <c r="K15" s="37"/>
      <c r="L15" s="37"/>
      <c r="M15" s="37"/>
      <c r="N15" s="37">
        <f t="shared" si="2"/>
        <v>0</v>
      </c>
      <c r="O15" s="37">
        <f t="shared" si="3"/>
        <v>0</v>
      </c>
      <c r="P15" s="37">
        <f t="shared" si="4"/>
        <v>0</v>
      </c>
      <c r="Q15" s="37">
        <f t="shared" si="5"/>
        <v>0</v>
      </c>
      <c r="R15" s="72">
        <f t="shared" si="6"/>
        <v>0</v>
      </c>
    </row>
    <row r="16" spans="1:18" ht="14.25" customHeight="1">
      <c r="A16" s="67">
        <v>5</v>
      </c>
      <c r="B16" s="68"/>
      <c r="C16" s="37"/>
      <c r="D16" s="37"/>
      <c r="E16" s="37"/>
      <c r="F16" s="37">
        <f t="shared" si="0"/>
        <v>0</v>
      </c>
      <c r="G16" s="37"/>
      <c r="H16" s="37"/>
      <c r="I16" s="37"/>
      <c r="J16" s="37">
        <f t="shared" si="1"/>
        <v>0</v>
      </c>
      <c r="K16" s="37"/>
      <c r="L16" s="37"/>
      <c r="M16" s="37"/>
      <c r="N16" s="37">
        <v>0</v>
      </c>
      <c r="O16" s="37">
        <f t="shared" si="3"/>
        <v>0</v>
      </c>
      <c r="P16" s="37">
        <f t="shared" si="4"/>
        <v>0</v>
      </c>
      <c r="Q16" s="37">
        <f t="shared" si="5"/>
        <v>0</v>
      </c>
      <c r="R16" s="72">
        <f t="shared" si="6"/>
        <v>0</v>
      </c>
    </row>
    <row r="17" spans="1:18" ht="14.25" customHeight="1" thickBot="1">
      <c r="A17" s="68">
        <v>6</v>
      </c>
      <c r="B17" s="68"/>
      <c r="C17" s="37"/>
      <c r="D17" s="37"/>
      <c r="E17" s="37"/>
      <c r="F17" s="37">
        <f t="shared" si="0"/>
        <v>0</v>
      </c>
      <c r="G17" s="37"/>
      <c r="H17" s="37"/>
      <c r="I17" s="37"/>
      <c r="J17" s="37">
        <f t="shared" si="1"/>
        <v>0</v>
      </c>
      <c r="K17" s="37"/>
      <c r="L17" s="37"/>
      <c r="M17" s="37"/>
      <c r="N17" s="37">
        <f t="shared" si="2"/>
        <v>0</v>
      </c>
      <c r="O17" s="37">
        <f t="shared" si="3"/>
        <v>0</v>
      </c>
      <c r="P17" s="37">
        <f t="shared" si="4"/>
        <v>0</v>
      </c>
      <c r="Q17" s="37">
        <f t="shared" si="5"/>
        <v>0</v>
      </c>
      <c r="R17" s="72">
        <f t="shared" si="6"/>
        <v>0</v>
      </c>
    </row>
    <row r="18" spans="1:18" ht="14.25" customHeight="1">
      <c r="A18" s="67">
        <v>7</v>
      </c>
      <c r="B18" s="68"/>
      <c r="C18" s="37"/>
      <c r="D18" s="37"/>
      <c r="E18" s="37"/>
      <c r="F18" s="37">
        <f t="shared" si="0"/>
        <v>0</v>
      </c>
      <c r="G18" s="37"/>
      <c r="H18" s="37"/>
      <c r="I18" s="37"/>
      <c r="J18" s="37">
        <f t="shared" si="1"/>
        <v>0</v>
      </c>
      <c r="K18" s="37"/>
      <c r="L18" s="37"/>
      <c r="M18" s="37"/>
      <c r="N18" s="37">
        <v>0</v>
      </c>
      <c r="O18" s="37">
        <f t="shared" si="3"/>
        <v>0</v>
      </c>
      <c r="P18" s="37">
        <f t="shared" si="4"/>
        <v>0</v>
      </c>
      <c r="Q18" s="37">
        <f t="shared" si="5"/>
        <v>0</v>
      </c>
      <c r="R18" s="72">
        <f t="shared" si="6"/>
        <v>0</v>
      </c>
    </row>
    <row r="19" spans="1:18" ht="14.25" customHeight="1">
      <c r="A19" s="69">
        <v>8</v>
      </c>
      <c r="B19" s="68"/>
      <c r="C19" s="37"/>
      <c r="D19" s="37"/>
      <c r="E19" s="37"/>
      <c r="F19" s="37">
        <f t="shared" si="0"/>
        <v>0</v>
      </c>
      <c r="G19" s="37"/>
      <c r="H19" s="37"/>
      <c r="I19" s="37"/>
      <c r="J19" s="37">
        <f t="shared" si="1"/>
        <v>0</v>
      </c>
      <c r="K19" s="37"/>
      <c r="L19" s="37"/>
      <c r="M19" s="37"/>
      <c r="N19" s="37">
        <v>0</v>
      </c>
      <c r="O19" s="37">
        <f t="shared" si="3"/>
        <v>0</v>
      </c>
      <c r="P19" s="37">
        <f t="shared" si="4"/>
        <v>0</v>
      </c>
      <c r="Q19" s="37">
        <f t="shared" si="5"/>
        <v>0</v>
      </c>
      <c r="R19" s="72">
        <f t="shared" si="6"/>
        <v>0</v>
      </c>
    </row>
    <row r="20" spans="1:18" ht="14.25" customHeight="1" thickBot="1">
      <c r="A20" s="68">
        <v>9</v>
      </c>
      <c r="B20" s="68"/>
      <c r="C20" s="41"/>
      <c r="D20" s="42"/>
      <c r="E20" s="42"/>
      <c r="F20" s="37">
        <f t="shared" si="0"/>
        <v>0</v>
      </c>
      <c r="G20" s="37"/>
      <c r="H20" s="37"/>
      <c r="I20" s="37"/>
      <c r="J20" s="37">
        <f t="shared" si="1"/>
        <v>0</v>
      </c>
      <c r="K20" s="37"/>
      <c r="L20" s="37"/>
      <c r="M20" s="37"/>
      <c r="N20" s="37">
        <v>0</v>
      </c>
      <c r="O20" s="37">
        <f t="shared" si="3"/>
        <v>0</v>
      </c>
      <c r="P20" s="37">
        <f t="shared" si="4"/>
        <v>0</v>
      </c>
      <c r="Q20" s="37">
        <f t="shared" si="5"/>
        <v>0</v>
      </c>
      <c r="R20" s="72">
        <f t="shared" si="6"/>
        <v>0</v>
      </c>
    </row>
    <row r="21" spans="1:18" ht="14.25" customHeight="1">
      <c r="A21" s="67">
        <v>10</v>
      </c>
      <c r="B21" s="67"/>
      <c r="C21" s="37"/>
      <c r="D21" s="37"/>
      <c r="E21" s="37"/>
      <c r="F21" s="37">
        <f t="shared" si="0"/>
        <v>0</v>
      </c>
      <c r="G21" s="37"/>
      <c r="H21" s="37"/>
      <c r="I21" s="37"/>
      <c r="J21" s="37">
        <f t="shared" si="1"/>
        <v>0</v>
      </c>
      <c r="K21" s="37"/>
      <c r="L21" s="37"/>
      <c r="M21" s="37"/>
      <c r="N21" s="37">
        <v>0</v>
      </c>
      <c r="O21" s="37">
        <f t="shared" si="3"/>
        <v>0</v>
      </c>
      <c r="P21" s="37">
        <f t="shared" si="4"/>
        <v>0</v>
      </c>
      <c r="Q21" s="37">
        <f t="shared" si="5"/>
        <v>0</v>
      </c>
      <c r="R21" s="72">
        <f t="shared" si="6"/>
        <v>0</v>
      </c>
    </row>
    <row r="22" spans="1:18" ht="14.25" customHeight="1" thickBot="1">
      <c r="A22" s="68">
        <v>11</v>
      </c>
      <c r="B22" s="68"/>
      <c r="C22" s="37"/>
      <c r="D22" s="37"/>
      <c r="E22" s="37"/>
      <c r="F22" s="37">
        <f t="shared" si="0"/>
        <v>0</v>
      </c>
      <c r="G22" s="37"/>
      <c r="H22" s="37"/>
      <c r="I22" s="37"/>
      <c r="J22" s="37">
        <f t="shared" si="1"/>
        <v>0</v>
      </c>
      <c r="K22" s="37"/>
      <c r="L22" s="37"/>
      <c r="M22" s="37"/>
      <c r="N22" s="37">
        <v>0</v>
      </c>
      <c r="O22" s="37">
        <f t="shared" si="3"/>
        <v>0</v>
      </c>
      <c r="P22" s="37">
        <f t="shared" si="4"/>
        <v>0</v>
      </c>
      <c r="Q22" s="37">
        <f t="shared" si="5"/>
        <v>0</v>
      </c>
      <c r="R22" s="72">
        <f t="shared" si="6"/>
        <v>0</v>
      </c>
    </row>
    <row r="23" spans="1:18" ht="14.25" customHeight="1">
      <c r="A23" s="67">
        <v>12</v>
      </c>
      <c r="B23" s="68"/>
      <c r="C23" s="37"/>
      <c r="D23" s="37"/>
      <c r="E23" s="37"/>
      <c r="F23" s="37">
        <f t="shared" si="0"/>
        <v>0</v>
      </c>
      <c r="G23" s="37"/>
      <c r="H23" s="37"/>
      <c r="I23" s="37"/>
      <c r="J23" s="37">
        <f t="shared" si="1"/>
        <v>0</v>
      </c>
      <c r="K23" s="37"/>
      <c r="L23" s="37"/>
      <c r="M23" s="37"/>
      <c r="N23" s="37">
        <v>0</v>
      </c>
      <c r="O23" s="37">
        <f t="shared" si="3"/>
        <v>0</v>
      </c>
      <c r="P23" s="37">
        <f t="shared" si="4"/>
        <v>0</v>
      </c>
      <c r="Q23" s="37">
        <f t="shared" si="5"/>
        <v>0</v>
      </c>
      <c r="R23" s="72">
        <f t="shared" si="6"/>
        <v>0</v>
      </c>
    </row>
    <row r="24" spans="1:18" ht="14.25" customHeight="1" thickBot="1">
      <c r="A24" s="68">
        <v>13</v>
      </c>
      <c r="B24" s="68"/>
      <c r="C24" s="37"/>
      <c r="D24" s="37"/>
      <c r="E24" s="37"/>
      <c r="F24" s="37">
        <f t="shared" si="0"/>
        <v>0</v>
      </c>
      <c r="G24" s="37"/>
      <c r="H24" s="37"/>
      <c r="I24" s="37"/>
      <c r="J24" s="37">
        <f t="shared" si="1"/>
        <v>0</v>
      </c>
      <c r="K24" s="37"/>
      <c r="L24" s="37"/>
      <c r="M24" s="37"/>
      <c r="N24" s="37">
        <v>0</v>
      </c>
      <c r="O24" s="37">
        <f t="shared" si="3"/>
        <v>0</v>
      </c>
      <c r="P24" s="37">
        <f t="shared" si="4"/>
        <v>0</v>
      </c>
      <c r="Q24" s="37">
        <f t="shared" si="5"/>
        <v>0</v>
      </c>
      <c r="R24" s="72">
        <f t="shared" si="6"/>
        <v>0</v>
      </c>
    </row>
    <row r="25" spans="1:18" ht="14.25" customHeight="1">
      <c r="A25" s="67">
        <v>14</v>
      </c>
      <c r="B25" s="68"/>
      <c r="C25" s="37"/>
      <c r="D25" s="37"/>
      <c r="E25" s="37"/>
      <c r="F25" s="37">
        <f t="shared" si="0"/>
        <v>0</v>
      </c>
      <c r="G25" s="37"/>
      <c r="H25" s="37"/>
      <c r="I25" s="37"/>
      <c r="J25" s="37">
        <f t="shared" si="1"/>
        <v>0</v>
      </c>
      <c r="K25" s="37"/>
      <c r="L25" s="37"/>
      <c r="M25" s="37"/>
      <c r="N25" s="37">
        <v>0</v>
      </c>
      <c r="O25" s="37">
        <f t="shared" si="3"/>
        <v>0</v>
      </c>
      <c r="P25" s="37">
        <f t="shared" si="4"/>
        <v>0</v>
      </c>
      <c r="Q25" s="37">
        <f t="shared" si="5"/>
        <v>0</v>
      </c>
      <c r="R25" s="72">
        <f t="shared" si="6"/>
        <v>0</v>
      </c>
    </row>
    <row r="26" spans="1:18" ht="14.25" customHeight="1" thickBot="1">
      <c r="A26" s="68">
        <v>15</v>
      </c>
      <c r="B26" s="68"/>
      <c r="C26" s="37"/>
      <c r="D26" s="37"/>
      <c r="E26" s="37"/>
      <c r="F26" s="37">
        <f t="shared" si="0"/>
        <v>0</v>
      </c>
      <c r="G26" s="37"/>
      <c r="H26" s="37"/>
      <c r="I26" s="37"/>
      <c r="J26" s="37">
        <f t="shared" si="1"/>
        <v>0</v>
      </c>
      <c r="K26" s="37"/>
      <c r="L26" s="37"/>
      <c r="M26" s="37"/>
      <c r="N26" s="37">
        <v>0</v>
      </c>
      <c r="O26" s="37">
        <f t="shared" si="3"/>
        <v>0</v>
      </c>
      <c r="P26" s="37">
        <f t="shared" si="4"/>
        <v>0</v>
      </c>
      <c r="Q26" s="37">
        <f t="shared" si="5"/>
        <v>0</v>
      </c>
      <c r="R26" s="72">
        <f t="shared" si="6"/>
        <v>0</v>
      </c>
    </row>
    <row r="27" spans="1:18" ht="14.25" customHeight="1">
      <c r="A27" s="67">
        <v>16</v>
      </c>
      <c r="B27" s="68"/>
      <c r="C27" s="37"/>
      <c r="D27" s="37"/>
      <c r="E27" s="37"/>
      <c r="F27" s="37">
        <f t="shared" si="0"/>
        <v>0</v>
      </c>
      <c r="G27" s="37"/>
      <c r="H27" s="37"/>
      <c r="I27" s="37"/>
      <c r="J27" s="37">
        <f t="shared" si="1"/>
        <v>0</v>
      </c>
      <c r="K27" s="37"/>
      <c r="L27" s="37"/>
      <c r="M27" s="37"/>
      <c r="N27" s="37">
        <v>0</v>
      </c>
      <c r="O27" s="37">
        <f t="shared" si="3"/>
        <v>0</v>
      </c>
      <c r="P27" s="37">
        <f t="shared" si="4"/>
        <v>0</v>
      </c>
      <c r="Q27" s="37">
        <f t="shared" si="5"/>
        <v>0</v>
      </c>
      <c r="R27" s="72">
        <f t="shared" si="6"/>
        <v>0</v>
      </c>
    </row>
    <row r="28" spans="1:18" ht="14.25" customHeight="1">
      <c r="A28" s="69">
        <v>17</v>
      </c>
      <c r="B28" s="68"/>
      <c r="C28" s="37"/>
      <c r="D28" s="37"/>
      <c r="E28" s="37"/>
      <c r="F28" s="37">
        <f t="shared" si="0"/>
        <v>0</v>
      </c>
      <c r="G28" s="37"/>
      <c r="H28" s="37"/>
      <c r="I28" s="37"/>
      <c r="J28" s="37">
        <f t="shared" si="1"/>
        <v>0</v>
      </c>
      <c r="K28" s="37"/>
      <c r="L28" s="37"/>
      <c r="M28" s="37"/>
      <c r="N28" s="37">
        <v>0</v>
      </c>
      <c r="O28" s="37">
        <f t="shared" si="3"/>
        <v>0</v>
      </c>
      <c r="P28" s="37">
        <f t="shared" si="4"/>
        <v>0</v>
      </c>
      <c r="Q28" s="37">
        <f t="shared" si="5"/>
        <v>0</v>
      </c>
      <c r="R28" s="72">
        <f t="shared" si="6"/>
        <v>0</v>
      </c>
    </row>
    <row r="29" spans="1:18" ht="14.25" customHeight="1">
      <c r="A29" s="69">
        <v>18</v>
      </c>
      <c r="B29" s="68"/>
      <c r="C29" s="37"/>
      <c r="D29" s="37"/>
      <c r="E29" s="37"/>
      <c r="F29" s="37">
        <f t="shared" si="0"/>
        <v>0</v>
      </c>
      <c r="G29" s="37"/>
      <c r="H29" s="37"/>
      <c r="I29" s="37"/>
      <c r="J29" s="37">
        <f t="shared" si="1"/>
        <v>0</v>
      </c>
      <c r="K29" s="37"/>
      <c r="L29" s="37"/>
      <c r="M29" s="37"/>
      <c r="N29" s="37">
        <v>0</v>
      </c>
      <c r="O29" s="37">
        <f t="shared" si="3"/>
        <v>0</v>
      </c>
      <c r="P29" s="37">
        <f t="shared" si="4"/>
        <v>0</v>
      </c>
      <c r="Q29" s="37">
        <f t="shared" si="5"/>
        <v>0</v>
      </c>
      <c r="R29" s="72">
        <f t="shared" si="6"/>
        <v>0</v>
      </c>
    </row>
    <row r="30" spans="1:18" ht="14.25" customHeight="1">
      <c r="A30" s="69">
        <v>19</v>
      </c>
      <c r="B30" s="68"/>
      <c r="C30" s="37"/>
      <c r="D30" s="37"/>
      <c r="E30" s="37"/>
      <c r="F30" s="37">
        <f t="shared" si="0"/>
        <v>0</v>
      </c>
      <c r="G30" s="37"/>
      <c r="H30" s="37"/>
      <c r="I30" s="37"/>
      <c r="J30" s="37">
        <f t="shared" si="1"/>
        <v>0</v>
      </c>
      <c r="K30" s="37"/>
      <c r="L30" s="37"/>
      <c r="M30" s="37"/>
      <c r="N30" s="37">
        <v>0</v>
      </c>
      <c r="O30" s="37">
        <f t="shared" si="3"/>
        <v>0</v>
      </c>
      <c r="P30" s="37">
        <f t="shared" si="4"/>
        <v>0</v>
      </c>
      <c r="Q30" s="37">
        <f t="shared" si="5"/>
        <v>0</v>
      </c>
      <c r="R30" s="72">
        <f t="shared" si="6"/>
        <v>0</v>
      </c>
    </row>
    <row r="31" spans="1:18" ht="14.25" customHeight="1">
      <c r="A31" s="69">
        <v>20</v>
      </c>
      <c r="B31" s="68"/>
      <c r="C31" s="37"/>
      <c r="D31" s="37"/>
      <c r="E31" s="37"/>
      <c r="F31" s="37">
        <f t="shared" si="0"/>
        <v>0</v>
      </c>
      <c r="G31" s="37"/>
      <c r="H31" s="37"/>
      <c r="I31" s="37"/>
      <c r="J31" s="37">
        <f t="shared" si="1"/>
        <v>0</v>
      </c>
      <c r="K31" s="37"/>
      <c r="L31" s="37"/>
      <c r="M31" s="37"/>
      <c r="N31" s="37">
        <v>0</v>
      </c>
      <c r="O31" s="37">
        <f t="shared" si="3"/>
        <v>0</v>
      </c>
      <c r="P31" s="37">
        <f t="shared" si="4"/>
        <v>0</v>
      </c>
      <c r="Q31" s="37">
        <f t="shared" si="5"/>
        <v>0</v>
      </c>
      <c r="R31" s="72">
        <f t="shared" si="6"/>
        <v>0</v>
      </c>
    </row>
    <row r="32" spans="1:18" s="73" customFormat="1" ht="21.75" customHeight="1" thickBot="1">
      <c r="A32" s="366" t="s">
        <v>13</v>
      </c>
      <c r="B32" s="367"/>
      <c r="C32" s="131">
        <f t="shared" ref="C32:N32" si="7">SUM(C12:C31)</f>
        <v>0</v>
      </c>
      <c r="D32" s="131">
        <f t="shared" si="7"/>
        <v>0</v>
      </c>
      <c r="E32" s="131">
        <f t="shared" si="7"/>
        <v>0</v>
      </c>
      <c r="F32" s="131">
        <f t="shared" si="7"/>
        <v>0</v>
      </c>
      <c r="G32" s="131">
        <f t="shared" si="7"/>
        <v>0</v>
      </c>
      <c r="H32" s="131">
        <f t="shared" si="7"/>
        <v>0</v>
      </c>
      <c r="I32" s="131">
        <f t="shared" si="7"/>
        <v>0</v>
      </c>
      <c r="J32" s="131">
        <f t="shared" si="7"/>
        <v>0</v>
      </c>
      <c r="K32" s="131">
        <f t="shared" si="7"/>
        <v>0</v>
      </c>
      <c r="L32" s="131">
        <f t="shared" si="7"/>
        <v>0</v>
      </c>
      <c r="M32" s="131">
        <f t="shared" si="7"/>
        <v>0</v>
      </c>
      <c r="N32" s="131">
        <f t="shared" si="7"/>
        <v>0</v>
      </c>
      <c r="O32" s="131">
        <f t="shared" si="3"/>
        <v>0</v>
      </c>
      <c r="P32" s="131">
        <f t="shared" si="4"/>
        <v>0</v>
      </c>
      <c r="Q32" s="131">
        <f t="shared" si="5"/>
        <v>0</v>
      </c>
      <c r="R32" s="72">
        <f t="shared" si="6"/>
        <v>0</v>
      </c>
    </row>
    <row r="34" spans="2:15" ht="15">
      <c r="B34" s="55"/>
      <c r="C34" s="55" t="s">
        <v>155</v>
      </c>
      <c r="D34" s="152"/>
      <c r="E34" s="152"/>
      <c r="F34" s="152"/>
      <c r="O34" s="55"/>
    </row>
    <row r="35" spans="2:15" ht="15">
      <c r="B35" s="55"/>
      <c r="C35" s="55"/>
      <c r="D35" s="363"/>
      <c r="E35" s="363"/>
      <c r="F35" s="363"/>
      <c r="O35" s="55"/>
    </row>
  </sheetData>
  <mergeCells count="8">
    <mergeCell ref="D35:F35"/>
    <mergeCell ref="O10:R10"/>
    <mergeCell ref="K10:N10"/>
    <mergeCell ref="A32:B32"/>
    <mergeCell ref="A10:A11"/>
    <mergeCell ref="B10:B11"/>
    <mergeCell ref="C10:F10"/>
    <mergeCell ref="G10:J10"/>
  </mergeCells>
  <printOptions horizontalCentered="1"/>
  <pageMargins left="0.23622047244094491" right="0.23622047244094491" top="0.15748031496062992" bottom="0.15748031496062992" header="0.31496062992125984" footer="0.31496062992125984"/>
  <pageSetup paperSize="9" fitToWidth="0" fitToHeight="0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1C6F-012A-4AA7-A62E-BDCBF3F1E840}">
  <dimension ref="A7:AC18"/>
  <sheetViews>
    <sheetView rightToLeft="1" workbookViewId="0">
      <selection activeCell="K6" sqref="K6"/>
    </sheetView>
  </sheetViews>
  <sheetFormatPr defaultRowHeight="14.25"/>
  <cols>
    <col min="1" max="1" width="6.5" customWidth="1"/>
    <col min="2" max="2" width="4.5" customWidth="1"/>
    <col min="3" max="3" width="5.25" customWidth="1"/>
    <col min="4" max="6" width="5.375" customWidth="1"/>
    <col min="7" max="7" width="4" customWidth="1"/>
    <col min="8" max="8" width="4.25" customWidth="1"/>
    <col min="9" max="9" width="3.75" customWidth="1"/>
    <col min="10" max="10" width="5.25" customWidth="1"/>
    <col min="11" max="11" width="5.125" customWidth="1"/>
    <col min="12" max="12" width="4.875" customWidth="1"/>
    <col min="13" max="13" width="5" customWidth="1"/>
    <col min="14" max="14" width="5.25" customWidth="1"/>
    <col min="15" max="15" width="4.875" customWidth="1"/>
    <col min="16" max="16" width="5.125" customWidth="1"/>
    <col min="17" max="17" width="4.75" customWidth="1"/>
    <col min="18" max="18" width="5.125" customWidth="1"/>
    <col min="19" max="19" width="5.5" customWidth="1"/>
    <col min="20" max="20" width="5.375" customWidth="1"/>
    <col min="21" max="21" width="4.875" customWidth="1"/>
    <col min="22" max="22" width="4.625" customWidth="1"/>
    <col min="23" max="23" width="4.375" customWidth="1"/>
    <col min="24" max="24" width="5" customWidth="1"/>
    <col min="25" max="25" width="5.375" customWidth="1"/>
    <col min="26" max="26" width="4.75" customWidth="1"/>
    <col min="27" max="27" width="5.375" customWidth="1"/>
    <col min="28" max="28" width="4.75" customWidth="1"/>
    <col min="29" max="29" width="18" customWidth="1"/>
  </cols>
  <sheetData>
    <row r="7" spans="1:29" ht="26.25">
      <c r="A7" s="324" t="s">
        <v>242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</row>
    <row r="8" spans="1:29" ht="26.25">
      <c r="A8" s="324" t="s">
        <v>188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  <c r="AB8" s="324"/>
      <c r="AC8" s="324"/>
    </row>
    <row r="9" spans="1:29" ht="21.75" customHeight="1" thickBot="1">
      <c r="A9" s="330" t="s">
        <v>241</v>
      </c>
      <c r="B9" s="331"/>
      <c r="C9" s="331"/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1"/>
      <c r="Z9" s="331"/>
      <c r="AA9" s="331"/>
      <c r="AB9" s="331"/>
      <c r="AC9" s="332"/>
    </row>
    <row r="10" spans="1:29" ht="42" customHeight="1">
      <c r="A10" s="325" t="s">
        <v>224</v>
      </c>
      <c r="B10" s="325" t="s">
        <v>129</v>
      </c>
      <c r="C10" s="327" t="s">
        <v>192</v>
      </c>
      <c r="D10" s="338" t="s">
        <v>225</v>
      </c>
      <c r="E10" s="339"/>
      <c r="F10" s="340"/>
      <c r="G10" s="333" t="s">
        <v>130</v>
      </c>
      <c r="H10" s="334"/>
      <c r="I10" s="341"/>
      <c r="J10" s="342" t="s">
        <v>226</v>
      </c>
      <c r="K10" s="333" t="s">
        <v>227</v>
      </c>
      <c r="L10" s="341"/>
      <c r="M10" s="333" t="s">
        <v>131</v>
      </c>
      <c r="N10" s="341"/>
      <c r="O10" s="333" t="s">
        <v>228</v>
      </c>
      <c r="P10" s="341"/>
      <c r="Q10" s="333" t="s">
        <v>229</v>
      </c>
      <c r="R10" s="334"/>
      <c r="S10" s="335" t="s">
        <v>234</v>
      </c>
      <c r="T10" s="335"/>
      <c r="U10" s="336" t="s">
        <v>231</v>
      </c>
      <c r="V10" s="337"/>
      <c r="W10" s="335" t="s">
        <v>232</v>
      </c>
      <c r="X10" s="335"/>
      <c r="Y10" s="335" t="s">
        <v>233</v>
      </c>
      <c r="Z10" s="335"/>
      <c r="AA10" s="335" t="s">
        <v>137</v>
      </c>
      <c r="AB10" s="335"/>
      <c r="AC10" s="329" t="s">
        <v>65</v>
      </c>
    </row>
    <row r="11" spans="1:29" ht="51.75" customHeight="1">
      <c r="A11" s="326"/>
      <c r="B11" s="326"/>
      <c r="C11" s="328"/>
      <c r="D11" s="207" t="s">
        <v>11</v>
      </c>
      <c r="E11" s="205" t="s">
        <v>12</v>
      </c>
      <c r="F11" s="202" t="s">
        <v>10</v>
      </c>
      <c r="G11" s="202" t="s">
        <v>132</v>
      </c>
      <c r="H11" s="202" t="s">
        <v>133</v>
      </c>
      <c r="I11" s="202" t="s">
        <v>134</v>
      </c>
      <c r="J11" s="343"/>
      <c r="K11" s="202" t="s">
        <v>135</v>
      </c>
      <c r="L11" s="202" t="s">
        <v>136</v>
      </c>
      <c r="M11" s="202" t="s">
        <v>135</v>
      </c>
      <c r="N11" s="202" t="s">
        <v>136</v>
      </c>
      <c r="O11" s="202" t="s">
        <v>135</v>
      </c>
      <c r="P11" s="202" t="s">
        <v>136</v>
      </c>
      <c r="Q11" s="202" t="s">
        <v>230</v>
      </c>
      <c r="R11" s="202" t="s">
        <v>202</v>
      </c>
      <c r="S11" s="203" t="s">
        <v>135</v>
      </c>
      <c r="T11" s="203" t="s">
        <v>136</v>
      </c>
      <c r="U11" s="202" t="s">
        <v>219</v>
      </c>
      <c r="V11" s="204" t="s">
        <v>193</v>
      </c>
      <c r="W11" s="207" t="s">
        <v>135</v>
      </c>
      <c r="X11" s="207" t="s">
        <v>136</v>
      </c>
      <c r="Y11" s="207" t="s">
        <v>135</v>
      </c>
      <c r="Z11" s="207" t="s">
        <v>136</v>
      </c>
      <c r="AA11" s="207" t="s">
        <v>135</v>
      </c>
      <c r="AB11" s="207" t="s">
        <v>136</v>
      </c>
      <c r="AC11" s="329"/>
    </row>
    <row r="12" spans="1:29" ht="21">
      <c r="A12" s="18"/>
      <c r="B12" s="18"/>
      <c r="C12" s="18"/>
      <c r="D12" s="20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208"/>
      <c r="W12" s="210"/>
      <c r="X12" s="210"/>
      <c r="Y12" s="210"/>
      <c r="Z12" s="210"/>
      <c r="AA12" s="214"/>
      <c r="AB12" s="214"/>
      <c r="AC12" s="214"/>
    </row>
    <row r="13" spans="1:29" ht="2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08"/>
      <c r="W13" s="210"/>
      <c r="X13" s="210"/>
      <c r="Y13" s="210"/>
      <c r="Z13" s="210"/>
      <c r="AA13" s="214"/>
      <c r="AB13" s="215"/>
      <c r="AC13" s="215"/>
    </row>
    <row r="14" spans="1:29" ht="2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208"/>
      <c r="W14" s="210"/>
      <c r="X14" s="210"/>
      <c r="Y14" s="210"/>
      <c r="Z14" s="210"/>
      <c r="AA14" s="214"/>
      <c r="AB14" s="215"/>
      <c r="AC14" s="215"/>
    </row>
    <row r="15" spans="1:29" ht="2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  <c r="U15" s="19"/>
      <c r="V15" s="209"/>
      <c r="W15" s="212"/>
      <c r="X15" s="212"/>
      <c r="Y15" s="212"/>
      <c r="Z15" s="212"/>
      <c r="AA15" s="211"/>
      <c r="AB15" s="213"/>
      <c r="AC15" s="213"/>
    </row>
    <row r="17" spans="1:26" ht="15.75">
      <c r="A17" t="s">
        <v>243</v>
      </c>
      <c r="B17" s="159" t="s">
        <v>236</v>
      </c>
      <c r="C17" s="150"/>
      <c r="D17" s="150"/>
      <c r="E17" s="150"/>
      <c r="F17" s="150"/>
      <c r="G17" s="159"/>
      <c r="H17" s="159"/>
      <c r="I17" s="159"/>
      <c r="J17" s="159"/>
      <c r="K17" s="159"/>
      <c r="L17" s="150" t="s">
        <v>158</v>
      </c>
      <c r="M17" s="159"/>
      <c r="N17" s="159"/>
      <c r="O17" s="159"/>
      <c r="P17" s="159"/>
      <c r="Q17" s="159"/>
      <c r="R17" s="159"/>
      <c r="S17" s="159"/>
      <c r="T17" s="159"/>
      <c r="U17" s="159"/>
      <c r="V17" s="279" t="s">
        <v>159</v>
      </c>
      <c r="W17" s="279"/>
      <c r="X17" s="279"/>
      <c r="Y17" s="279"/>
      <c r="Z17" s="279"/>
    </row>
    <row r="18" spans="1:26" ht="15.75">
      <c r="B18" s="150"/>
      <c r="C18" s="150"/>
      <c r="D18" s="150"/>
      <c r="E18" s="150"/>
      <c r="F18" s="150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97"/>
      <c r="W18" s="197"/>
      <c r="X18" s="197"/>
      <c r="Y18" s="197"/>
      <c r="Z18" s="197"/>
    </row>
  </sheetData>
  <mergeCells count="20">
    <mergeCell ref="J10:J11"/>
    <mergeCell ref="K10:L10"/>
    <mergeCell ref="M10:N10"/>
    <mergeCell ref="O10:P10"/>
    <mergeCell ref="A7:AC7"/>
    <mergeCell ref="A8:AC8"/>
    <mergeCell ref="V17:Z17"/>
    <mergeCell ref="A10:A11"/>
    <mergeCell ref="B10:B11"/>
    <mergeCell ref="C10:C11"/>
    <mergeCell ref="AC10:AC11"/>
    <mergeCell ref="A9:AC9"/>
    <mergeCell ref="Q10:R10"/>
    <mergeCell ref="S10:T10"/>
    <mergeCell ref="U10:V10"/>
    <mergeCell ref="W10:X10"/>
    <mergeCell ref="Y10:Z10"/>
    <mergeCell ref="AA10:AB10"/>
    <mergeCell ref="D10:F10"/>
    <mergeCell ref="G10:I1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DD2D-13C9-43ED-B2F1-15D55684454A}">
  <dimension ref="A7:AC18"/>
  <sheetViews>
    <sheetView rightToLeft="1" topLeftCell="A4" workbookViewId="0">
      <selection activeCell="K12" sqref="K12"/>
    </sheetView>
  </sheetViews>
  <sheetFormatPr defaultRowHeight="14.25"/>
  <cols>
    <col min="1" max="1" width="6.5" customWidth="1"/>
    <col min="2" max="2" width="4.5" customWidth="1"/>
    <col min="3" max="3" width="5.25" customWidth="1"/>
    <col min="4" max="6" width="5.375" customWidth="1"/>
    <col min="7" max="7" width="4" customWidth="1"/>
    <col min="8" max="8" width="4.25" customWidth="1"/>
    <col min="9" max="9" width="3.75" customWidth="1"/>
    <col min="10" max="10" width="5.25" customWidth="1"/>
    <col min="11" max="11" width="5.125" customWidth="1"/>
    <col min="12" max="12" width="4.875" customWidth="1"/>
    <col min="13" max="13" width="5" customWidth="1"/>
    <col min="14" max="14" width="5.25" customWidth="1"/>
    <col min="15" max="15" width="4.875" customWidth="1"/>
    <col min="16" max="16" width="5.125" customWidth="1"/>
    <col min="17" max="17" width="4.75" customWidth="1"/>
    <col min="18" max="18" width="5.125" customWidth="1"/>
    <col min="19" max="19" width="5.5" customWidth="1"/>
    <col min="20" max="20" width="5.375" customWidth="1"/>
    <col min="21" max="21" width="4.875" customWidth="1"/>
    <col min="22" max="22" width="4.625" customWidth="1"/>
    <col min="23" max="23" width="4.375" customWidth="1"/>
    <col min="24" max="24" width="5" customWidth="1"/>
    <col min="25" max="25" width="5.375" customWidth="1"/>
    <col min="26" max="26" width="4.75" customWidth="1"/>
    <col min="27" max="27" width="5.375" customWidth="1"/>
    <col min="28" max="28" width="4.75" customWidth="1"/>
    <col min="29" max="29" width="18" customWidth="1"/>
  </cols>
  <sheetData>
    <row r="7" spans="1:29" ht="26.25">
      <c r="A7" s="324" t="s">
        <v>242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</row>
    <row r="8" spans="1:29" ht="26.25">
      <c r="A8" s="324" t="s">
        <v>245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  <c r="AB8" s="324"/>
      <c r="AC8" s="324"/>
    </row>
    <row r="9" spans="1:29" ht="21.75" customHeight="1" thickBot="1">
      <c r="A9" s="330" t="s">
        <v>241</v>
      </c>
      <c r="B9" s="331"/>
      <c r="C9" s="331"/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1"/>
      <c r="Z9" s="331"/>
      <c r="AA9" s="331"/>
      <c r="AB9" s="331"/>
      <c r="AC9" s="332"/>
    </row>
    <row r="10" spans="1:29" ht="42" customHeight="1">
      <c r="A10" s="325" t="s">
        <v>224</v>
      </c>
      <c r="B10" s="325" t="s">
        <v>129</v>
      </c>
      <c r="C10" s="327" t="s">
        <v>192</v>
      </c>
      <c r="D10" s="338" t="s">
        <v>244</v>
      </c>
      <c r="E10" s="339"/>
      <c r="F10" s="340"/>
      <c r="G10" s="333" t="s">
        <v>130</v>
      </c>
      <c r="H10" s="334"/>
      <c r="I10" s="341"/>
      <c r="J10" s="342" t="s">
        <v>226</v>
      </c>
      <c r="K10" s="333" t="s">
        <v>227</v>
      </c>
      <c r="L10" s="341"/>
      <c r="M10" s="333" t="s">
        <v>131</v>
      </c>
      <c r="N10" s="341"/>
      <c r="O10" s="333" t="s">
        <v>228</v>
      </c>
      <c r="P10" s="341"/>
      <c r="Q10" s="333" t="s">
        <v>229</v>
      </c>
      <c r="R10" s="334"/>
      <c r="S10" s="335" t="s">
        <v>234</v>
      </c>
      <c r="T10" s="335"/>
      <c r="U10" s="336" t="s">
        <v>231</v>
      </c>
      <c r="V10" s="337"/>
      <c r="W10" s="335" t="s">
        <v>232</v>
      </c>
      <c r="X10" s="335"/>
      <c r="Y10" s="335" t="s">
        <v>233</v>
      </c>
      <c r="Z10" s="335"/>
      <c r="AA10" s="335" t="s">
        <v>137</v>
      </c>
      <c r="AB10" s="335"/>
      <c r="AC10" s="329" t="s">
        <v>65</v>
      </c>
    </row>
    <row r="11" spans="1:29" ht="51.75" customHeight="1">
      <c r="A11" s="326"/>
      <c r="B11" s="326"/>
      <c r="C11" s="328"/>
      <c r="D11" s="207" t="s">
        <v>11</v>
      </c>
      <c r="E11" s="205" t="s">
        <v>12</v>
      </c>
      <c r="F11" s="202" t="s">
        <v>10</v>
      </c>
      <c r="G11" s="202" t="s">
        <v>132</v>
      </c>
      <c r="H11" s="202" t="s">
        <v>133</v>
      </c>
      <c r="I11" s="202" t="s">
        <v>134</v>
      </c>
      <c r="J11" s="343"/>
      <c r="K11" s="202" t="s">
        <v>135</v>
      </c>
      <c r="L11" s="202" t="s">
        <v>136</v>
      </c>
      <c r="M11" s="202" t="s">
        <v>135</v>
      </c>
      <c r="N11" s="202" t="s">
        <v>136</v>
      </c>
      <c r="O11" s="202" t="s">
        <v>135</v>
      </c>
      <c r="P11" s="202" t="s">
        <v>136</v>
      </c>
      <c r="Q11" s="202" t="s">
        <v>230</v>
      </c>
      <c r="R11" s="202" t="s">
        <v>202</v>
      </c>
      <c r="S11" s="203" t="s">
        <v>135</v>
      </c>
      <c r="T11" s="203" t="s">
        <v>136</v>
      </c>
      <c r="U11" s="202" t="s">
        <v>219</v>
      </c>
      <c r="V11" s="204" t="s">
        <v>193</v>
      </c>
      <c r="W11" s="207" t="s">
        <v>135</v>
      </c>
      <c r="X11" s="207" t="s">
        <v>136</v>
      </c>
      <c r="Y11" s="207" t="s">
        <v>135</v>
      </c>
      <c r="Z11" s="207" t="s">
        <v>136</v>
      </c>
      <c r="AA11" s="207" t="s">
        <v>135</v>
      </c>
      <c r="AB11" s="207" t="s">
        <v>136</v>
      </c>
      <c r="AC11" s="329"/>
    </row>
    <row r="12" spans="1:29" ht="21">
      <c r="A12" s="18"/>
      <c r="B12" s="18"/>
      <c r="C12" s="18"/>
      <c r="D12" s="20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208"/>
      <c r="W12" s="210"/>
      <c r="X12" s="210"/>
      <c r="Y12" s="210"/>
      <c r="Z12" s="210"/>
      <c r="AA12" s="214"/>
      <c r="AB12" s="214"/>
      <c r="AC12" s="214"/>
    </row>
    <row r="13" spans="1:29" ht="2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08"/>
      <c r="W13" s="210"/>
      <c r="X13" s="210"/>
      <c r="Y13" s="210"/>
      <c r="Z13" s="210"/>
      <c r="AA13" s="214"/>
      <c r="AB13" s="215"/>
      <c r="AC13" s="215"/>
    </row>
    <row r="14" spans="1:29" ht="2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208"/>
      <c r="W14" s="210"/>
      <c r="X14" s="210"/>
      <c r="Y14" s="210"/>
      <c r="Z14" s="210"/>
      <c r="AA14" s="214"/>
      <c r="AB14" s="215"/>
      <c r="AC14" s="215"/>
    </row>
    <row r="15" spans="1:29" ht="2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  <c r="U15" s="19"/>
      <c r="V15" s="209"/>
      <c r="W15" s="212"/>
      <c r="X15" s="212"/>
      <c r="Y15" s="212"/>
      <c r="Z15" s="212"/>
      <c r="AA15" s="211"/>
      <c r="AB15" s="213"/>
      <c r="AC15" s="213"/>
    </row>
    <row r="17" spans="1:26" ht="15.75">
      <c r="A17" t="s">
        <v>243</v>
      </c>
      <c r="B17" s="159" t="s">
        <v>236</v>
      </c>
      <c r="C17" s="150"/>
      <c r="D17" s="150"/>
      <c r="E17" s="150"/>
      <c r="F17" s="150"/>
      <c r="G17" s="159"/>
      <c r="H17" s="159"/>
      <c r="I17" s="159"/>
      <c r="J17" s="159"/>
      <c r="K17" s="159"/>
      <c r="L17" s="150" t="s">
        <v>158</v>
      </c>
      <c r="M17" s="159"/>
      <c r="N17" s="159"/>
      <c r="O17" s="159"/>
      <c r="P17" s="159"/>
      <c r="Q17" s="159"/>
      <c r="R17" s="159"/>
      <c r="S17" s="159"/>
      <c r="T17" s="159"/>
      <c r="U17" s="159"/>
      <c r="V17" s="279" t="s">
        <v>159</v>
      </c>
      <c r="W17" s="279"/>
      <c r="X17" s="279"/>
      <c r="Y17" s="279"/>
      <c r="Z17" s="279"/>
    </row>
    <row r="18" spans="1:26" ht="15.75">
      <c r="B18" s="150"/>
      <c r="C18" s="150"/>
      <c r="D18" s="150"/>
      <c r="E18" s="150"/>
      <c r="F18" s="150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201"/>
      <c r="W18" s="201"/>
      <c r="X18" s="201"/>
      <c r="Y18" s="201"/>
      <c r="Z18" s="201"/>
    </row>
  </sheetData>
  <mergeCells count="20">
    <mergeCell ref="A7:AC7"/>
    <mergeCell ref="A8:AC8"/>
    <mergeCell ref="A9:AC9"/>
    <mergeCell ref="A10:A11"/>
    <mergeCell ref="B10:B11"/>
    <mergeCell ref="C10:C11"/>
    <mergeCell ref="D10:F10"/>
    <mergeCell ref="G10:I10"/>
    <mergeCell ref="J10:J11"/>
    <mergeCell ref="K10:L10"/>
    <mergeCell ref="Y10:Z10"/>
    <mergeCell ref="AA10:AB10"/>
    <mergeCell ref="AC10:AC11"/>
    <mergeCell ref="V17:Z17"/>
    <mergeCell ref="M10:N10"/>
    <mergeCell ref="O10:P10"/>
    <mergeCell ref="Q10:R10"/>
    <mergeCell ref="S10:T10"/>
    <mergeCell ref="U10:V10"/>
    <mergeCell ref="W10:X1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ورقة6">
    <tabColor rgb="FFFFFF00"/>
  </sheetPr>
  <dimension ref="A7:AJ35"/>
  <sheetViews>
    <sheetView rightToLeft="1" view="pageBreakPreview" zoomScaleNormal="100" zoomScaleSheetLayoutView="100" workbookViewId="0">
      <selection activeCell="F16" sqref="F16"/>
    </sheetView>
  </sheetViews>
  <sheetFormatPr defaultRowHeight="14.25"/>
  <cols>
    <col min="1" max="1" width="5" customWidth="1"/>
    <col min="2" max="3" width="4.875" customWidth="1"/>
    <col min="4" max="5" width="4.375" customWidth="1"/>
    <col min="6" max="6" width="4.125" customWidth="1"/>
    <col min="7" max="7" width="2.625" customWidth="1"/>
    <col min="8" max="8" width="4.375" customWidth="1"/>
    <col min="9" max="9" width="2.625" customWidth="1"/>
    <col min="10" max="11" width="4.375" customWidth="1"/>
    <col min="12" max="12" width="2.625" customWidth="1"/>
    <col min="13" max="13" width="4.375" customWidth="1"/>
    <col min="14" max="14" width="3.875" customWidth="1"/>
    <col min="15" max="16" width="2.625" customWidth="1"/>
    <col min="17" max="17" width="4.125" customWidth="1"/>
    <col min="18" max="19" width="4.375" customWidth="1"/>
    <col min="20" max="20" width="2.625" customWidth="1"/>
    <col min="21" max="22" width="4.375" customWidth="1"/>
    <col min="23" max="23" width="6.375" customWidth="1"/>
    <col min="24" max="26" width="4.375" customWidth="1"/>
    <col min="27" max="27" width="3.875" customWidth="1"/>
    <col min="28" max="35" width="4.125" customWidth="1"/>
    <col min="36" max="36" width="4.75" customWidth="1"/>
  </cols>
  <sheetData>
    <row r="7" spans="1:36" ht="26.25">
      <c r="A7" s="324" t="s">
        <v>266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324"/>
      <c r="AH7" s="324"/>
      <c r="AI7" s="324"/>
      <c r="AJ7" s="324"/>
    </row>
    <row r="8" spans="1:36" ht="26.25">
      <c r="A8" s="324" t="s">
        <v>259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324"/>
      <c r="AH8" s="324"/>
      <c r="AI8" s="324"/>
      <c r="AJ8" s="324"/>
    </row>
    <row r="9" spans="1:36" ht="41.25" customHeight="1">
      <c r="A9" s="371" t="s">
        <v>56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</row>
    <row r="10" spans="1:36" ht="44.25" customHeight="1">
      <c r="A10" s="202" t="s">
        <v>57</v>
      </c>
      <c r="B10" s="202" t="s">
        <v>189</v>
      </c>
      <c r="C10" s="202" t="s">
        <v>212</v>
      </c>
      <c r="D10" s="202" t="s">
        <v>213</v>
      </c>
      <c r="E10" s="202" t="s">
        <v>214</v>
      </c>
      <c r="F10" s="202" t="s">
        <v>58</v>
      </c>
      <c r="G10" s="202" t="s">
        <v>190</v>
      </c>
      <c r="H10" s="202" t="s">
        <v>139</v>
      </c>
      <c r="I10" s="202" t="s">
        <v>191</v>
      </c>
      <c r="J10" s="202" t="s">
        <v>215</v>
      </c>
      <c r="K10" s="202" t="s">
        <v>141</v>
      </c>
      <c r="L10" s="202" t="s">
        <v>216</v>
      </c>
      <c r="M10" s="202" t="s">
        <v>62</v>
      </c>
      <c r="N10" s="202" t="s">
        <v>60</v>
      </c>
      <c r="O10" s="202" t="s">
        <v>61</v>
      </c>
      <c r="P10" s="202" t="s">
        <v>63</v>
      </c>
      <c r="Q10" s="202" t="s">
        <v>142</v>
      </c>
      <c r="R10" s="202" t="s">
        <v>59</v>
      </c>
      <c r="S10" s="202" t="s">
        <v>217</v>
      </c>
      <c r="T10" s="202" t="s">
        <v>218</v>
      </c>
      <c r="U10" s="202" t="s">
        <v>219</v>
      </c>
      <c r="V10" s="202" t="s">
        <v>193</v>
      </c>
      <c r="W10" s="202" t="s">
        <v>220</v>
      </c>
      <c r="X10" s="202" t="s">
        <v>194</v>
      </c>
      <c r="Y10" s="202" t="s">
        <v>221</v>
      </c>
      <c r="Z10" s="202" t="s">
        <v>195</v>
      </c>
      <c r="AA10" s="202" t="s">
        <v>196</v>
      </c>
      <c r="AB10" s="202" t="s">
        <v>197</v>
      </c>
      <c r="AC10" s="202" t="s">
        <v>198</v>
      </c>
      <c r="AD10" s="202" t="s">
        <v>199</v>
      </c>
      <c r="AE10" s="202" t="s">
        <v>200</v>
      </c>
      <c r="AF10" s="202" t="s">
        <v>222</v>
      </c>
      <c r="AG10" s="202" t="s">
        <v>223</v>
      </c>
      <c r="AH10" s="202" t="s">
        <v>201</v>
      </c>
      <c r="AI10" s="202" t="s">
        <v>192</v>
      </c>
      <c r="AJ10" s="232"/>
    </row>
    <row r="11" spans="1:36" ht="2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233"/>
      <c r="AB11" s="233"/>
      <c r="AC11" s="233"/>
      <c r="AD11" s="233"/>
      <c r="AE11" s="233"/>
      <c r="AF11" s="233"/>
      <c r="AG11" s="233"/>
      <c r="AH11" s="233"/>
      <c r="AI11" s="233"/>
      <c r="AJ11" s="20"/>
    </row>
    <row r="12" spans="1:36" ht="2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33"/>
      <c r="AB12" s="234"/>
      <c r="AC12" s="234"/>
      <c r="AD12" s="234"/>
      <c r="AE12" s="234"/>
      <c r="AF12" s="234"/>
      <c r="AG12" s="234"/>
      <c r="AH12" s="234"/>
      <c r="AI12" s="234"/>
      <c r="AJ12" s="234"/>
    </row>
    <row r="13" spans="1:36" ht="21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33"/>
      <c r="AB13" s="234"/>
      <c r="AC13" s="234"/>
      <c r="AD13" s="234"/>
      <c r="AE13" s="234"/>
      <c r="AF13" s="234"/>
      <c r="AG13" s="234"/>
      <c r="AH13" s="234"/>
      <c r="AI13" s="234"/>
      <c r="AJ13" s="234"/>
    </row>
    <row r="14" spans="1:36" ht="2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  <c r="U14" s="19"/>
      <c r="V14" s="19"/>
      <c r="W14" s="19"/>
      <c r="X14" s="19"/>
      <c r="Y14" s="19"/>
      <c r="Z14" s="19"/>
      <c r="AA14" s="233"/>
      <c r="AB14" s="235"/>
      <c r="AC14" s="235"/>
      <c r="AD14" s="235"/>
      <c r="AE14" s="235"/>
      <c r="AF14" s="235"/>
      <c r="AG14" s="235"/>
      <c r="AH14" s="235"/>
      <c r="AI14" s="235"/>
      <c r="AJ14" s="235"/>
    </row>
    <row r="16" spans="1:36" ht="15.75">
      <c r="B16" s="150" t="s">
        <v>236</v>
      </c>
      <c r="C16" s="150"/>
      <c r="D16" s="150"/>
      <c r="E16" s="150"/>
      <c r="F16" s="150"/>
      <c r="G16" s="159"/>
      <c r="H16" s="159"/>
      <c r="I16" s="159"/>
      <c r="J16" s="159"/>
      <c r="K16" s="159"/>
      <c r="L16" s="159"/>
      <c r="M16" s="159"/>
      <c r="N16" s="150" t="s">
        <v>158</v>
      </c>
      <c r="O16" s="159"/>
      <c r="P16" s="159"/>
      <c r="Q16" s="159"/>
      <c r="R16" s="159"/>
      <c r="S16" s="159"/>
      <c r="T16" s="159"/>
      <c r="U16" s="159"/>
      <c r="V16" s="279" t="s">
        <v>159</v>
      </c>
      <c r="W16" s="279"/>
      <c r="X16" s="279"/>
      <c r="Y16" s="279"/>
      <c r="Z16" s="279"/>
    </row>
    <row r="17" spans="2:26" ht="15.75">
      <c r="B17" s="150"/>
      <c r="C17" s="150"/>
      <c r="D17" s="150"/>
      <c r="E17" s="150"/>
      <c r="F17" s="150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48"/>
      <c r="W17" s="148"/>
      <c r="X17" s="148"/>
      <c r="Y17" s="148"/>
      <c r="Z17" s="148"/>
    </row>
    <row r="25" spans="2:26" ht="26.25" customHeight="1"/>
    <row r="26" spans="2:26" ht="27" customHeight="1"/>
    <row r="27" spans="2:26" ht="21.75" customHeight="1"/>
    <row r="35" spans="2:26" ht="15.75">
      <c r="B35" s="150"/>
      <c r="C35" s="150"/>
      <c r="D35" s="150"/>
      <c r="E35" s="150"/>
      <c r="F35" s="150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97"/>
      <c r="W35" s="197"/>
      <c r="X35" s="197"/>
      <c r="Y35" s="197"/>
      <c r="Z35" s="197"/>
    </row>
  </sheetData>
  <mergeCells count="4">
    <mergeCell ref="A7:AJ7"/>
    <mergeCell ref="A8:AJ8"/>
    <mergeCell ref="V16:Z16"/>
    <mergeCell ref="A9:AJ9"/>
  </mergeCells>
  <pageMargins left="0.7" right="0.7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7:AL31"/>
  <sheetViews>
    <sheetView rightToLeft="1" view="pageBreakPreview" zoomScale="130" zoomScaleNormal="100" zoomScaleSheetLayoutView="130" workbookViewId="0">
      <selection activeCell="C9" sqref="C9"/>
    </sheetView>
  </sheetViews>
  <sheetFormatPr defaultRowHeight="14.25"/>
  <cols>
    <col min="1" max="1" width="3.375" customWidth="1"/>
    <col min="2" max="2" width="11.375" customWidth="1"/>
    <col min="3" max="3" width="4.5" customWidth="1"/>
    <col min="4" max="4" width="8" customWidth="1"/>
    <col min="5" max="5" width="4.5" customWidth="1"/>
    <col min="6" max="25" width="4.625" customWidth="1"/>
    <col min="26" max="26" width="5.875" customWidth="1"/>
    <col min="27" max="37" width="4.625" customWidth="1"/>
    <col min="38" max="38" width="5.25" customWidth="1"/>
  </cols>
  <sheetData>
    <row r="7" spans="1:38" ht="27.75" thickBot="1">
      <c r="C7" s="139"/>
    </row>
    <row r="8" spans="1:38" s="227" customFormat="1" ht="45.75" customHeight="1">
      <c r="A8" s="228" t="s">
        <v>1</v>
      </c>
      <c r="B8" s="228" t="s">
        <v>160</v>
      </c>
      <c r="C8" s="224" t="s">
        <v>138</v>
      </c>
      <c r="D8" s="225" t="s">
        <v>246</v>
      </c>
      <c r="E8" s="226" t="s">
        <v>247</v>
      </c>
      <c r="F8" s="225" t="s">
        <v>248</v>
      </c>
      <c r="G8" s="225" t="s">
        <v>214</v>
      </c>
      <c r="H8" s="225" t="s">
        <v>249</v>
      </c>
      <c r="I8" s="226" t="s">
        <v>250</v>
      </c>
      <c r="J8" s="225" t="s">
        <v>139</v>
      </c>
      <c r="K8" s="225" t="s">
        <v>140</v>
      </c>
      <c r="L8" s="225" t="s">
        <v>64</v>
      </c>
      <c r="M8" s="225" t="s">
        <v>141</v>
      </c>
      <c r="N8" s="225" t="s">
        <v>216</v>
      </c>
      <c r="O8" s="225" t="s">
        <v>251</v>
      </c>
      <c r="P8" s="225" t="s">
        <v>60</v>
      </c>
      <c r="Q8" s="225" t="s">
        <v>61</v>
      </c>
      <c r="R8" s="225" t="s">
        <v>63</v>
      </c>
      <c r="S8" s="225" t="s">
        <v>142</v>
      </c>
      <c r="T8" s="222" t="s">
        <v>59</v>
      </c>
      <c r="U8" s="225" t="s">
        <v>217</v>
      </c>
      <c r="V8" s="225" t="s">
        <v>218</v>
      </c>
      <c r="W8" s="222" t="s">
        <v>252</v>
      </c>
      <c r="X8" s="225" t="s">
        <v>253</v>
      </c>
      <c r="Y8" s="222" t="s">
        <v>220</v>
      </c>
      <c r="Z8" s="223" t="s">
        <v>254</v>
      </c>
      <c r="AA8" s="222" t="s">
        <v>255</v>
      </c>
      <c r="AB8" s="222" t="s">
        <v>256</v>
      </c>
      <c r="AC8" s="225" t="s">
        <v>195</v>
      </c>
      <c r="AD8" s="222" t="s">
        <v>196</v>
      </c>
      <c r="AE8" s="222" t="s">
        <v>197</v>
      </c>
      <c r="AF8" s="222" t="s">
        <v>198</v>
      </c>
      <c r="AG8" s="222" t="s">
        <v>199</v>
      </c>
      <c r="AH8" s="225" t="s">
        <v>200</v>
      </c>
      <c r="AI8" s="222" t="s">
        <v>222</v>
      </c>
      <c r="AJ8" s="222" t="s">
        <v>257</v>
      </c>
      <c r="AK8" s="222" t="s">
        <v>201</v>
      </c>
      <c r="AL8" s="225" t="s">
        <v>192</v>
      </c>
    </row>
    <row r="9" spans="1:38" ht="14.1" customHeight="1">
      <c r="A9" s="155">
        <v>1</v>
      </c>
      <c r="B9" s="156"/>
      <c r="C9" s="140"/>
      <c r="D9" s="140"/>
      <c r="E9" s="140"/>
      <c r="F9" s="157"/>
      <c r="G9" s="157"/>
      <c r="H9" s="157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220"/>
      <c r="W9" s="220"/>
      <c r="X9" s="158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158"/>
    </row>
    <row r="10" spans="1:38" ht="14.1" customHeight="1">
      <c r="A10" s="155">
        <v>2</v>
      </c>
      <c r="B10" s="156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219"/>
      <c r="W10" s="219"/>
      <c r="X10" s="140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140"/>
    </row>
    <row r="11" spans="1:38" ht="14.1" customHeight="1">
      <c r="A11" s="155">
        <v>3</v>
      </c>
      <c r="B11" s="156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219"/>
      <c r="W11" s="219"/>
      <c r="X11" s="140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140"/>
    </row>
    <row r="12" spans="1:38" ht="14.1" customHeight="1">
      <c r="A12" s="155">
        <v>4</v>
      </c>
      <c r="B12" s="156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219"/>
      <c r="W12" s="219"/>
      <c r="X12" s="140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140"/>
    </row>
    <row r="13" spans="1:38" ht="14.1" customHeight="1">
      <c r="A13" s="155">
        <v>5</v>
      </c>
      <c r="B13" s="156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219"/>
      <c r="W13" s="219"/>
      <c r="X13" s="140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140"/>
    </row>
    <row r="14" spans="1:38" ht="14.1" customHeight="1">
      <c r="A14" s="155">
        <v>6</v>
      </c>
      <c r="B14" s="156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219"/>
      <c r="W14" s="219"/>
      <c r="X14" s="140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140"/>
    </row>
    <row r="15" spans="1:38" ht="14.1" customHeight="1">
      <c r="A15" s="155">
        <v>7</v>
      </c>
      <c r="B15" s="156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219"/>
      <c r="W15" s="219"/>
      <c r="X15" s="140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140"/>
    </row>
    <row r="16" spans="1:38" ht="14.1" customHeight="1">
      <c r="A16" s="155">
        <v>8</v>
      </c>
      <c r="B16" s="156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219"/>
      <c r="W16" s="219"/>
      <c r="X16" s="140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140"/>
    </row>
    <row r="17" spans="1:38" ht="14.1" customHeight="1">
      <c r="A17" s="155">
        <v>9</v>
      </c>
      <c r="B17" s="156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219"/>
      <c r="W17" s="219"/>
      <c r="X17" s="140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140"/>
    </row>
    <row r="18" spans="1:38" ht="14.1" customHeight="1">
      <c r="A18" s="155">
        <v>10</v>
      </c>
      <c r="B18" s="156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219"/>
      <c r="W18" s="219"/>
      <c r="X18" s="140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140"/>
    </row>
    <row r="19" spans="1:38" ht="14.1" customHeight="1">
      <c r="A19" s="155">
        <v>11</v>
      </c>
      <c r="B19" s="156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219"/>
      <c r="W19" s="219"/>
      <c r="X19" s="140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140"/>
    </row>
    <row r="20" spans="1:38" ht="14.1" customHeight="1">
      <c r="A20" s="155">
        <v>12</v>
      </c>
      <c r="B20" s="156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219"/>
      <c r="W20" s="219"/>
      <c r="X20" s="140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140"/>
    </row>
    <row r="21" spans="1:38" ht="14.1" customHeight="1">
      <c r="A21" s="155">
        <v>13</v>
      </c>
      <c r="B21" s="156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219"/>
      <c r="W21" s="219"/>
      <c r="X21" s="140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140"/>
    </row>
    <row r="22" spans="1:38" ht="14.1" customHeight="1">
      <c r="A22" s="155">
        <v>14</v>
      </c>
      <c r="B22" s="156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219"/>
      <c r="W22" s="219"/>
      <c r="X22" s="140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140"/>
    </row>
    <row r="23" spans="1:38" ht="14.1" customHeight="1">
      <c r="A23" s="155">
        <v>15</v>
      </c>
      <c r="B23" s="156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219"/>
      <c r="W23" s="219"/>
      <c r="X23" s="140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140"/>
    </row>
    <row r="24" spans="1:38" ht="14.1" customHeight="1">
      <c r="A24" s="155">
        <v>16</v>
      </c>
      <c r="B24" s="156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219"/>
      <c r="W24" s="219"/>
      <c r="X24" s="140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140"/>
    </row>
    <row r="25" spans="1:38" ht="14.1" customHeight="1">
      <c r="A25" s="155">
        <v>17</v>
      </c>
      <c r="B25" s="156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219"/>
      <c r="W25" s="219"/>
      <c r="X25" s="140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140"/>
    </row>
    <row r="26" spans="1:38" ht="14.1" customHeight="1">
      <c r="A26" s="155">
        <v>18</v>
      </c>
      <c r="B26" s="156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219"/>
      <c r="W26" s="219"/>
      <c r="X26" s="140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140"/>
    </row>
    <row r="27" spans="1:38" ht="14.1" customHeight="1">
      <c r="A27" s="155">
        <v>19</v>
      </c>
      <c r="B27" s="156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219"/>
      <c r="W27" s="219"/>
      <c r="X27" s="140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140"/>
    </row>
    <row r="28" spans="1:38" ht="14.1" customHeight="1" thickBot="1">
      <c r="A28" s="155">
        <v>20</v>
      </c>
      <c r="B28" s="156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219"/>
      <c r="W28" s="219"/>
      <c r="X28" s="140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140"/>
    </row>
    <row r="29" spans="1:38" ht="15.75" thickBot="1">
      <c r="S29" s="183"/>
      <c r="T29" s="183"/>
      <c r="U29" s="183"/>
      <c r="V29" s="183"/>
      <c r="W29" s="183"/>
      <c r="X29" s="183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30"/>
    </row>
    <row r="30" spans="1:38" ht="15">
      <c r="C30" s="283" t="s">
        <v>158</v>
      </c>
      <c r="D30" s="283"/>
      <c r="E30" s="283"/>
      <c r="F30" s="283"/>
      <c r="G30" s="283"/>
      <c r="Q30" s="279" t="s">
        <v>159</v>
      </c>
      <c r="R30" s="279"/>
      <c r="S30" s="279"/>
      <c r="T30" s="279"/>
      <c r="U30" s="279"/>
      <c r="V30" s="279"/>
      <c r="W30" s="279"/>
      <c r="X30" s="279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149"/>
    </row>
    <row r="31" spans="1:38" ht="14.25" customHeight="1"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</row>
  </sheetData>
  <mergeCells count="2">
    <mergeCell ref="C30:G30"/>
    <mergeCell ref="Q30:X30"/>
  </mergeCells>
  <printOptions horizontalCentered="1"/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5"/>
  <sheetViews>
    <sheetView rightToLeft="1" view="pageBreakPreview" zoomScale="115" zoomScaleNormal="100" zoomScaleSheetLayoutView="115" workbookViewId="0">
      <selection activeCell="B4" sqref="B4"/>
    </sheetView>
  </sheetViews>
  <sheetFormatPr defaultColWidth="9" defaultRowHeight="14.25"/>
  <cols>
    <col min="1" max="1" width="3.125" style="160" customWidth="1"/>
    <col min="2" max="2" width="18.75" style="160" customWidth="1"/>
    <col min="3" max="3" width="5.375" style="160" customWidth="1"/>
    <col min="4" max="4" width="6.875" style="160" customWidth="1"/>
    <col min="5" max="5" width="10.625" style="160" customWidth="1"/>
    <col min="6" max="6" width="6.125" style="160" customWidth="1"/>
    <col min="7" max="7" width="6.625" style="160" customWidth="1"/>
    <col min="8" max="8" width="8.875" style="160" customWidth="1"/>
    <col min="9" max="10" width="6.75" style="160" customWidth="1"/>
    <col min="11" max="11" width="10.875" style="160" customWidth="1"/>
    <col min="12" max="16384" width="9" style="160"/>
  </cols>
  <sheetData>
    <row r="1" spans="1:12" ht="87.75" customHeight="1" thickBot="1"/>
    <row r="2" spans="1:12" ht="48" customHeight="1" thickTop="1" thickBot="1">
      <c r="A2" s="161"/>
      <c r="B2" s="161"/>
      <c r="C2" s="161"/>
      <c r="D2" s="161"/>
      <c r="E2" s="161"/>
      <c r="F2" s="161"/>
      <c r="G2" s="161"/>
      <c r="H2" s="162"/>
      <c r="I2" s="162"/>
      <c r="J2" s="162"/>
      <c r="K2" s="162"/>
    </row>
    <row r="3" spans="1:12" s="168" customFormat="1" ht="33" customHeight="1" thickTop="1" thickBot="1">
      <c r="A3" s="163" t="s">
        <v>1</v>
      </c>
      <c r="B3" s="164" t="s">
        <v>144</v>
      </c>
      <c r="C3" s="165" t="s">
        <v>143</v>
      </c>
      <c r="D3" s="165" t="s">
        <v>145</v>
      </c>
      <c r="E3" s="165" t="s">
        <v>146</v>
      </c>
      <c r="F3" s="165" t="s">
        <v>147</v>
      </c>
      <c r="G3" s="165" t="s">
        <v>148</v>
      </c>
      <c r="H3" s="165" t="s">
        <v>149</v>
      </c>
      <c r="I3" s="165" t="s">
        <v>35</v>
      </c>
      <c r="J3" s="165" t="s">
        <v>150</v>
      </c>
      <c r="K3" s="166" t="s">
        <v>151</v>
      </c>
      <c r="L3" s="167"/>
    </row>
    <row r="4" spans="1:12" ht="20.100000000000001" customHeight="1">
      <c r="A4" s="169">
        <v>1</v>
      </c>
      <c r="B4" s="170"/>
      <c r="C4" s="171"/>
      <c r="D4" s="172"/>
      <c r="E4" s="171"/>
      <c r="F4" s="171"/>
      <c r="G4" s="172"/>
      <c r="H4" s="171"/>
      <c r="I4" s="172"/>
      <c r="J4" s="171"/>
      <c r="K4" s="173"/>
    </row>
    <row r="5" spans="1:12" ht="20.100000000000001" customHeight="1">
      <c r="A5" s="174">
        <v>2</v>
      </c>
      <c r="B5" s="175"/>
      <c r="C5" s="176"/>
      <c r="D5" s="176"/>
      <c r="E5" s="176"/>
      <c r="F5" s="176"/>
      <c r="G5" s="177"/>
      <c r="H5" s="177"/>
      <c r="I5" s="177"/>
      <c r="J5" s="177"/>
      <c r="K5" s="178"/>
    </row>
    <row r="6" spans="1:12" ht="20.100000000000001" customHeight="1">
      <c r="A6" s="174">
        <v>3</v>
      </c>
      <c r="B6" s="175"/>
      <c r="C6" s="176"/>
      <c r="D6" s="176"/>
      <c r="E6" s="176"/>
      <c r="F6" s="176"/>
      <c r="G6" s="177"/>
      <c r="H6" s="177"/>
      <c r="I6" s="177"/>
      <c r="J6" s="177"/>
      <c r="K6" s="178"/>
    </row>
    <row r="7" spans="1:12" ht="20.100000000000001" customHeight="1">
      <c r="A7" s="174">
        <v>4</v>
      </c>
      <c r="B7" s="175"/>
      <c r="C7" s="176"/>
      <c r="D7" s="176"/>
      <c r="E7" s="176"/>
      <c r="F7" s="176"/>
      <c r="G7" s="177"/>
      <c r="H7" s="177"/>
      <c r="I7" s="177"/>
      <c r="J7" s="177"/>
      <c r="K7" s="178"/>
    </row>
    <row r="8" spans="1:12" ht="20.100000000000001" customHeight="1">
      <c r="A8" s="174">
        <v>5</v>
      </c>
      <c r="B8" s="175"/>
      <c r="C8" s="176"/>
      <c r="D8" s="176"/>
      <c r="E8" s="176"/>
      <c r="F8" s="176"/>
      <c r="G8" s="177"/>
      <c r="H8" s="177"/>
      <c r="I8" s="177"/>
      <c r="J8" s="177"/>
      <c r="K8" s="178"/>
    </row>
    <row r="9" spans="1:12" ht="20.100000000000001" customHeight="1">
      <c r="A9" s="174">
        <v>6</v>
      </c>
      <c r="B9" s="175"/>
      <c r="C9" s="176"/>
      <c r="D9" s="176"/>
      <c r="E9" s="176"/>
      <c r="F9" s="176"/>
      <c r="G9" s="177"/>
      <c r="H9" s="177"/>
      <c r="I9" s="177"/>
      <c r="J9" s="177"/>
      <c r="K9" s="178"/>
    </row>
    <row r="10" spans="1:12" ht="20.100000000000001" customHeight="1">
      <c r="A10" s="174">
        <v>7</v>
      </c>
      <c r="B10" s="175"/>
      <c r="C10" s="176"/>
      <c r="D10" s="176"/>
      <c r="E10" s="176"/>
      <c r="F10" s="176"/>
      <c r="G10" s="177"/>
      <c r="H10" s="177"/>
      <c r="I10" s="177"/>
      <c r="J10" s="177"/>
      <c r="K10" s="178"/>
    </row>
    <row r="11" spans="1:12" ht="20.100000000000001" customHeight="1">
      <c r="A11" s="174">
        <v>8</v>
      </c>
      <c r="B11" s="175"/>
      <c r="C11" s="176"/>
      <c r="D11" s="176"/>
      <c r="E11" s="176"/>
      <c r="F11" s="176"/>
      <c r="G11" s="177"/>
      <c r="H11" s="177"/>
      <c r="I11" s="177"/>
      <c r="J11" s="177"/>
      <c r="K11" s="178"/>
    </row>
    <row r="12" spans="1:12" ht="20.100000000000001" customHeight="1">
      <c r="A12" s="174">
        <v>9</v>
      </c>
      <c r="B12" s="175"/>
      <c r="C12" s="176"/>
      <c r="D12" s="176"/>
      <c r="E12" s="176"/>
      <c r="F12" s="176"/>
      <c r="G12" s="177"/>
      <c r="H12" s="177"/>
      <c r="I12" s="177"/>
      <c r="J12" s="177"/>
      <c r="K12" s="178"/>
    </row>
    <row r="13" spans="1:12" ht="20.100000000000001" customHeight="1">
      <c r="A13" s="174">
        <v>10</v>
      </c>
      <c r="B13" s="175"/>
      <c r="C13" s="176"/>
      <c r="D13" s="176"/>
      <c r="E13" s="176"/>
      <c r="F13" s="176"/>
      <c r="G13" s="177"/>
      <c r="H13" s="177"/>
      <c r="I13" s="177"/>
      <c r="J13" s="177"/>
      <c r="K13" s="178"/>
    </row>
    <row r="14" spans="1:12" ht="20.100000000000001" customHeight="1">
      <c r="A14" s="174">
        <v>11</v>
      </c>
      <c r="B14" s="175"/>
      <c r="C14" s="176"/>
      <c r="D14" s="176"/>
      <c r="E14" s="176"/>
      <c r="F14" s="176"/>
      <c r="G14" s="177"/>
      <c r="H14" s="177"/>
      <c r="I14" s="177"/>
      <c r="J14" s="177"/>
      <c r="K14" s="178"/>
    </row>
    <row r="15" spans="1:12" ht="20.100000000000001" customHeight="1">
      <c r="A15" s="174">
        <v>12</v>
      </c>
      <c r="B15" s="175"/>
      <c r="C15" s="176"/>
      <c r="D15" s="176"/>
      <c r="E15" s="176"/>
      <c r="F15" s="176"/>
      <c r="G15" s="177"/>
      <c r="H15" s="177"/>
      <c r="I15" s="177"/>
      <c r="J15" s="177"/>
      <c r="K15" s="178"/>
    </row>
    <row r="16" spans="1:12" ht="20.100000000000001" customHeight="1">
      <c r="A16" s="174">
        <v>13</v>
      </c>
      <c r="B16" s="175"/>
      <c r="C16" s="176"/>
      <c r="D16" s="176"/>
      <c r="E16" s="176"/>
      <c r="F16" s="176"/>
      <c r="G16" s="177"/>
      <c r="H16" s="177"/>
      <c r="I16" s="177"/>
      <c r="J16" s="177"/>
      <c r="K16" s="178"/>
    </row>
    <row r="17" spans="1:13" ht="20.100000000000001" customHeight="1">
      <c r="A17" s="174">
        <v>14</v>
      </c>
      <c r="B17" s="175"/>
      <c r="C17" s="176"/>
      <c r="D17" s="176"/>
      <c r="E17" s="176"/>
      <c r="F17" s="176"/>
      <c r="G17" s="177"/>
      <c r="H17" s="177"/>
      <c r="I17" s="177"/>
      <c r="J17" s="177"/>
      <c r="K17" s="178"/>
    </row>
    <row r="18" spans="1:13" ht="20.100000000000001" customHeight="1">
      <c r="A18" s="174">
        <v>15</v>
      </c>
      <c r="B18" s="175"/>
      <c r="C18" s="176"/>
      <c r="D18" s="176"/>
      <c r="E18" s="176"/>
      <c r="F18" s="176"/>
      <c r="G18" s="177"/>
      <c r="H18" s="177"/>
      <c r="I18" s="177"/>
      <c r="J18" s="177"/>
      <c r="K18" s="178"/>
    </row>
    <row r="19" spans="1:13" ht="20.100000000000001" customHeight="1">
      <c r="A19" s="174">
        <v>16</v>
      </c>
      <c r="B19" s="175"/>
      <c r="C19" s="176"/>
      <c r="D19" s="176"/>
      <c r="E19" s="176"/>
      <c r="F19" s="176"/>
      <c r="G19" s="177"/>
      <c r="H19" s="177"/>
      <c r="I19" s="177"/>
      <c r="J19" s="177"/>
      <c r="K19" s="178"/>
    </row>
    <row r="20" spans="1:13" ht="20.100000000000001" customHeight="1">
      <c r="A20" s="174">
        <v>17</v>
      </c>
      <c r="B20" s="175"/>
      <c r="C20" s="176"/>
      <c r="D20" s="176"/>
      <c r="E20" s="176"/>
      <c r="F20" s="176"/>
      <c r="G20" s="177"/>
      <c r="H20" s="177"/>
      <c r="I20" s="177"/>
      <c r="J20" s="177"/>
      <c r="K20" s="178"/>
    </row>
    <row r="21" spans="1:13" ht="20.100000000000001" customHeight="1">
      <c r="A21" s="174">
        <v>18</v>
      </c>
      <c r="B21" s="175"/>
      <c r="C21" s="176"/>
      <c r="D21" s="176"/>
      <c r="E21" s="176"/>
      <c r="F21" s="176"/>
      <c r="G21" s="177"/>
      <c r="H21" s="177"/>
      <c r="I21" s="177"/>
      <c r="J21" s="177"/>
      <c r="K21" s="178"/>
    </row>
    <row r="22" spans="1:13" ht="20.100000000000001" customHeight="1">
      <c r="A22" s="174">
        <v>19</v>
      </c>
      <c r="B22" s="175"/>
      <c r="C22" s="176"/>
      <c r="D22" s="176"/>
      <c r="E22" s="176"/>
      <c r="F22" s="176"/>
      <c r="G22" s="177"/>
      <c r="H22" s="177"/>
      <c r="I22" s="177"/>
      <c r="J22" s="177"/>
      <c r="K22" s="178"/>
    </row>
    <row r="23" spans="1:13" ht="20.100000000000001" customHeight="1">
      <c r="A23" s="174">
        <v>20</v>
      </c>
      <c r="B23" s="175"/>
      <c r="C23" s="176"/>
      <c r="D23" s="176"/>
      <c r="E23" s="176"/>
      <c r="F23" s="176"/>
      <c r="G23" s="177"/>
      <c r="H23" s="177"/>
      <c r="I23" s="177"/>
      <c r="J23" s="177"/>
      <c r="K23" s="178"/>
    </row>
    <row r="24" spans="1:13" ht="30" customHeight="1"/>
    <row r="25" spans="1:13" ht="30" customHeight="1">
      <c r="B25" s="179"/>
      <c r="C25" s="179"/>
      <c r="D25" s="180"/>
      <c r="E25" s="180"/>
      <c r="F25" s="180"/>
      <c r="G25" s="180"/>
      <c r="H25" s="180"/>
      <c r="I25" s="180"/>
      <c r="J25" s="180"/>
      <c r="K25" s="180"/>
      <c r="L25" s="180"/>
      <c r="M25" s="180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9727-28A8-4959-B95E-33D1DFEC57E2}">
  <dimension ref="A1:N25"/>
  <sheetViews>
    <sheetView rightToLeft="1" view="pageBreakPreview" zoomScale="115" zoomScaleNormal="100" zoomScaleSheetLayoutView="115" workbookViewId="0">
      <selection activeCell="N7" sqref="N7"/>
    </sheetView>
  </sheetViews>
  <sheetFormatPr defaultColWidth="9" defaultRowHeight="14.25"/>
  <cols>
    <col min="1" max="1" width="3.125" style="160" customWidth="1"/>
    <col min="2" max="2" width="18.75" style="160" customWidth="1"/>
    <col min="3" max="3" width="5.375" style="160" customWidth="1"/>
    <col min="4" max="4" width="6.875" style="160" customWidth="1"/>
    <col min="5" max="5" width="10.625" style="160" customWidth="1"/>
    <col min="6" max="6" width="6.125" style="160" customWidth="1"/>
    <col min="7" max="7" width="6.625" style="160" customWidth="1"/>
    <col min="8" max="8" width="8.875" style="160" customWidth="1"/>
    <col min="9" max="11" width="6.75" style="160" customWidth="1"/>
    <col min="12" max="12" width="15.5" style="160" customWidth="1"/>
    <col min="13" max="16384" width="9" style="160"/>
  </cols>
  <sheetData>
    <row r="1" spans="1:13" ht="87.75" customHeight="1" thickBot="1"/>
    <row r="2" spans="1:13" ht="48" customHeight="1" thickTop="1" thickBot="1">
      <c r="A2" s="161"/>
      <c r="B2" s="161"/>
      <c r="C2" s="161"/>
      <c r="D2" s="161"/>
      <c r="E2" s="161"/>
      <c r="F2" s="161"/>
      <c r="G2" s="161"/>
      <c r="H2" s="162"/>
      <c r="I2" s="162"/>
      <c r="J2" s="162"/>
      <c r="K2" s="162"/>
      <c r="L2" s="162"/>
    </row>
    <row r="3" spans="1:13" s="168" customFormat="1" ht="44.25" customHeight="1" thickTop="1" thickBot="1">
      <c r="A3" s="163" t="s">
        <v>1</v>
      </c>
      <c r="B3" s="164" t="s">
        <v>144</v>
      </c>
      <c r="C3" s="165" t="s">
        <v>143</v>
      </c>
      <c r="D3" s="165" t="s">
        <v>145</v>
      </c>
      <c r="E3" s="165" t="s">
        <v>146</v>
      </c>
      <c r="F3" s="165" t="s">
        <v>147</v>
      </c>
      <c r="G3" s="165" t="s">
        <v>148</v>
      </c>
      <c r="H3" s="165" t="s">
        <v>235</v>
      </c>
      <c r="I3" s="165" t="s">
        <v>35</v>
      </c>
      <c r="J3" s="165" t="s">
        <v>150</v>
      </c>
      <c r="K3" s="229" t="s">
        <v>258</v>
      </c>
      <c r="L3" s="166" t="s">
        <v>151</v>
      </c>
      <c r="M3" s="167"/>
    </row>
    <row r="4" spans="1:13" ht="20.100000000000001" customHeight="1">
      <c r="A4" s="169">
        <v>1</v>
      </c>
      <c r="B4" s="170"/>
      <c r="C4" s="171"/>
      <c r="D4" s="172"/>
      <c r="E4" s="171"/>
      <c r="F4" s="171"/>
      <c r="G4" s="172"/>
      <c r="H4" s="171"/>
      <c r="I4" s="172"/>
      <c r="J4" s="171"/>
      <c r="K4" s="230"/>
      <c r="L4" s="173"/>
    </row>
    <row r="5" spans="1:13" ht="20.100000000000001" customHeight="1">
      <c r="A5" s="174">
        <v>2</v>
      </c>
      <c r="B5" s="175"/>
      <c r="C5" s="176"/>
      <c r="D5" s="176"/>
      <c r="E5" s="176"/>
      <c r="F5" s="176"/>
      <c r="G5" s="177"/>
      <c r="H5" s="177"/>
      <c r="I5" s="177"/>
      <c r="J5" s="177"/>
      <c r="K5" s="231"/>
      <c r="L5" s="178"/>
    </row>
    <row r="6" spans="1:13" ht="20.100000000000001" customHeight="1">
      <c r="A6" s="174">
        <v>3</v>
      </c>
      <c r="B6" s="175"/>
      <c r="C6" s="176"/>
      <c r="D6" s="176"/>
      <c r="E6" s="176"/>
      <c r="F6" s="176"/>
      <c r="G6" s="177"/>
      <c r="H6" s="177"/>
      <c r="I6" s="177"/>
      <c r="J6" s="177"/>
      <c r="K6" s="231"/>
      <c r="L6" s="178"/>
    </row>
    <row r="7" spans="1:13" ht="20.100000000000001" customHeight="1">
      <c r="A7" s="174">
        <v>4</v>
      </c>
      <c r="B7" s="175"/>
      <c r="C7" s="176"/>
      <c r="D7" s="176"/>
      <c r="E7" s="176"/>
      <c r="F7" s="176"/>
      <c r="G7" s="177"/>
      <c r="H7" s="177"/>
      <c r="I7" s="177"/>
      <c r="J7" s="177"/>
      <c r="K7" s="231"/>
      <c r="L7" s="178"/>
    </row>
    <row r="8" spans="1:13" ht="20.100000000000001" customHeight="1">
      <c r="A8" s="174">
        <v>5</v>
      </c>
      <c r="B8" s="175"/>
      <c r="C8" s="176"/>
      <c r="D8" s="176"/>
      <c r="E8" s="176"/>
      <c r="F8" s="176"/>
      <c r="G8" s="177"/>
      <c r="H8" s="177"/>
      <c r="I8" s="177"/>
      <c r="J8" s="177"/>
      <c r="K8" s="231"/>
      <c r="L8" s="178"/>
    </row>
    <row r="9" spans="1:13" ht="20.100000000000001" customHeight="1">
      <c r="A9" s="174">
        <v>6</v>
      </c>
      <c r="B9" s="175"/>
      <c r="C9" s="176"/>
      <c r="D9" s="176"/>
      <c r="E9" s="176"/>
      <c r="F9" s="176"/>
      <c r="G9" s="177"/>
      <c r="H9" s="177"/>
      <c r="I9" s="177"/>
      <c r="J9" s="177"/>
      <c r="K9" s="231"/>
      <c r="L9" s="178"/>
    </row>
    <row r="10" spans="1:13" ht="20.100000000000001" customHeight="1">
      <c r="A10" s="174">
        <v>7</v>
      </c>
      <c r="B10" s="175"/>
      <c r="C10" s="176"/>
      <c r="D10" s="176"/>
      <c r="E10" s="176"/>
      <c r="F10" s="176"/>
      <c r="G10" s="177"/>
      <c r="H10" s="177"/>
      <c r="I10" s="177"/>
      <c r="J10" s="177"/>
      <c r="K10" s="231"/>
      <c r="L10" s="178"/>
    </row>
    <row r="11" spans="1:13" ht="20.100000000000001" customHeight="1">
      <c r="A11" s="174">
        <v>8</v>
      </c>
      <c r="B11" s="175"/>
      <c r="C11" s="176"/>
      <c r="D11" s="176"/>
      <c r="E11" s="176"/>
      <c r="F11" s="176"/>
      <c r="G11" s="177"/>
      <c r="H11" s="177"/>
      <c r="I11" s="177"/>
      <c r="J11" s="177"/>
      <c r="K11" s="231"/>
      <c r="L11" s="178"/>
    </row>
    <row r="12" spans="1:13" ht="20.100000000000001" customHeight="1">
      <c r="A12" s="174">
        <v>9</v>
      </c>
      <c r="B12" s="175"/>
      <c r="C12" s="176"/>
      <c r="D12" s="176"/>
      <c r="E12" s="176"/>
      <c r="F12" s="176"/>
      <c r="G12" s="177"/>
      <c r="H12" s="177"/>
      <c r="I12" s="177"/>
      <c r="J12" s="177"/>
      <c r="K12" s="231"/>
      <c r="L12" s="178"/>
    </row>
    <row r="13" spans="1:13" ht="20.100000000000001" customHeight="1">
      <c r="A13" s="174">
        <v>10</v>
      </c>
      <c r="B13" s="175"/>
      <c r="C13" s="176"/>
      <c r="D13" s="176"/>
      <c r="E13" s="176"/>
      <c r="F13" s="176"/>
      <c r="G13" s="177"/>
      <c r="H13" s="177"/>
      <c r="I13" s="177"/>
      <c r="J13" s="177"/>
      <c r="K13" s="231"/>
      <c r="L13" s="178"/>
    </row>
    <row r="14" spans="1:13" ht="20.100000000000001" customHeight="1">
      <c r="A14" s="174">
        <v>11</v>
      </c>
      <c r="B14" s="175"/>
      <c r="C14" s="176"/>
      <c r="D14" s="176"/>
      <c r="E14" s="176"/>
      <c r="F14" s="176"/>
      <c r="G14" s="177"/>
      <c r="H14" s="177"/>
      <c r="I14" s="177"/>
      <c r="J14" s="177"/>
      <c r="K14" s="231"/>
      <c r="L14" s="178"/>
    </row>
    <row r="15" spans="1:13" ht="20.100000000000001" customHeight="1">
      <c r="A15" s="174">
        <v>12</v>
      </c>
      <c r="B15" s="175"/>
      <c r="C15" s="176"/>
      <c r="D15" s="176"/>
      <c r="E15" s="176"/>
      <c r="F15" s="176"/>
      <c r="G15" s="177"/>
      <c r="H15" s="177"/>
      <c r="I15" s="177"/>
      <c r="J15" s="177"/>
      <c r="K15" s="231"/>
      <c r="L15" s="178"/>
    </row>
    <row r="16" spans="1:13" ht="20.100000000000001" customHeight="1">
      <c r="A16" s="174">
        <v>13</v>
      </c>
      <c r="B16" s="175"/>
      <c r="C16" s="176"/>
      <c r="D16" s="176"/>
      <c r="E16" s="176"/>
      <c r="F16" s="176"/>
      <c r="G16" s="177"/>
      <c r="H16" s="177"/>
      <c r="I16" s="177"/>
      <c r="J16" s="177"/>
      <c r="K16" s="231"/>
      <c r="L16" s="178"/>
    </row>
    <row r="17" spans="1:14" ht="20.100000000000001" customHeight="1">
      <c r="A17" s="174">
        <v>14</v>
      </c>
      <c r="B17" s="175"/>
      <c r="C17" s="176"/>
      <c r="D17" s="176"/>
      <c r="E17" s="176"/>
      <c r="F17" s="176"/>
      <c r="G17" s="177"/>
      <c r="H17" s="177"/>
      <c r="I17" s="177"/>
      <c r="J17" s="177"/>
      <c r="K17" s="231"/>
      <c r="L17" s="178"/>
    </row>
    <row r="18" spans="1:14" ht="20.100000000000001" customHeight="1">
      <c r="A18" s="174">
        <v>15</v>
      </c>
      <c r="B18" s="175"/>
      <c r="C18" s="176"/>
      <c r="D18" s="176"/>
      <c r="E18" s="176"/>
      <c r="F18" s="176"/>
      <c r="G18" s="177"/>
      <c r="H18" s="177"/>
      <c r="I18" s="177"/>
      <c r="J18" s="177"/>
      <c r="K18" s="231"/>
      <c r="L18" s="178"/>
    </row>
    <row r="19" spans="1:14" ht="20.100000000000001" customHeight="1">
      <c r="A19" s="174">
        <v>16</v>
      </c>
      <c r="B19" s="175"/>
      <c r="C19" s="176"/>
      <c r="D19" s="176"/>
      <c r="E19" s="176"/>
      <c r="F19" s="176"/>
      <c r="G19" s="177"/>
      <c r="H19" s="177"/>
      <c r="I19" s="177"/>
      <c r="J19" s="177"/>
      <c r="K19" s="231"/>
      <c r="L19" s="178"/>
    </row>
    <row r="20" spans="1:14" ht="20.100000000000001" customHeight="1">
      <c r="A20" s="174">
        <v>17</v>
      </c>
      <c r="B20" s="175"/>
      <c r="C20" s="176"/>
      <c r="D20" s="176"/>
      <c r="E20" s="176"/>
      <c r="F20" s="176"/>
      <c r="G20" s="177"/>
      <c r="H20" s="177"/>
      <c r="I20" s="177"/>
      <c r="J20" s="177"/>
      <c r="K20" s="231"/>
      <c r="L20" s="178"/>
    </row>
    <row r="21" spans="1:14" ht="20.100000000000001" customHeight="1">
      <c r="A21" s="174">
        <v>18</v>
      </c>
      <c r="B21" s="175"/>
      <c r="C21" s="176"/>
      <c r="D21" s="176"/>
      <c r="E21" s="176"/>
      <c r="F21" s="176"/>
      <c r="G21" s="177"/>
      <c r="H21" s="177"/>
      <c r="I21" s="177"/>
      <c r="J21" s="177"/>
      <c r="K21" s="231"/>
      <c r="L21" s="178"/>
    </row>
    <row r="22" spans="1:14" ht="20.100000000000001" customHeight="1">
      <c r="A22" s="174">
        <v>19</v>
      </c>
      <c r="B22" s="175"/>
      <c r="C22" s="176"/>
      <c r="D22" s="176"/>
      <c r="E22" s="176"/>
      <c r="F22" s="176"/>
      <c r="G22" s="177"/>
      <c r="H22" s="177"/>
      <c r="I22" s="177"/>
      <c r="J22" s="177"/>
      <c r="K22" s="231"/>
      <c r="L22" s="178"/>
    </row>
    <row r="23" spans="1:14" ht="20.100000000000001" customHeight="1">
      <c r="A23" s="174">
        <v>20</v>
      </c>
      <c r="B23" s="175"/>
      <c r="C23" s="176"/>
      <c r="D23" s="176"/>
      <c r="E23" s="176"/>
      <c r="F23" s="176"/>
      <c r="G23" s="177"/>
      <c r="H23" s="177"/>
      <c r="I23" s="177"/>
      <c r="J23" s="177"/>
      <c r="K23" s="231"/>
      <c r="L23" s="178"/>
    </row>
    <row r="24" spans="1:14" ht="30" customHeight="1"/>
    <row r="25" spans="1:14" ht="30" customHeight="1">
      <c r="B25" s="179"/>
      <c r="C25" s="179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2" max="2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8680-D839-4EA9-A415-3C25FED44B52}">
  <dimension ref="A1:M25"/>
  <sheetViews>
    <sheetView rightToLeft="1" view="pageBreakPreview" zoomScale="115" zoomScaleNormal="100" zoomScaleSheetLayoutView="115" workbookViewId="0">
      <selection activeCell="K13" sqref="K13"/>
    </sheetView>
  </sheetViews>
  <sheetFormatPr defaultColWidth="9" defaultRowHeight="14.25"/>
  <cols>
    <col min="1" max="1" width="3.125" style="160" customWidth="1"/>
    <col min="2" max="2" width="18.75" style="160" customWidth="1"/>
    <col min="3" max="3" width="5.375" style="160" customWidth="1"/>
    <col min="4" max="4" width="6.875" style="160" customWidth="1"/>
    <col min="5" max="5" width="9.25" style="160" customWidth="1"/>
    <col min="6" max="6" width="4.75" style="160" customWidth="1"/>
    <col min="7" max="7" width="6.625" style="160" customWidth="1"/>
    <col min="8" max="8" width="10.75" style="160" customWidth="1"/>
    <col min="9" max="9" width="6.75" style="160" customWidth="1"/>
    <col min="10" max="10" width="10.375" style="160" customWidth="1"/>
    <col min="11" max="11" width="8.75" style="160" customWidth="1"/>
    <col min="12" max="16384" width="9" style="160"/>
  </cols>
  <sheetData>
    <row r="1" spans="1:12" ht="87.75" customHeight="1" thickBot="1"/>
    <row r="2" spans="1:12" ht="63.75" customHeight="1" thickTop="1" thickBot="1">
      <c r="A2" s="161"/>
      <c r="B2" s="161"/>
      <c r="C2" s="161"/>
      <c r="D2" s="161"/>
      <c r="E2" s="161"/>
      <c r="F2" s="161"/>
      <c r="G2" s="161"/>
      <c r="H2" s="162"/>
      <c r="I2" s="162"/>
      <c r="J2" s="162"/>
      <c r="K2" s="162"/>
    </row>
    <row r="3" spans="1:12" s="168" customFormat="1" ht="43.5" customHeight="1" thickTop="1" thickBot="1">
      <c r="A3" s="163" t="s">
        <v>1</v>
      </c>
      <c r="B3" s="164" t="s">
        <v>144</v>
      </c>
      <c r="C3" s="165" t="s">
        <v>143</v>
      </c>
      <c r="D3" s="165" t="s">
        <v>145</v>
      </c>
      <c r="E3" s="165" t="s">
        <v>146</v>
      </c>
      <c r="F3" s="165" t="s">
        <v>147</v>
      </c>
      <c r="G3" s="165" t="s">
        <v>148</v>
      </c>
      <c r="H3" s="165" t="s">
        <v>152</v>
      </c>
      <c r="I3" s="165" t="s">
        <v>153</v>
      </c>
      <c r="J3" s="165" t="s">
        <v>151</v>
      </c>
      <c r="K3" s="166" t="s">
        <v>154</v>
      </c>
      <c r="L3" s="167"/>
    </row>
    <row r="4" spans="1:12" ht="20.100000000000001" customHeight="1">
      <c r="A4" s="169">
        <v>1</v>
      </c>
      <c r="B4" s="170"/>
      <c r="C4" s="171"/>
      <c r="D4" s="172"/>
      <c r="E4" s="171"/>
      <c r="F4" s="171"/>
      <c r="G4" s="172"/>
      <c r="H4" s="171"/>
      <c r="I4" s="172"/>
      <c r="J4" s="171"/>
      <c r="K4" s="173" t="s">
        <v>264</v>
      </c>
    </row>
    <row r="5" spans="1:12" ht="20.100000000000001" customHeight="1">
      <c r="A5" s="174">
        <v>2</v>
      </c>
      <c r="B5" s="175"/>
      <c r="C5" s="176"/>
      <c r="D5" s="176"/>
      <c r="E5" s="176"/>
      <c r="F5" s="176"/>
      <c r="G5" s="177"/>
      <c r="H5" s="177"/>
      <c r="I5" s="177"/>
      <c r="J5" s="177"/>
      <c r="K5" s="178"/>
    </row>
    <row r="6" spans="1:12" ht="20.100000000000001" customHeight="1">
      <c r="A6" s="174">
        <v>3</v>
      </c>
      <c r="B6" s="175"/>
      <c r="C6" s="176"/>
      <c r="D6" s="176"/>
      <c r="E6" s="176"/>
      <c r="F6" s="176"/>
      <c r="G6" s="177"/>
      <c r="H6" s="177"/>
      <c r="I6" s="177"/>
      <c r="J6" s="177"/>
      <c r="K6" s="178"/>
    </row>
    <row r="7" spans="1:12" ht="20.100000000000001" customHeight="1">
      <c r="A7" s="174">
        <v>4</v>
      </c>
      <c r="B7" s="175"/>
      <c r="C7" s="176"/>
      <c r="D7" s="176"/>
      <c r="E7" s="176"/>
      <c r="F7" s="176"/>
      <c r="G7" s="177"/>
      <c r="H7" s="177"/>
      <c r="I7" s="177"/>
      <c r="J7" s="177"/>
      <c r="K7" s="178"/>
    </row>
    <row r="8" spans="1:12" ht="20.100000000000001" customHeight="1">
      <c r="A8" s="174">
        <v>5</v>
      </c>
      <c r="B8" s="175"/>
      <c r="C8" s="176"/>
      <c r="D8" s="176"/>
      <c r="E8" s="176"/>
      <c r="F8" s="176"/>
      <c r="G8" s="177"/>
      <c r="H8" s="177"/>
      <c r="I8" s="177"/>
      <c r="J8" s="177"/>
      <c r="K8" s="178"/>
    </row>
    <row r="9" spans="1:12" ht="20.100000000000001" customHeight="1">
      <c r="A9" s="174">
        <v>6</v>
      </c>
      <c r="B9" s="175"/>
      <c r="C9" s="176"/>
      <c r="D9" s="176"/>
      <c r="E9" s="176"/>
      <c r="F9" s="176"/>
      <c r="G9" s="177"/>
      <c r="H9" s="177"/>
      <c r="I9" s="177"/>
      <c r="J9" s="177"/>
      <c r="K9" s="178"/>
    </row>
    <row r="10" spans="1:12" ht="20.100000000000001" customHeight="1">
      <c r="A10" s="174">
        <v>7</v>
      </c>
      <c r="B10" s="175"/>
      <c r="C10" s="176"/>
      <c r="D10" s="176"/>
      <c r="E10" s="176"/>
      <c r="F10" s="176"/>
      <c r="G10" s="177"/>
      <c r="H10" s="177"/>
      <c r="I10" s="177"/>
      <c r="J10" s="177"/>
      <c r="K10" s="178"/>
    </row>
    <row r="11" spans="1:12" ht="20.100000000000001" customHeight="1">
      <c r="A11" s="174">
        <v>8</v>
      </c>
      <c r="B11" s="175"/>
      <c r="C11" s="176"/>
      <c r="D11" s="176"/>
      <c r="E11" s="176"/>
      <c r="F11" s="176"/>
      <c r="G11" s="177"/>
      <c r="H11" s="177"/>
      <c r="I11" s="177"/>
      <c r="J11" s="177"/>
      <c r="K11" s="178"/>
    </row>
    <row r="12" spans="1:12" ht="20.100000000000001" customHeight="1">
      <c r="A12" s="174">
        <v>9</v>
      </c>
      <c r="B12" s="175"/>
      <c r="C12" s="176"/>
      <c r="D12" s="176"/>
      <c r="E12" s="176"/>
      <c r="F12" s="176"/>
      <c r="G12" s="177"/>
      <c r="H12" s="177"/>
      <c r="I12" s="177"/>
      <c r="J12" s="177"/>
      <c r="K12" s="178"/>
    </row>
    <row r="13" spans="1:12" ht="20.100000000000001" customHeight="1">
      <c r="A13" s="174">
        <v>10</v>
      </c>
      <c r="B13" s="175"/>
      <c r="C13" s="176"/>
      <c r="D13" s="176"/>
      <c r="E13" s="176"/>
      <c r="F13" s="176"/>
      <c r="G13" s="177"/>
      <c r="H13" s="177"/>
      <c r="I13" s="177"/>
      <c r="J13" s="177"/>
      <c r="K13" s="372" t="s">
        <v>265</v>
      </c>
    </row>
    <row r="14" spans="1:12" ht="20.100000000000001" customHeight="1">
      <c r="A14" s="174">
        <v>11</v>
      </c>
      <c r="B14" s="175"/>
      <c r="C14" s="176"/>
      <c r="D14" s="176"/>
      <c r="E14" s="176"/>
      <c r="F14" s="176"/>
      <c r="G14" s="177"/>
      <c r="H14" s="177"/>
      <c r="I14" s="177"/>
      <c r="J14" s="177"/>
      <c r="K14" s="178"/>
    </row>
    <row r="15" spans="1:12" ht="20.100000000000001" customHeight="1">
      <c r="A15" s="174">
        <v>12</v>
      </c>
      <c r="B15" s="175"/>
      <c r="C15" s="176"/>
      <c r="D15" s="176"/>
      <c r="E15" s="176"/>
      <c r="F15" s="176"/>
      <c r="G15" s="177"/>
      <c r="H15" s="177"/>
      <c r="I15" s="177"/>
      <c r="J15" s="177"/>
      <c r="K15" s="178"/>
    </row>
    <row r="16" spans="1:12" ht="20.100000000000001" customHeight="1">
      <c r="A16" s="174">
        <v>13</v>
      </c>
      <c r="B16" s="175"/>
      <c r="C16" s="176"/>
      <c r="D16" s="176"/>
      <c r="E16" s="176"/>
      <c r="F16" s="176"/>
      <c r="G16" s="177"/>
      <c r="H16" s="177"/>
      <c r="I16" s="177"/>
      <c r="J16" s="177"/>
      <c r="K16" s="178"/>
    </row>
    <row r="17" spans="1:13" ht="20.100000000000001" customHeight="1">
      <c r="A17" s="174">
        <v>14</v>
      </c>
      <c r="B17" s="175"/>
      <c r="C17" s="176"/>
      <c r="D17" s="176"/>
      <c r="E17" s="176"/>
      <c r="F17" s="176"/>
      <c r="G17" s="177"/>
      <c r="H17" s="177"/>
      <c r="I17" s="177"/>
      <c r="J17" s="177"/>
      <c r="K17" s="178"/>
    </row>
    <row r="18" spans="1:13" ht="20.100000000000001" customHeight="1">
      <c r="A18" s="174">
        <v>15</v>
      </c>
      <c r="B18" s="175"/>
      <c r="C18" s="176"/>
      <c r="D18" s="176"/>
      <c r="E18" s="176"/>
      <c r="F18" s="176"/>
      <c r="G18" s="177"/>
      <c r="H18" s="177"/>
      <c r="I18" s="177"/>
      <c r="J18" s="177"/>
      <c r="K18" s="178"/>
    </row>
    <row r="19" spans="1:13" ht="20.100000000000001" customHeight="1">
      <c r="A19" s="174">
        <v>16</v>
      </c>
      <c r="B19" s="175"/>
      <c r="C19" s="176"/>
      <c r="D19" s="176"/>
      <c r="E19" s="176"/>
      <c r="F19" s="176"/>
      <c r="G19" s="177"/>
      <c r="H19" s="177"/>
      <c r="I19" s="177"/>
      <c r="J19" s="177"/>
      <c r="K19" s="178"/>
    </row>
    <row r="20" spans="1:13" ht="20.100000000000001" customHeight="1">
      <c r="A20" s="174">
        <v>17</v>
      </c>
      <c r="B20" s="175"/>
      <c r="C20" s="176"/>
      <c r="D20" s="176"/>
      <c r="E20" s="176"/>
      <c r="F20" s="176"/>
      <c r="G20" s="177"/>
      <c r="H20" s="177"/>
      <c r="I20" s="177"/>
      <c r="J20" s="177"/>
      <c r="K20" s="178"/>
    </row>
    <row r="21" spans="1:13" ht="20.100000000000001" customHeight="1">
      <c r="A21" s="174">
        <v>18</v>
      </c>
      <c r="B21" s="175"/>
      <c r="C21" s="176"/>
      <c r="D21" s="176"/>
      <c r="E21" s="176"/>
      <c r="F21" s="176"/>
      <c r="G21" s="177"/>
      <c r="H21" s="177"/>
      <c r="I21" s="177"/>
      <c r="J21" s="177"/>
      <c r="K21" s="178"/>
    </row>
    <row r="22" spans="1:13" ht="20.100000000000001" customHeight="1">
      <c r="A22" s="174">
        <v>19</v>
      </c>
      <c r="B22" s="175"/>
      <c r="C22" s="176"/>
      <c r="D22" s="176"/>
      <c r="E22" s="176"/>
      <c r="F22" s="176"/>
      <c r="G22" s="177"/>
      <c r="H22" s="177"/>
      <c r="I22" s="177"/>
      <c r="J22" s="177"/>
      <c r="K22" s="178"/>
    </row>
    <row r="23" spans="1:13" ht="20.100000000000001" customHeight="1">
      <c r="A23" s="174">
        <v>20</v>
      </c>
      <c r="B23" s="175"/>
      <c r="C23" s="176"/>
      <c r="D23" s="176"/>
      <c r="E23" s="176"/>
      <c r="F23" s="176"/>
      <c r="G23" s="177"/>
      <c r="H23" s="177"/>
      <c r="I23" s="177"/>
      <c r="J23" s="177"/>
      <c r="K23" s="178"/>
    </row>
    <row r="24" spans="1:13" ht="30" customHeight="1"/>
    <row r="25" spans="1:13" ht="30" customHeight="1">
      <c r="B25" s="179"/>
      <c r="C25" s="179"/>
      <c r="D25" s="180"/>
      <c r="E25" s="180"/>
      <c r="F25" s="180"/>
      <c r="G25" s="180"/>
      <c r="H25" s="180"/>
      <c r="I25" s="180"/>
      <c r="J25" s="180"/>
      <c r="K25" s="180"/>
      <c r="L25" s="180"/>
      <c r="M25" s="180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25</vt:i4>
      </vt:variant>
      <vt:variant>
        <vt:lpstr>النطاقات المسماة</vt:lpstr>
      </vt:variant>
      <vt:variant>
        <vt:i4>11</vt:i4>
      </vt:variant>
    </vt:vector>
  </HeadingPairs>
  <TitlesOfParts>
    <vt:vector size="36" baseType="lpstr">
      <vt:lpstr>مدرسة حكومي- أهلي طلاب ثانوي </vt:lpstr>
      <vt:lpstr>طلاب ثانوي حكومي</vt:lpstr>
      <vt:lpstr>طلاب ثانوي اهلي </vt:lpstr>
      <vt:lpstr>طلاب اساسي اهلي</vt:lpstr>
      <vt:lpstr>اجمالي طلاب اساسي حكومي</vt:lpstr>
      <vt:lpstr>  عدد الشعب أساسي مديرية</vt:lpstr>
      <vt:lpstr>عدد الشعب الدراسية ثانوي مديرية</vt:lpstr>
      <vt:lpstr>تخصصات المعلمين ثانوي</vt:lpstr>
      <vt:lpstr>قوى عاملة أساسي مديرية</vt:lpstr>
      <vt:lpstr>قوى عاملة ثانوي مديرية </vt:lpstr>
      <vt:lpstr>مديرية معلمين اساسي</vt:lpstr>
      <vt:lpstr>معلمين  ثانوي مدرسة)</vt:lpstr>
      <vt:lpstr>رياض اطفال  الطلبه والمربي حكوم</vt:lpstr>
      <vt:lpstr>رياض اطفال  الطلبه والمربي أهلي</vt:lpstr>
      <vt:lpstr>اساسي من 6-9</vt:lpstr>
      <vt:lpstr>ورقة1</vt:lpstr>
      <vt:lpstr>طلاب تحفيظ أولي</vt:lpstr>
      <vt:lpstr>طلاب تحفيظ تكميلي</vt:lpstr>
      <vt:lpstr> حكومي  مكونات المبنى المدرسي</vt:lpstr>
      <vt:lpstr>  مكونات المبنى المدرسي أهلي </vt:lpstr>
      <vt:lpstr>التجهيزات المدرسية أهلي</vt:lpstr>
      <vt:lpstr>المديرية بالتجهيزات المدرسية</vt:lpstr>
      <vt:lpstr> خاص بالمدرسة النازحين</vt:lpstr>
      <vt:lpstr>النازحين خارج المدرسة</vt:lpstr>
      <vt:lpstr>المتطوعين في المدرسة</vt:lpstr>
      <vt:lpstr>' خاص بالمدرسة النازحين'!Print_Area</vt:lpstr>
      <vt:lpstr>'التجهيزات المدرسية أهلي'!Print_Area</vt:lpstr>
      <vt:lpstr>'المتطوعين في المدرسة'!Print_Area</vt:lpstr>
      <vt:lpstr>'المديرية بالتجهيزات المدرسية'!Print_Area</vt:lpstr>
      <vt:lpstr>'النازحين خارج المدرسة'!Print_Area</vt:lpstr>
      <vt:lpstr>'تخصصات المعلمين ثانوي'!Print_Area</vt:lpstr>
      <vt:lpstr>'طلاب تحفيظ أولي'!Print_Area</vt:lpstr>
      <vt:lpstr>'قوى عاملة أساسي مديرية'!Print_Area</vt:lpstr>
      <vt:lpstr>'قوى عاملة ثانوي مديرية '!Print_Area</vt:lpstr>
      <vt:lpstr>'طلاب تحفيظ أولي'!Print_Titles</vt:lpstr>
      <vt:lpstr>'مديرية معلمين اساسي'!Print_Titles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2025-12-22T05:54:11Z</dcterms:modified>
</cp:coreProperties>
</file>